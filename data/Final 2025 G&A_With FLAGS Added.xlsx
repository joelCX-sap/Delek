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ccounting\Corporate Accounting\2026 AI with IT and Applexusd\"/>
    </mc:Choice>
  </mc:AlternateContent>
  <xr:revisionPtr revIDLastSave="0" documentId="13_ncr:1_{56FB080F-1621-4006-8E06-B5F43848CC3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Export" sheetId="1" r:id="rId1"/>
  </sheets>
  <definedNames>
    <definedName name="_xlnm._FilterDatabase" localSheetId="0" hidden="1">Export!$A$1:$V$2972</definedName>
  </definedNames>
  <calcPr calcId="191029" concurrentManualCount="16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T3" i="1" s="1"/>
  <c r="S4" i="1"/>
  <c r="S5" i="1"/>
  <c r="U5" i="1" s="1"/>
  <c r="S6" i="1"/>
  <c r="U6" i="1" s="1"/>
  <c r="S7" i="1"/>
  <c r="S8" i="1"/>
  <c r="S9" i="1"/>
  <c r="U9" i="1" s="1"/>
  <c r="T9" i="1"/>
  <c r="S10" i="1"/>
  <c r="T10" i="1" s="1"/>
  <c r="S11" i="1"/>
  <c r="T11" i="1" s="1"/>
  <c r="S12" i="1"/>
  <c r="S13" i="1"/>
  <c r="S14" i="1"/>
  <c r="T14" i="1" s="1"/>
  <c r="S15" i="1"/>
  <c r="T15" i="1" s="1"/>
  <c r="S16" i="1"/>
  <c r="T16" i="1" s="1"/>
  <c r="S17" i="1"/>
  <c r="U17" i="1" s="1"/>
  <c r="S18" i="1"/>
  <c r="T18" i="1" s="1"/>
  <c r="S19" i="1"/>
  <c r="U19" i="1" s="1"/>
  <c r="S20" i="1"/>
  <c r="S21" i="1"/>
  <c r="U21" i="1" s="1"/>
  <c r="S22" i="1"/>
  <c r="T22" i="1" s="1"/>
  <c r="S23" i="1"/>
  <c r="U23" i="1" s="1"/>
  <c r="S24" i="1"/>
  <c r="S25" i="1"/>
  <c r="S26" i="1"/>
  <c r="U26" i="1" s="1"/>
  <c r="T26" i="1"/>
  <c r="S27" i="1"/>
  <c r="S28" i="1"/>
  <c r="U28" i="1" s="1"/>
  <c r="S29" i="1"/>
  <c r="U29" i="1" s="1"/>
  <c r="S30" i="1"/>
  <c r="T30" i="1" s="1"/>
  <c r="S31" i="1"/>
  <c r="S32" i="1"/>
  <c r="S33" i="1"/>
  <c r="S34" i="1"/>
  <c r="U34" i="1" s="1"/>
  <c r="S35" i="1"/>
  <c r="U35" i="1" s="1"/>
  <c r="S36" i="1"/>
  <c r="S37" i="1"/>
  <c r="U37" i="1" s="1"/>
  <c r="S38" i="1"/>
  <c r="S39" i="1"/>
  <c r="T39" i="1" s="1"/>
  <c r="S40" i="1"/>
  <c r="S41" i="1"/>
  <c r="S42" i="1"/>
  <c r="T42" i="1" s="1"/>
  <c r="S43" i="1"/>
  <c r="T43" i="1" s="1"/>
  <c r="S44" i="1"/>
  <c r="U44" i="1" s="1"/>
  <c r="S45" i="1"/>
  <c r="U45" i="1" s="1"/>
  <c r="S46" i="1"/>
  <c r="T46" i="1" s="1"/>
  <c r="S47" i="1"/>
  <c r="S48" i="1"/>
  <c r="T48" i="1" s="1"/>
  <c r="S49" i="1"/>
  <c r="U49" i="1" s="1"/>
  <c r="S50" i="1"/>
  <c r="T50" i="1" s="1"/>
  <c r="S51" i="1"/>
  <c r="S52" i="1"/>
  <c r="S53" i="1"/>
  <c r="U53" i="1" s="1"/>
  <c r="S54" i="1"/>
  <c r="S55" i="1"/>
  <c r="T55" i="1" s="1"/>
  <c r="S56" i="1"/>
  <c r="S57" i="1"/>
  <c r="T57" i="1" s="1"/>
  <c r="S58" i="1"/>
  <c r="T58" i="1" s="1"/>
  <c r="U58" i="1"/>
  <c r="S59" i="1"/>
  <c r="U59" i="1" s="1"/>
  <c r="S60" i="1"/>
  <c r="T60" i="1" s="1"/>
  <c r="S61" i="1"/>
  <c r="U61" i="1" s="1"/>
  <c r="S62" i="1"/>
  <c r="T62" i="1" s="1"/>
  <c r="S63" i="1"/>
  <c r="U63" i="1" s="1"/>
  <c r="S64" i="1"/>
  <c r="T64" i="1" s="1"/>
  <c r="S65" i="1"/>
  <c r="T65" i="1" s="1"/>
  <c r="S66" i="1"/>
  <c r="U66" i="1" s="1"/>
  <c r="S67" i="1"/>
  <c r="U67" i="1" s="1"/>
  <c r="S68" i="1"/>
  <c r="S69" i="1"/>
  <c r="S70" i="1"/>
  <c r="U70" i="1" s="1"/>
  <c r="S71" i="1"/>
  <c r="T71" i="1" s="1"/>
  <c r="S72" i="1"/>
  <c r="S73" i="1"/>
  <c r="U73" i="1" s="1"/>
  <c r="S74" i="1"/>
  <c r="U74" i="1" s="1"/>
  <c r="S75" i="1"/>
  <c r="U75" i="1" s="1"/>
  <c r="S76" i="1"/>
  <c r="T76" i="1" s="1"/>
  <c r="S77" i="1"/>
  <c r="U77" i="1" s="1"/>
  <c r="S78" i="1"/>
  <c r="T78" i="1" s="1"/>
  <c r="S79" i="1"/>
  <c r="U79" i="1" s="1"/>
  <c r="S80" i="1"/>
  <c r="T80" i="1" s="1"/>
  <c r="S81" i="1"/>
  <c r="T81" i="1" s="1"/>
  <c r="S82" i="1"/>
  <c r="S83" i="1"/>
  <c r="U83" i="1" s="1"/>
  <c r="S84" i="1"/>
  <c r="S85" i="1"/>
  <c r="U85" i="1" s="1"/>
  <c r="S86" i="1"/>
  <c r="S87" i="1"/>
  <c r="U87" i="1" s="1"/>
  <c r="S88" i="1"/>
  <c r="S89" i="1"/>
  <c r="U89" i="1" s="1"/>
  <c r="S90" i="1"/>
  <c r="S91" i="1"/>
  <c r="T91" i="1" s="1"/>
  <c r="S92" i="1"/>
  <c r="T92" i="1" s="1"/>
  <c r="S93" i="1"/>
  <c r="U93" i="1" s="1"/>
  <c r="S94" i="1"/>
  <c r="S95" i="1"/>
  <c r="T95" i="1" s="1"/>
  <c r="S96" i="1"/>
  <c r="T96" i="1" s="1"/>
  <c r="S97" i="1"/>
  <c r="T97" i="1" s="1"/>
  <c r="S99" i="1"/>
  <c r="U99" i="1" s="1"/>
  <c r="S100" i="1"/>
  <c r="S101" i="1"/>
  <c r="S102" i="1"/>
  <c r="S103" i="1"/>
  <c r="T103" i="1" s="1"/>
  <c r="S104" i="1"/>
  <c r="S105" i="1"/>
  <c r="S106" i="1"/>
  <c r="T106" i="1" s="1"/>
  <c r="S107" i="1"/>
  <c r="T107" i="1" s="1"/>
  <c r="S108" i="1"/>
  <c r="U108" i="1" s="1"/>
  <c r="S109" i="1"/>
  <c r="S110" i="1"/>
  <c r="T110" i="1" s="1"/>
  <c r="S111" i="1"/>
  <c r="U111" i="1" s="1"/>
  <c r="S112" i="1"/>
  <c r="T112" i="1" s="1"/>
  <c r="S113" i="1"/>
  <c r="S114" i="1"/>
  <c r="T114" i="1" s="1"/>
  <c r="S115" i="1"/>
  <c r="U115" i="1" s="1"/>
  <c r="S116" i="1"/>
  <c r="S118" i="1"/>
  <c r="T118" i="1" s="1"/>
  <c r="S119" i="1"/>
  <c r="U119" i="1" s="1"/>
  <c r="S120" i="1"/>
  <c r="S121" i="1"/>
  <c r="U121" i="1" s="1"/>
  <c r="S122" i="1"/>
  <c r="T122" i="1" s="1"/>
  <c r="S123" i="1"/>
  <c r="S124" i="1"/>
  <c r="S125" i="1"/>
  <c r="S126" i="1"/>
  <c r="T126" i="1" s="1"/>
  <c r="S127" i="1"/>
  <c r="T127" i="1" s="1"/>
  <c r="S128" i="1"/>
  <c r="S129" i="1"/>
  <c r="U129" i="1" s="1"/>
  <c r="S130" i="1"/>
  <c r="U130" i="1" s="1"/>
  <c r="S131" i="1"/>
  <c r="T131" i="1" s="1"/>
  <c r="S132" i="1"/>
  <c r="S133" i="1"/>
  <c r="S134" i="1"/>
  <c r="T134" i="1" s="1"/>
  <c r="S135" i="1"/>
  <c r="U135" i="1" s="1"/>
  <c r="S137" i="1"/>
  <c r="T137" i="1" s="1"/>
  <c r="S138" i="1"/>
  <c r="S139" i="1"/>
  <c r="T139" i="1" s="1"/>
  <c r="S140" i="1"/>
  <c r="S141" i="1"/>
  <c r="U141" i="1" s="1"/>
  <c r="S142" i="1"/>
  <c r="T142" i="1" s="1"/>
  <c r="S143" i="1"/>
  <c r="U143" i="1" s="1"/>
  <c r="S144" i="1"/>
  <c r="T144" i="1" s="1"/>
  <c r="S145" i="1"/>
  <c r="S146" i="1"/>
  <c r="U146" i="1" s="1"/>
  <c r="S147" i="1"/>
  <c r="T147" i="1" s="1"/>
  <c r="S148" i="1"/>
  <c r="S149" i="1"/>
  <c r="S150" i="1"/>
  <c r="T150" i="1" s="1"/>
  <c r="S151" i="1"/>
  <c r="U151" i="1" s="1"/>
  <c r="S152" i="1"/>
  <c r="S153" i="1"/>
  <c r="T153" i="1" s="1"/>
  <c r="S154" i="1"/>
  <c r="S155" i="1"/>
  <c r="T155" i="1" s="1"/>
  <c r="S156" i="1"/>
  <c r="S157" i="1"/>
  <c r="U157" i="1" s="1"/>
  <c r="S158" i="1"/>
  <c r="S159" i="1"/>
  <c r="U159" i="1" s="1"/>
  <c r="S160" i="1"/>
  <c r="T160" i="1" s="1"/>
  <c r="S161" i="1"/>
  <c r="U161" i="1" s="1"/>
  <c r="S162" i="1"/>
  <c r="T162" i="1" s="1"/>
  <c r="S163" i="1"/>
  <c r="T163" i="1" s="1"/>
  <c r="S164" i="1"/>
  <c r="S165" i="1"/>
  <c r="U165" i="1" s="1"/>
  <c r="S166" i="1"/>
  <c r="U166" i="1" s="1"/>
  <c r="S167" i="1"/>
  <c r="S168" i="1"/>
  <c r="S169" i="1"/>
  <c r="S170" i="1"/>
  <c r="T170" i="1" s="1"/>
  <c r="S171" i="1"/>
  <c r="S172" i="1"/>
  <c r="U172" i="1" s="1"/>
  <c r="S173" i="1"/>
  <c r="S174" i="1"/>
  <c r="S175" i="1"/>
  <c r="U175" i="1" s="1"/>
  <c r="S177" i="1"/>
  <c r="T177" i="1" s="1"/>
  <c r="S178" i="1"/>
  <c r="U178" i="1" s="1"/>
  <c r="S179" i="1"/>
  <c r="T179" i="1" s="1"/>
  <c r="S180" i="1"/>
  <c r="S181" i="1"/>
  <c r="U181" i="1" s="1"/>
  <c r="S182" i="1"/>
  <c r="S183" i="1"/>
  <c r="U183" i="1" s="1"/>
  <c r="S184" i="1"/>
  <c r="S185" i="1"/>
  <c r="S186" i="1"/>
  <c r="S187" i="1"/>
  <c r="T187" i="1" s="1"/>
  <c r="S188" i="1"/>
  <c r="U188" i="1" s="1"/>
  <c r="S189" i="1"/>
  <c r="U189" i="1" s="1"/>
  <c r="S190" i="1"/>
  <c r="S191" i="1"/>
  <c r="T191" i="1" s="1"/>
  <c r="S192" i="1"/>
  <c r="S193" i="1"/>
  <c r="T193" i="1" s="1"/>
  <c r="S194" i="1"/>
  <c r="S195" i="1"/>
  <c r="T195" i="1" s="1"/>
  <c r="S196" i="1"/>
  <c r="S197" i="1"/>
  <c r="U197" i="1" s="1"/>
  <c r="S198" i="1"/>
  <c r="U198" i="1" s="1"/>
  <c r="S199" i="1"/>
  <c r="T199" i="1" s="1"/>
  <c r="S200" i="1"/>
  <c r="S201" i="1"/>
  <c r="S202" i="1"/>
  <c r="U202" i="1" s="1"/>
  <c r="S203" i="1"/>
  <c r="U203" i="1" s="1"/>
  <c r="S204" i="1"/>
  <c r="U204" i="1" s="1"/>
  <c r="S205" i="1"/>
  <c r="U205" i="1" s="1"/>
  <c r="S206" i="1"/>
  <c r="T206" i="1" s="1"/>
  <c r="S208" i="1"/>
  <c r="T208" i="1" s="1"/>
  <c r="S209" i="1"/>
  <c r="T209" i="1" s="1"/>
  <c r="S210" i="1"/>
  <c r="T210" i="1" s="1"/>
  <c r="S211" i="1"/>
  <c r="T211" i="1" s="1"/>
  <c r="S212" i="1"/>
  <c r="S213" i="1"/>
  <c r="U213" i="1" s="1"/>
  <c r="S214" i="1"/>
  <c r="T214" i="1" s="1"/>
  <c r="S216" i="1"/>
  <c r="S217" i="1"/>
  <c r="U217" i="1" s="1"/>
  <c r="S218" i="1"/>
  <c r="T218" i="1" s="1"/>
  <c r="S219" i="1"/>
  <c r="T219" i="1" s="1"/>
  <c r="S220" i="1"/>
  <c r="U220" i="1" s="1"/>
  <c r="S221" i="1"/>
  <c r="S222" i="1"/>
  <c r="S223" i="1"/>
  <c r="U223" i="1" s="1"/>
  <c r="S224" i="1"/>
  <c r="T224" i="1" s="1"/>
  <c r="S225" i="1"/>
  <c r="S226" i="1"/>
  <c r="U226" i="1" s="1"/>
  <c r="S227" i="1"/>
  <c r="T227" i="1" s="1"/>
  <c r="S228" i="1"/>
  <c r="S229" i="1"/>
  <c r="U229" i="1" s="1"/>
  <c r="S230" i="1"/>
  <c r="S231" i="1"/>
  <c r="T231" i="1" s="1"/>
  <c r="S232" i="1"/>
  <c r="S233" i="1"/>
  <c r="T233" i="1" s="1"/>
  <c r="S234" i="1"/>
  <c r="U234" i="1" s="1"/>
  <c r="S235" i="1"/>
  <c r="T235" i="1" s="1"/>
  <c r="S236" i="1"/>
  <c r="U236" i="1" s="1"/>
  <c r="S237" i="1"/>
  <c r="U237" i="1" s="1"/>
  <c r="S238" i="1"/>
  <c r="S239" i="1"/>
  <c r="S240" i="1"/>
  <c r="T240" i="1" s="1"/>
  <c r="S241" i="1"/>
  <c r="U241" i="1" s="1"/>
  <c r="S242" i="1"/>
  <c r="S243" i="1"/>
  <c r="T243" i="1" s="1"/>
  <c r="S244" i="1"/>
  <c r="S245" i="1"/>
  <c r="S246" i="1"/>
  <c r="U246" i="1" s="1"/>
  <c r="S247" i="1"/>
  <c r="T247" i="1" s="1"/>
  <c r="S248" i="1"/>
  <c r="S249" i="1"/>
  <c r="S250" i="1"/>
  <c r="T250" i="1" s="1"/>
  <c r="S251" i="1"/>
  <c r="U251" i="1" s="1"/>
  <c r="S252" i="1"/>
  <c r="T252" i="1" s="1"/>
  <c r="S253" i="1"/>
  <c r="S254" i="1"/>
  <c r="T254" i="1" s="1"/>
  <c r="S255" i="1"/>
  <c r="U255" i="1" s="1"/>
  <c r="S256" i="1"/>
  <c r="T256" i="1" s="1"/>
  <c r="S257" i="1"/>
  <c r="T257" i="1" s="1"/>
  <c r="S258" i="1"/>
  <c r="T258" i="1" s="1"/>
  <c r="S259" i="1"/>
  <c r="T259" i="1" s="1"/>
  <c r="S260" i="1"/>
  <c r="S261" i="1"/>
  <c r="U261" i="1" s="1"/>
  <c r="S262" i="1"/>
  <c r="T262" i="1" s="1"/>
  <c r="S263" i="1"/>
  <c r="S264" i="1"/>
  <c r="S265" i="1"/>
  <c r="U265" i="1" s="1"/>
  <c r="S266" i="1"/>
  <c r="T266" i="1" s="1"/>
  <c r="S267" i="1"/>
  <c r="T267" i="1" s="1"/>
  <c r="S269" i="1"/>
  <c r="S270" i="1"/>
  <c r="T270" i="1" s="1"/>
  <c r="S271" i="1"/>
  <c r="S272" i="1"/>
  <c r="T272" i="1" s="1"/>
  <c r="S273" i="1"/>
  <c r="T273" i="1" s="1"/>
  <c r="S274" i="1"/>
  <c r="T274" i="1" s="1"/>
  <c r="S275" i="1"/>
  <c r="T275" i="1" s="1"/>
  <c r="S276" i="1"/>
  <c r="S277" i="1"/>
  <c r="U277" i="1" s="1"/>
  <c r="S278" i="1"/>
  <c r="U278" i="1" s="1"/>
  <c r="S279" i="1"/>
  <c r="T279" i="1" s="1"/>
  <c r="S280" i="1"/>
  <c r="S281" i="1"/>
  <c r="U281" i="1" s="1"/>
  <c r="S282" i="1"/>
  <c r="U282" i="1" s="1"/>
  <c r="S283" i="1"/>
  <c r="S284" i="1"/>
  <c r="T284" i="1" s="1"/>
  <c r="S285" i="1"/>
  <c r="S286" i="1"/>
  <c r="S287" i="1"/>
  <c r="T287" i="1" s="1"/>
  <c r="S288" i="1"/>
  <c r="S289" i="1"/>
  <c r="S290" i="1"/>
  <c r="S291" i="1"/>
  <c r="T291" i="1" s="1"/>
  <c r="S292" i="1"/>
  <c r="S293" i="1"/>
  <c r="S295" i="1"/>
  <c r="T295" i="1" s="1"/>
  <c r="S296" i="1"/>
  <c r="S297" i="1"/>
  <c r="U297" i="1" s="1"/>
  <c r="S298" i="1"/>
  <c r="U298" i="1" s="1"/>
  <c r="S299" i="1"/>
  <c r="U299" i="1" s="1"/>
  <c r="S300" i="1"/>
  <c r="S301" i="1"/>
  <c r="U301" i="1" s="1"/>
  <c r="S302" i="1"/>
  <c r="T302" i="1" s="1"/>
  <c r="S303" i="1"/>
  <c r="S304" i="1"/>
  <c r="T304" i="1" s="1"/>
  <c r="S305" i="1"/>
  <c r="T305" i="1" s="1"/>
  <c r="S306" i="1"/>
  <c r="S307" i="1"/>
  <c r="T307" i="1" s="1"/>
  <c r="S308" i="1"/>
  <c r="S309" i="1"/>
  <c r="U309" i="1" s="1"/>
  <c r="S310" i="1"/>
  <c r="S311" i="1"/>
  <c r="S312" i="1"/>
  <c r="S313" i="1"/>
  <c r="T313" i="1" s="1"/>
  <c r="S314" i="1"/>
  <c r="T314" i="1" s="1"/>
  <c r="S315" i="1"/>
  <c r="S316" i="1"/>
  <c r="S318" i="1"/>
  <c r="S319" i="1"/>
  <c r="T319" i="1" s="1"/>
  <c r="S320" i="1"/>
  <c r="T320" i="1" s="1"/>
  <c r="S322" i="1"/>
  <c r="U322" i="1" s="1"/>
  <c r="S323" i="1"/>
  <c r="T323" i="1" s="1"/>
  <c r="S324" i="1"/>
  <c r="S325" i="1"/>
  <c r="U325" i="1" s="1"/>
  <c r="S326" i="1"/>
  <c r="S327" i="1"/>
  <c r="U327" i="1" s="1"/>
  <c r="S328" i="1"/>
  <c r="S329" i="1"/>
  <c r="S330" i="1"/>
  <c r="T330" i="1" s="1"/>
  <c r="S331" i="1"/>
  <c r="S332" i="1"/>
  <c r="T332" i="1" s="1"/>
  <c r="S333" i="1"/>
  <c r="S334" i="1"/>
  <c r="T334" i="1" s="1"/>
  <c r="S335" i="1"/>
  <c r="T335" i="1" s="1"/>
  <c r="S336" i="1"/>
  <c r="S337" i="1"/>
  <c r="T337" i="1" s="1"/>
  <c r="S338" i="1"/>
  <c r="U338" i="1" s="1"/>
  <c r="S339" i="1"/>
  <c r="T339" i="1" s="1"/>
  <c r="S340" i="1"/>
  <c r="S341" i="1"/>
  <c r="S342" i="1"/>
  <c r="T342" i="1" s="1"/>
  <c r="S343" i="1"/>
  <c r="U343" i="1" s="1"/>
  <c r="S344" i="1"/>
  <c r="S345" i="1"/>
  <c r="T345" i="1" s="1"/>
  <c r="S346" i="1"/>
  <c r="U346" i="1" s="1"/>
  <c r="S347" i="1"/>
  <c r="U347" i="1" s="1"/>
  <c r="S348" i="1"/>
  <c r="S349" i="1"/>
  <c r="S350" i="1"/>
  <c r="T350" i="1" s="1"/>
  <c r="S351" i="1"/>
  <c r="T351" i="1" s="1"/>
  <c r="S352" i="1"/>
  <c r="T352" i="1" s="1"/>
  <c r="S353" i="1"/>
  <c r="U353" i="1" s="1"/>
  <c r="S354" i="1"/>
  <c r="U354" i="1" s="1"/>
  <c r="S355" i="1"/>
  <c r="T355" i="1" s="1"/>
  <c r="S356" i="1"/>
  <c r="S357" i="1"/>
  <c r="S358" i="1"/>
  <c r="S359" i="1"/>
  <c r="T359" i="1" s="1"/>
  <c r="S360" i="1"/>
  <c r="S361" i="1"/>
  <c r="T361" i="1" s="1"/>
  <c r="S362" i="1"/>
  <c r="S363" i="1"/>
  <c r="T363" i="1" s="1"/>
  <c r="S364" i="1"/>
  <c r="S365" i="1"/>
  <c r="U365" i="1" s="1"/>
  <c r="S366" i="1"/>
  <c r="T366" i="1" s="1"/>
  <c r="S367" i="1"/>
  <c r="T367" i="1" s="1"/>
  <c r="S369" i="1"/>
  <c r="T369" i="1" s="1"/>
  <c r="S370" i="1"/>
  <c r="S372" i="1"/>
  <c r="S373" i="1"/>
  <c r="U373" i="1" s="1"/>
  <c r="S374" i="1"/>
  <c r="T374" i="1" s="1"/>
  <c r="S375" i="1"/>
  <c r="U375" i="1" s="1"/>
  <c r="S376" i="1"/>
  <c r="S377" i="1"/>
  <c r="S378" i="1"/>
  <c r="T378" i="1" s="1"/>
  <c r="S379" i="1"/>
  <c r="S381" i="1"/>
  <c r="S382" i="1"/>
  <c r="U382" i="1" s="1"/>
  <c r="S383" i="1"/>
  <c r="S384" i="1"/>
  <c r="T384" i="1" s="1"/>
  <c r="S385" i="1"/>
  <c r="T385" i="1" s="1"/>
  <c r="S386" i="1"/>
  <c r="S387" i="1"/>
  <c r="T387" i="1" s="1"/>
  <c r="S388" i="1"/>
  <c r="S389" i="1"/>
  <c r="S390" i="1"/>
  <c r="U390" i="1" s="1"/>
  <c r="S391" i="1"/>
  <c r="U391" i="1" s="1"/>
  <c r="S392" i="1"/>
  <c r="S393" i="1"/>
  <c r="S394" i="1"/>
  <c r="T394" i="1" s="1"/>
  <c r="S395" i="1"/>
  <c r="S396" i="1"/>
  <c r="S397" i="1"/>
  <c r="U397" i="1" s="1"/>
  <c r="S398" i="1"/>
  <c r="U398" i="1" s="1"/>
  <c r="S399" i="1"/>
  <c r="U399" i="1" s="1"/>
  <c r="S400" i="1"/>
  <c r="T400" i="1" s="1"/>
  <c r="S401" i="1"/>
  <c r="U401" i="1" s="1"/>
  <c r="S402" i="1"/>
  <c r="U402" i="1" s="1"/>
  <c r="S403" i="1"/>
  <c r="T403" i="1" s="1"/>
  <c r="S405" i="1"/>
  <c r="S406" i="1"/>
  <c r="T406" i="1" s="1"/>
  <c r="S407" i="1"/>
  <c r="S408" i="1"/>
  <c r="S409" i="1"/>
  <c r="U409" i="1" s="1"/>
  <c r="S410" i="1"/>
  <c r="T410" i="1" s="1"/>
  <c r="S411" i="1"/>
  <c r="T411" i="1" s="1"/>
  <c r="S412" i="1"/>
  <c r="S413" i="1"/>
  <c r="U413" i="1" s="1"/>
  <c r="S414" i="1"/>
  <c r="T414" i="1" s="1"/>
  <c r="S415" i="1"/>
  <c r="S417" i="1"/>
  <c r="T417" i="1" s="1"/>
  <c r="S418" i="1"/>
  <c r="T418" i="1" s="1"/>
  <c r="S419" i="1"/>
  <c r="T419" i="1" s="1"/>
  <c r="S420" i="1"/>
  <c r="S421" i="1"/>
  <c r="S422" i="1"/>
  <c r="S424" i="1"/>
  <c r="S425" i="1"/>
  <c r="T425" i="1" s="1"/>
  <c r="S426" i="1"/>
  <c r="T426" i="1" s="1"/>
  <c r="S427" i="1"/>
  <c r="T427" i="1" s="1"/>
  <c r="S428" i="1"/>
  <c r="S429" i="1"/>
  <c r="U429" i="1" s="1"/>
  <c r="S430" i="1"/>
  <c r="S431" i="1"/>
  <c r="S432" i="1"/>
  <c r="T432" i="1" s="1"/>
  <c r="S433" i="1"/>
  <c r="T433" i="1" s="1"/>
  <c r="S434" i="1"/>
  <c r="S435" i="1"/>
  <c r="T435" i="1" s="1"/>
  <c r="S436" i="1"/>
  <c r="S437" i="1"/>
  <c r="S438" i="1"/>
  <c r="U438" i="1" s="1"/>
  <c r="S439" i="1"/>
  <c r="T439" i="1" s="1"/>
  <c r="S440" i="1"/>
  <c r="S441" i="1"/>
  <c r="U441" i="1" s="1"/>
  <c r="S442" i="1"/>
  <c r="U442" i="1" s="1"/>
  <c r="S443" i="1"/>
  <c r="T443" i="1" s="1"/>
  <c r="S444" i="1"/>
  <c r="T444" i="1" s="1"/>
  <c r="S445" i="1"/>
  <c r="U445" i="1" s="1"/>
  <c r="S446" i="1"/>
  <c r="S447" i="1"/>
  <c r="S448" i="1"/>
  <c r="T448" i="1" s="1"/>
  <c r="S449" i="1"/>
  <c r="S450" i="1"/>
  <c r="T450" i="1" s="1"/>
  <c r="S451" i="1"/>
  <c r="T451" i="1" s="1"/>
  <c r="S452" i="1"/>
  <c r="S453" i="1"/>
  <c r="S454" i="1"/>
  <c r="S455" i="1"/>
  <c r="T455" i="1" s="1"/>
  <c r="S456" i="1"/>
  <c r="S457" i="1"/>
  <c r="S458" i="1"/>
  <c r="T458" i="1" s="1"/>
  <c r="S459" i="1"/>
  <c r="T459" i="1" s="1"/>
  <c r="S460" i="1"/>
  <c r="S461" i="1"/>
  <c r="U461" i="1" s="1"/>
  <c r="S462" i="1"/>
  <c r="S463" i="1"/>
  <c r="S464" i="1"/>
  <c r="U464" i="1" s="1"/>
  <c r="S465" i="1"/>
  <c r="T465" i="1" s="1"/>
  <c r="S466" i="1"/>
  <c r="U466" i="1" s="1"/>
  <c r="S467" i="1"/>
  <c r="T467" i="1" s="1"/>
  <c r="S468" i="1"/>
  <c r="S469" i="1"/>
  <c r="T469" i="1" s="1"/>
  <c r="S470" i="1"/>
  <c r="S471" i="1"/>
  <c r="S473" i="1"/>
  <c r="U473" i="1" s="1"/>
  <c r="S474" i="1"/>
  <c r="T474" i="1" s="1"/>
  <c r="S475" i="1"/>
  <c r="T475" i="1" s="1"/>
  <c r="S476" i="1"/>
  <c r="S477" i="1"/>
  <c r="S479" i="1"/>
  <c r="S480" i="1"/>
  <c r="U480" i="1" s="1"/>
  <c r="S481" i="1"/>
  <c r="S482" i="1"/>
  <c r="S483" i="1"/>
  <c r="U483" i="1" s="1"/>
  <c r="S484" i="1"/>
  <c r="S485" i="1"/>
  <c r="U485" i="1" s="1"/>
  <c r="S486" i="1"/>
  <c r="S487" i="1"/>
  <c r="T487" i="1" s="1"/>
  <c r="S488" i="1"/>
  <c r="S489" i="1"/>
  <c r="U489" i="1" s="1"/>
  <c r="S490" i="1"/>
  <c r="T490" i="1" s="1"/>
  <c r="S491" i="1"/>
  <c r="T491" i="1" s="1"/>
  <c r="S492" i="1"/>
  <c r="S493" i="1"/>
  <c r="S494" i="1"/>
  <c r="T494" i="1" s="1"/>
  <c r="S495" i="1"/>
  <c r="T495" i="1" s="1"/>
  <c r="S496" i="1"/>
  <c r="S497" i="1"/>
  <c r="T497" i="1" s="1"/>
  <c r="S499" i="1"/>
  <c r="U499" i="1" s="1"/>
  <c r="S500" i="1"/>
  <c r="S501" i="1"/>
  <c r="S502" i="1"/>
  <c r="T502" i="1" s="1"/>
  <c r="S503" i="1"/>
  <c r="S504" i="1"/>
  <c r="S505" i="1"/>
  <c r="T505" i="1" s="1"/>
  <c r="S506" i="1"/>
  <c r="T506" i="1" s="1"/>
  <c r="S507" i="1"/>
  <c r="U507" i="1" s="1"/>
  <c r="S508" i="1"/>
  <c r="U508" i="1" s="1"/>
  <c r="S509" i="1"/>
  <c r="U509" i="1" s="1"/>
  <c r="S510" i="1"/>
  <c r="T510" i="1" s="1"/>
  <c r="S511" i="1"/>
  <c r="S512" i="1"/>
  <c r="S513" i="1"/>
  <c r="U513" i="1" s="1"/>
  <c r="S514" i="1"/>
  <c r="T514" i="1" s="1"/>
  <c r="S515" i="1"/>
  <c r="T515" i="1" s="1"/>
  <c r="S517" i="1"/>
  <c r="S518" i="1"/>
  <c r="S519" i="1"/>
  <c r="U519" i="1" s="1"/>
  <c r="S520" i="1"/>
  <c r="S521" i="1"/>
  <c r="S522" i="1"/>
  <c r="U522" i="1" s="1"/>
  <c r="S523" i="1"/>
  <c r="U523" i="1" s="1"/>
  <c r="S524" i="1"/>
  <c r="U524" i="1" s="1"/>
  <c r="S525" i="1"/>
  <c r="S526" i="1"/>
  <c r="T526" i="1" s="1"/>
  <c r="S527" i="1"/>
  <c r="T527" i="1" s="1"/>
  <c r="S528" i="1"/>
  <c r="S529" i="1"/>
  <c r="U529" i="1" s="1"/>
  <c r="S530" i="1"/>
  <c r="T530" i="1" s="1"/>
  <c r="S531" i="1"/>
  <c r="T531" i="1" s="1"/>
  <c r="S532" i="1"/>
  <c r="S533" i="1"/>
  <c r="T533" i="1" s="1"/>
  <c r="S534" i="1"/>
  <c r="T534" i="1" s="1"/>
  <c r="S535" i="1"/>
  <c r="T535" i="1" s="1"/>
  <c r="S536" i="1"/>
  <c r="S537" i="1"/>
  <c r="T537" i="1" s="1"/>
  <c r="S538" i="1"/>
  <c r="S539" i="1"/>
  <c r="T539" i="1" s="1"/>
  <c r="S540" i="1"/>
  <c r="U540" i="1" s="1"/>
  <c r="S541" i="1"/>
  <c r="U541" i="1" s="1"/>
  <c r="S542" i="1"/>
  <c r="T542" i="1" s="1"/>
  <c r="S543" i="1"/>
  <c r="T543" i="1" s="1"/>
  <c r="S544" i="1"/>
  <c r="S545" i="1"/>
  <c r="U545" i="1" s="1"/>
  <c r="S546" i="1"/>
  <c r="T546" i="1" s="1"/>
  <c r="S547" i="1"/>
  <c r="T547" i="1" s="1"/>
  <c r="S549" i="1"/>
  <c r="U549" i="1" s="1"/>
  <c r="S550" i="1"/>
  <c r="S551" i="1"/>
  <c r="U551" i="1" s="1"/>
  <c r="S552" i="1"/>
  <c r="S553" i="1"/>
  <c r="T553" i="1" s="1"/>
  <c r="S554" i="1"/>
  <c r="T554" i="1" s="1"/>
  <c r="S555" i="1"/>
  <c r="T555" i="1" s="1"/>
  <c r="S556" i="1"/>
  <c r="S557" i="1"/>
  <c r="U557" i="1" s="1"/>
  <c r="S558" i="1"/>
  <c r="S559" i="1"/>
  <c r="T559" i="1" s="1"/>
  <c r="S560" i="1"/>
  <c r="T560" i="1" s="1"/>
  <c r="S561" i="1"/>
  <c r="S562" i="1"/>
  <c r="U562" i="1" s="1"/>
  <c r="S563" i="1"/>
  <c r="T563" i="1" s="1"/>
  <c r="S564" i="1"/>
  <c r="S565" i="1"/>
  <c r="S566" i="1"/>
  <c r="S567" i="1"/>
  <c r="T567" i="1" s="1"/>
  <c r="S568" i="1"/>
  <c r="S569" i="1"/>
  <c r="T569" i="1" s="1"/>
  <c r="S570" i="1"/>
  <c r="U570" i="1" s="1"/>
  <c r="S571" i="1"/>
  <c r="T571" i="1" s="1"/>
  <c r="S572" i="1"/>
  <c r="S573" i="1"/>
  <c r="U573" i="1" s="1"/>
  <c r="S574" i="1"/>
  <c r="S575" i="1"/>
  <c r="T575" i="1" s="1"/>
  <c r="S576" i="1"/>
  <c r="T576" i="1" s="1"/>
  <c r="S577" i="1"/>
  <c r="T577" i="1" s="1"/>
  <c r="S578" i="1"/>
  <c r="S579" i="1"/>
  <c r="T579" i="1" s="1"/>
  <c r="S580" i="1"/>
  <c r="S581" i="1"/>
  <c r="S582" i="1"/>
  <c r="U582" i="1" s="1"/>
  <c r="S583" i="1"/>
  <c r="S584" i="1"/>
  <c r="S585" i="1"/>
  <c r="T585" i="1" s="1"/>
  <c r="S586" i="1"/>
  <c r="U586" i="1" s="1"/>
  <c r="S587" i="1"/>
  <c r="T587" i="1" s="1"/>
  <c r="S588" i="1"/>
  <c r="U588" i="1" s="1"/>
  <c r="S589" i="1"/>
  <c r="U589" i="1" s="1"/>
  <c r="S590" i="1"/>
  <c r="T590" i="1" s="1"/>
  <c r="S591" i="1"/>
  <c r="T591" i="1" s="1"/>
  <c r="S592" i="1"/>
  <c r="T592" i="1" s="1"/>
  <c r="S593" i="1"/>
  <c r="T593" i="1" s="1"/>
  <c r="S594" i="1"/>
  <c r="U594" i="1" s="1"/>
  <c r="S595" i="1"/>
  <c r="T595" i="1" s="1"/>
  <c r="S596" i="1"/>
  <c r="S597" i="1"/>
  <c r="S598" i="1"/>
  <c r="U598" i="1" s="1"/>
  <c r="S599" i="1"/>
  <c r="S600" i="1"/>
  <c r="S601" i="1"/>
  <c r="S603" i="1"/>
  <c r="T603" i="1" s="1"/>
  <c r="S604" i="1"/>
  <c r="U604" i="1" s="1"/>
  <c r="S605" i="1"/>
  <c r="U605" i="1" s="1"/>
  <c r="S606" i="1"/>
  <c r="S607" i="1"/>
  <c r="T607" i="1" s="1"/>
  <c r="S608" i="1"/>
  <c r="U608" i="1" s="1"/>
  <c r="S609" i="1"/>
  <c r="U609" i="1" s="1"/>
  <c r="S610" i="1"/>
  <c r="S611" i="1"/>
  <c r="T611" i="1" s="1"/>
  <c r="S612" i="1"/>
  <c r="T612" i="1" s="1"/>
  <c r="S613" i="1"/>
  <c r="U613" i="1" s="1"/>
  <c r="S614" i="1"/>
  <c r="T614" i="1" s="1"/>
  <c r="S615" i="1"/>
  <c r="U615" i="1" s="1"/>
  <c r="S616" i="1"/>
  <c r="S617" i="1"/>
  <c r="T617" i="1" s="1"/>
  <c r="S618" i="1"/>
  <c r="U618" i="1" s="1"/>
  <c r="S619" i="1"/>
  <c r="U619" i="1" s="1"/>
  <c r="S620" i="1"/>
  <c r="T620" i="1" s="1"/>
  <c r="S621" i="1"/>
  <c r="S622" i="1"/>
  <c r="T622" i="1" s="1"/>
  <c r="S623" i="1"/>
  <c r="S624" i="1"/>
  <c r="U624" i="1" s="1"/>
  <c r="S625" i="1"/>
  <c r="S626" i="1"/>
  <c r="S627" i="1"/>
  <c r="T627" i="1" s="1"/>
  <c r="S628" i="1"/>
  <c r="T628" i="1" s="1"/>
  <c r="S629" i="1"/>
  <c r="S630" i="1"/>
  <c r="U630" i="1" s="1"/>
  <c r="S631" i="1"/>
  <c r="T631" i="1" s="1"/>
  <c r="S632" i="1"/>
  <c r="S633" i="1"/>
  <c r="S634" i="1"/>
  <c r="T634" i="1" s="1"/>
  <c r="S635" i="1"/>
  <c r="S637" i="1"/>
  <c r="U637" i="1" s="1"/>
  <c r="S638" i="1"/>
  <c r="T638" i="1" s="1"/>
  <c r="S640" i="1"/>
  <c r="U640" i="1" s="1"/>
  <c r="S641" i="1"/>
  <c r="S643" i="1"/>
  <c r="T643" i="1" s="1"/>
  <c r="S644" i="1"/>
  <c r="S645" i="1"/>
  <c r="S646" i="1"/>
  <c r="T646" i="1" s="1"/>
  <c r="S647" i="1"/>
  <c r="S648" i="1"/>
  <c r="S649" i="1"/>
  <c r="T649" i="1" s="1"/>
  <c r="S650" i="1"/>
  <c r="T650" i="1" s="1"/>
  <c r="S651" i="1"/>
  <c r="S652" i="1"/>
  <c r="U652" i="1" s="1"/>
  <c r="S653" i="1"/>
  <c r="S654" i="1"/>
  <c r="S655" i="1"/>
  <c r="T655" i="1" s="1"/>
  <c r="S656" i="1"/>
  <c r="S657" i="1"/>
  <c r="U657" i="1" s="1"/>
  <c r="S658" i="1"/>
  <c r="U658" i="1" s="1"/>
  <c r="S659" i="1"/>
  <c r="T659" i="1" s="1"/>
  <c r="S660" i="1"/>
  <c r="S661" i="1"/>
  <c r="U661" i="1" s="1"/>
  <c r="S662" i="1"/>
  <c r="S663" i="1"/>
  <c r="U663" i="1" s="1"/>
  <c r="S664" i="1"/>
  <c r="S665" i="1"/>
  <c r="U665" i="1" s="1"/>
  <c r="S666" i="1"/>
  <c r="T666" i="1" s="1"/>
  <c r="S668" i="1"/>
  <c r="T668" i="1" s="1"/>
  <c r="S669" i="1"/>
  <c r="U669" i="1" s="1"/>
  <c r="S670" i="1"/>
  <c r="S671" i="1"/>
  <c r="U671" i="1" s="1"/>
  <c r="S672" i="1"/>
  <c r="U672" i="1" s="1"/>
  <c r="S673" i="1"/>
  <c r="U673" i="1" s="1"/>
  <c r="S674" i="1"/>
  <c r="S675" i="1"/>
  <c r="T675" i="1" s="1"/>
  <c r="S676" i="1"/>
  <c r="S677" i="1"/>
  <c r="U677" i="1" s="1"/>
  <c r="S678" i="1"/>
  <c r="S679" i="1"/>
  <c r="T679" i="1" s="1"/>
  <c r="S680" i="1"/>
  <c r="S681" i="1"/>
  <c r="S682" i="1"/>
  <c r="S683" i="1"/>
  <c r="U683" i="1" s="1"/>
  <c r="S684" i="1"/>
  <c r="T684" i="1" s="1"/>
  <c r="S685" i="1"/>
  <c r="U685" i="1" s="1"/>
  <c r="S687" i="1"/>
  <c r="T687" i="1" s="1"/>
  <c r="S688" i="1"/>
  <c r="T688" i="1" s="1"/>
  <c r="S689" i="1"/>
  <c r="U689" i="1" s="1"/>
  <c r="S690" i="1"/>
  <c r="T690" i="1" s="1"/>
  <c r="S691" i="1"/>
  <c r="U691" i="1" s="1"/>
  <c r="S692" i="1"/>
  <c r="T692" i="1" s="1"/>
  <c r="S693" i="1"/>
  <c r="T693" i="1" s="1"/>
  <c r="S694" i="1"/>
  <c r="S695" i="1"/>
  <c r="S696" i="1"/>
  <c r="S697" i="1"/>
  <c r="S698" i="1"/>
  <c r="T698" i="1" s="1"/>
  <c r="S699" i="1"/>
  <c r="T699" i="1" s="1"/>
  <c r="S700" i="1"/>
  <c r="S701" i="1"/>
  <c r="U701" i="1" s="1"/>
  <c r="S702" i="1"/>
  <c r="T702" i="1" s="1"/>
  <c r="S703" i="1"/>
  <c r="S704" i="1"/>
  <c r="U704" i="1" s="1"/>
  <c r="S705" i="1"/>
  <c r="T705" i="1" s="1"/>
  <c r="S706" i="1"/>
  <c r="T706" i="1" s="1"/>
  <c r="S707" i="1"/>
  <c r="S708" i="1"/>
  <c r="U708" i="1" s="1"/>
  <c r="S709" i="1"/>
  <c r="T709" i="1" s="1"/>
  <c r="S711" i="1"/>
  <c r="S712" i="1"/>
  <c r="T712" i="1" s="1"/>
  <c r="S713" i="1"/>
  <c r="T713" i="1" s="1"/>
  <c r="S714" i="1"/>
  <c r="S715" i="1"/>
  <c r="T715" i="1" s="1"/>
  <c r="S716" i="1"/>
  <c r="U716" i="1" s="1"/>
  <c r="S717" i="1"/>
  <c r="T717" i="1" s="1"/>
  <c r="S718" i="1"/>
  <c r="S719" i="1"/>
  <c r="U719" i="1" s="1"/>
  <c r="S720" i="1"/>
  <c r="S721" i="1"/>
  <c r="T721" i="1" s="1"/>
  <c r="S722" i="1"/>
  <c r="S723" i="1"/>
  <c r="T723" i="1" s="1"/>
  <c r="S724" i="1"/>
  <c r="T724" i="1" s="1"/>
  <c r="S725" i="1"/>
  <c r="T725" i="1" s="1"/>
  <c r="S726" i="1"/>
  <c r="T726" i="1" s="1"/>
  <c r="S727" i="1"/>
  <c r="S728" i="1"/>
  <c r="S729" i="1"/>
  <c r="T729" i="1" s="1"/>
  <c r="S730" i="1"/>
  <c r="T730" i="1" s="1"/>
  <c r="S732" i="1"/>
  <c r="U732" i="1" s="1"/>
  <c r="S733" i="1"/>
  <c r="T733" i="1" s="1"/>
  <c r="S735" i="1"/>
  <c r="U735" i="1" s="1"/>
  <c r="S736" i="1"/>
  <c r="T736" i="1" s="1"/>
  <c r="S737" i="1"/>
  <c r="T737" i="1" s="1"/>
  <c r="S738" i="1"/>
  <c r="T738" i="1" s="1"/>
  <c r="S739" i="1"/>
  <c r="U739" i="1" s="1"/>
  <c r="S740" i="1"/>
  <c r="T740" i="1" s="1"/>
  <c r="S741" i="1"/>
  <c r="U741" i="1" s="1"/>
  <c r="S742" i="1"/>
  <c r="T742" i="1" s="1"/>
  <c r="S743" i="1"/>
  <c r="S744" i="1"/>
  <c r="S745" i="1"/>
  <c r="T745" i="1" s="1"/>
  <c r="S746" i="1"/>
  <c r="S747" i="1"/>
  <c r="S748" i="1"/>
  <c r="U748" i="1" s="1"/>
  <c r="S749" i="1"/>
  <c r="S750" i="1"/>
  <c r="T750" i="1" s="1"/>
  <c r="S751" i="1"/>
  <c r="U751" i="1" s="1"/>
  <c r="S752" i="1"/>
  <c r="T752" i="1" s="1"/>
  <c r="S754" i="1"/>
  <c r="T754" i="1" s="1"/>
  <c r="S755" i="1"/>
  <c r="S756" i="1"/>
  <c r="U756" i="1" s="1"/>
  <c r="S757" i="1"/>
  <c r="T757" i="1" s="1"/>
  <c r="S758" i="1"/>
  <c r="U758" i="1" s="1"/>
  <c r="S759" i="1"/>
  <c r="S760" i="1"/>
  <c r="S761" i="1"/>
  <c r="S762" i="1"/>
  <c r="U762" i="1" s="1"/>
  <c r="S763" i="1"/>
  <c r="U763" i="1" s="1"/>
  <c r="S764" i="1"/>
  <c r="U764" i="1" s="1"/>
  <c r="S765" i="1"/>
  <c r="T765" i="1" s="1"/>
  <c r="S766" i="1"/>
  <c r="T766" i="1" s="1"/>
  <c r="S767" i="1"/>
  <c r="S768" i="1"/>
  <c r="U768" i="1" s="1"/>
  <c r="S769" i="1"/>
  <c r="T769" i="1" s="1"/>
  <c r="S770" i="1"/>
  <c r="T770" i="1" s="1"/>
  <c r="S771" i="1"/>
  <c r="S772" i="1"/>
  <c r="T772" i="1" s="1"/>
  <c r="S773" i="1"/>
  <c r="S774" i="1"/>
  <c r="T774" i="1" s="1"/>
  <c r="S775" i="1"/>
  <c r="S776" i="1"/>
  <c r="U776" i="1" s="1"/>
  <c r="S777" i="1"/>
  <c r="U777" i="1" s="1"/>
  <c r="S778" i="1"/>
  <c r="T778" i="1" s="1"/>
  <c r="S779" i="1"/>
  <c r="U779" i="1" s="1"/>
  <c r="S780" i="1"/>
  <c r="U780" i="1" s="1"/>
  <c r="S781" i="1"/>
  <c r="U781" i="1" s="1"/>
  <c r="S782" i="1"/>
  <c r="S783" i="1"/>
  <c r="S784" i="1"/>
  <c r="S785" i="1"/>
  <c r="S787" i="1"/>
  <c r="T787" i="1" s="1"/>
  <c r="S788" i="1"/>
  <c r="T788" i="1" s="1"/>
  <c r="S789" i="1"/>
  <c r="T789" i="1" s="1"/>
  <c r="S790" i="1"/>
  <c r="T790" i="1" s="1"/>
  <c r="S791" i="1"/>
  <c r="S792" i="1"/>
  <c r="S793" i="1"/>
  <c r="T793" i="1" s="1"/>
  <c r="S794" i="1"/>
  <c r="T794" i="1" s="1"/>
  <c r="S795" i="1"/>
  <c r="U795" i="1" s="1"/>
  <c r="S796" i="1"/>
  <c r="U796" i="1" s="1"/>
  <c r="S797" i="1"/>
  <c r="S798" i="1"/>
  <c r="S799" i="1"/>
  <c r="S800" i="1"/>
  <c r="T800" i="1" s="1"/>
  <c r="S801" i="1"/>
  <c r="T801" i="1" s="1"/>
  <c r="S802" i="1"/>
  <c r="T802" i="1" s="1"/>
  <c r="S803" i="1"/>
  <c r="T803" i="1" s="1"/>
  <c r="S804" i="1"/>
  <c r="S805" i="1"/>
  <c r="U805" i="1" s="1"/>
  <c r="S806" i="1"/>
  <c r="U806" i="1" s="1"/>
  <c r="S807" i="1"/>
  <c r="S808" i="1"/>
  <c r="T808" i="1" s="1"/>
  <c r="S810" i="1"/>
  <c r="S811" i="1"/>
  <c r="T811" i="1" s="1"/>
  <c r="S812" i="1"/>
  <c r="U812" i="1" s="1"/>
  <c r="S813" i="1"/>
  <c r="S814" i="1"/>
  <c r="T814" i="1" s="1"/>
  <c r="S815" i="1"/>
  <c r="T815" i="1" s="1"/>
  <c r="S816" i="1"/>
  <c r="S817" i="1"/>
  <c r="T817" i="1" s="1"/>
  <c r="S818" i="1"/>
  <c r="T818" i="1" s="1"/>
  <c r="S819" i="1"/>
  <c r="T819" i="1" s="1"/>
  <c r="S820" i="1"/>
  <c r="U820" i="1" s="1"/>
  <c r="S821" i="1"/>
  <c r="T821" i="1" s="1"/>
  <c r="S822" i="1"/>
  <c r="S823" i="1"/>
  <c r="S824" i="1"/>
  <c r="T824" i="1" s="1"/>
  <c r="S825" i="1"/>
  <c r="U825" i="1" s="1"/>
  <c r="S826" i="1"/>
  <c r="T826" i="1" s="1"/>
  <c r="S827" i="1"/>
  <c r="U827" i="1" s="1"/>
  <c r="S828" i="1"/>
  <c r="U828" i="1" s="1"/>
  <c r="S829" i="1"/>
  <c r="T829" i="1" s="1"/>
  <c r="S830" i="1"/>
  <c r="S831" i="1"/>
  <c r="U831" i="1" s="1"/>
  <c r="S832" i="1"/>
  <c r="T832" i="1" s="1"/>
  <c r="S833" i="1"/>
  <c r="T833" i="1" s="1"/>
  <c r="S834" i="1"/>
  <c r="T834" i="1" s="1"/>
  <c r="S835" i="1"/>
  <c r="T835" i="1" s="1"/>
  <c r="S836" i="1"/>
  <c r="S837" i="1"/>
  <c r="U837" i="1" s="1"/>
  <c r="S838" i="1"/>
  <c r="T838" i="1" s="1"/>
  <c r="S839" i="1"/>
  <c r="S840" i="1"/>
  <c r="T840" i="1" s="1"/>
  <c r="S841" i="1"/>
  <c r="T841" i="1" s="1"/>
  <c r="S842" i="1"/>
  <c r="T842" i="1" s="1"/>
  <c r="S843" i="1"/>
  <c r="U843" i="1" s="1"/>
  <c r="S844" i="1"/>
  <c r="S845" i="1"/>
  <c r="T845" i="1" s="1"/>
  <c r="S846" i="1"/>
  <c r="T846" i="1" s="1"/>
  <c r="S847" i="1"/>
  <c r="T847" i="1" s="1"/>
  <c r="S849" i="1"/>
  <c r="U849" i="1" s="1"/>
  <c r="S850" i="1"/>
  <c r="T850" i="1" s="1"/>
  <c r="S851" i="1"/>
  <c r="T851" i="1" s="1"/>
  <c r="S852" i="1"/>
  <c r="U852" i="1" s="1"/>
  <c r="S853" i="1"/>
  <c r="T853" i="1" s="1"/>
  <c r="S854" i="1"/>
  <c r="U854" i="1" s="1"/>
  <c r="S855" i="1"/>
  <c r="S856" i="1"/>
  <c r="S857" i="1"/>
  <c r="U857" i="1" s="1"/>
  <c r="S858" i="1"/>
  <c r="U858" i="1" s="1"/>
  <c r="S859" i="1"/>
  <c r="S860" i="1"/>
  <c r="U860" i="1" s="1"/>
  <c r="S861" i="1"/>
  <c r="T861" i="1" s="1"/>
  <c r="S862" i="1"/>
  <c r="S863" i="1"/>
  <c r="U863" i="1" s="1"/>
  <c r="S864" i="1"/>
  <c r="U864" i="1" s="1"/>
  <c r="S865" i="1"/>
  <c r="T865" i="1" s="1"/>
  <c r="S866" i="1"/>
  <c r="T866" i="1" s="1"/>
  <c r="S867" i="1"/>
  <c r="S868" i="1"/>
  <c r="S869" i="1"/>
  <c r="S870" i="1"/>
  <c r="S871" i="1"/>
  <c r="S872" i="1"/>
  <c r="S873" i="1"/>
  <c r="T873" i="1" s="1"/>
  <c r="S874" i="1"/>
  <c r="S875" i="1"/>
  <c r="U875" i="1" s="1"/>
  <c r="S876" i="1"/>
  <c r="S877" i="1"/>
  <c r="T877" i="1" s="1"/>
  <c r="S878" i="1"/>
  <c r="S879" i="1"/>
  <c r="U879" i="1" s="1"/>
  <c r="S880" i="1"/>
  <c r="S881" i="1"/>
  <c r="U881" i="1" s="1"/>
  <c r="S883" i="1"/>
  <c r="S885" i="1"/>
  <c r="S886" i="1"/>
  <c r="S887" i="1"/>
  <c r="S888" i="1"/>
  <c r="U888" i="1" s="1"/>
  <c r="S889" i="1"/>
  <c r="U889" i="1" s="1"/>
  <c r="S890" i="1"/>
  <c r="U890" i="1" s="1"/>
  <c r="S891" i="1"/>
  <c r="T891" i="1" s="1"/>
  <c r="S892" i="1"/>
  <c r="S893" i="1"/>
  <c r="T893" i="1" s="1"/>
  <c r="S894" i="1"/>
  <c r="T894" i="1" s="1"/>
  <c r="S895" i="1"/>
  <c r="S896" i="1"/>
  <c r="S897" i="1"/>
  <c r="U897" i="1" s="1"/>
  <c r="S898" i="1"/>
  <c r="T898" i="1" s="1"/>
  <c r="S899" i="1"/>
  <c r="S900" i="1"/>
  <c r="S901" i="1"/>
  <c r="T901" i="1" s="1"/>
  <c r="S902" i="1"/>
  <c r="S903" i="1"/>
  <c r="S904" i="1"/>
  <c r="T904" i="1" s="1"/>
  <c r="S905" i="1"/>
  <c r="T905" i="1" s="1"/>
  <c r="S906" i="1"/>
  <c r="T906" i="1" s="1"/>
  <c r="S907" i="1"/>
  <c r="S908" i="1"/>
  <c r="U908" i="1" s="1"/>
  <c r="S909" i="1"/>
  <c r="T909" i="1" s="1"/>
  <c r="S910" i="1"/>
  <c r="S911" i="1"/>
  <c r="T911" i="1" s="1"/>
  <c r="S912" i="1"/>
  <c r="T912" i="1" s="1"/>
  <c r="S913" i="1"/>
  <c r="S914" i="1"/>
  <c r="T914" i="1" s="1"/>
  <c r="S915" i="1"/>
  <c r="U915" i="1" s="1"/>
  <c r="S916" i="1"/>
  <c r="S917" i="1"/>
  <c r="U917" i="1" s="1"/>
  <c r="S918" i="1"/>
  <c r="S920" i="1"/>
  <c r="S921" i="1"/>
  <c r="S922" i="1"/>
  <c r="U922" i="1" s="1"/>
  <c r="S924" i="1"/>
  <c r="U924" i="1" s="1"/>
  <c r="S925" i="1"/>
  <c r="S926" i="1"/>
  <c r="T926" i="1" s="1"/>
  <c r="S928" i="1"/>
  <c r="S929" i="1"/>
  <c r="T929" i="1" s="1"/>
  <c r="S930" i="1"/>
  <c r="T930" i="1" s="1"/>
  <c r="S931" i="1"/>
  <c r="T931" i="1" s="1"/>
  <c r="S932" i="1"/>
  <c r="T932" i="1" s="1"/>
  <c r="S933" i="1"/>
  <c r="T933" i="1" s="1"/>
  <c r="S934" i="1"/>
  <c r="S935" i="1"/>
  <c r="S936" i="1"/>
  <c r="T936" i="1" s="1"/>
  <c r="S938" i="1"/>
  <c r="T938" i="1" s="1"/>
  <c r="S939" i="1"/>
  <c r="T939" i="1" s="1"/>
  <c r="S940" i="1"/>
  <c r="S941" i="1"/>
  <c r="T941" i="1" s="1"/>
  <c r="S942" i="1"/>
  <c r="T942" i="1" s="1"/>
  <c r="S944" i="1"/>
  <c r="T944" i="1" s="1"/>
  <c r="S945" i="1"/>
  <c r="T945" i="1" s="1"/>
  <c r="S946" i="1"/>
  <c r="T946" i="1" s="1"/>
  <c r="S947" i="1"/>
  <c r="S948" i="1"/>
  <c r="U948" i="1" s="1"/>
  <c r="S949" i="1"/>
  <c r="T949" i="1" s="1"/>
  <c r="S950" i="1"/>
  <c r="U950" i="1" s="1"/>
  <c r="S951" i="1"/>
  <c r="S952" i="1"/>
  <c r="T952" i="1" s="1"/>
  <c r="S954" i="1"/>
  <c r="T954" i="1" s="1"/>
  <c r="S955" i="1"/>
  <c r="T955" i="1" s="1"/>
  <c r="S956" i="1"/>
  <c r="U956" i="1" s="1"/>
  <c r="S957" i="1"/>
  <c r="T957" i="1" s="1"/>
  <c r="S958" i="1"/>
  <c r="S959" i="1"/>
  <c r="S960" i="1"/>
  <c r="T960" i="1" s="1"/>
  <c r="S961" i="1"/>
  <c r="T961" i="1" s="1"/>
  <c r="S962" i="1"/>
  <c r="T962" i="1" s="1"/>
  <c r="S963" i="1"/>
  <c r="T963" i="1" s="1"/>
  <c r="S964" i="1"/>
  <c r="S965" i="1"/>
  <c r="S967" i="1"/>
  <c r="S968" i="1"/>
  <c r="U968" i="1" s="1"/>
  <c r="S969" i="1"/>
  <c r="U969" i="1" s="1"/>
  <c r="S970" i="1"/>
  <c r="T970" i="1" s="1"/>
  <c r="S971" i="1"/>
  <c r="U971" i="1" s="1"/>
  <c r="S972" i="1"/>
  <c r="S973" i="1"/>
  <c r="T973" i="1" s="1"/>
  <c r="S974" i="1"/>
  <c r="U974" i="1" s="1"/>
  <c r="S975" i="1"/>
  <c r="U975" i="1" s="1"/>
  <c r="S976" i="1"/>
  <c r="T976" i="1" s="1"/>
  <c r="S977" i="1"/>
  <c r="S978" i="1"/>
  <c r="T978" i="1" s="1"/>
  <c r="S980" i="1"/>
  <c r="S981" i="1"/>
  <c r="T981" i="1" s="1"/>
  <c r="S982" i="1"/>
  <c r="T982" i="1" s="1"/>
  <c r="S983" i="1"/>
  <c r="S984" i="1"/>
  <c r="T984" i="1" s="1"/>
  <c r="S985" i="1"/>
  <c r="U985" i="1" s="1"/>
  <c r="S986" i="1"/>
  <c r="S987" i="1"/>
  <c r="S988" i="1"/>
  <c r="U988" i="1" s="1"/>
  <c r="S989" i="1"/>
  <c r="S990" i="1"/>
  <c r="S991" i="1"/>
  <c r="U991" i="1" s="1"/>
  <c r="S992" i="1"/>
  <c r="U992" i="1" s="1"/>
  <c r="S993" i="1"/>
  <c r="U993" i="1" s="1"/>
  <c r="S994" i="1"/>
  <c r="T994" i="1" s="1"/>
  <c r="S995" i="1"/>
  <c r="U995" i="1" s="1"/>
  <c r="S996" i="1"/>
  <c r="S998" i="1"/>
  <c r="U998" i="1" s="1"/>
  <c r="S999" i="1"/>
  <c r="S1000" i="1"/>
  <c r="T1000" i="1" s="1"/>
  <c r="S1001" i="1"/>
  <c r="S1002" i="1"/>
  <c r="S1003" i="1"/>
  <c r="U1003" i="1" s="1"/>
  <c r="S1004" i="1"/>
  <c r="U1004" i="1" s="1"/>
  <c r="S1005" i="1"/>
  <c r="T1005" i="1" s="1"/>
  <c r="S1006" i="1"/>
  <c r="T1006" i="1" s="1"/>
  <c r="S1007" i="1"/>
  <c r="U1007" i="1" s="1"/>
  <c r="S1008" i="1"/>
  <c r="S1009" i="1"/>
  <c r="U1009" i="1" s="1"/>
  <c r="S1010" i="1"/>
  <c r="T1010" i="1" s="1"/>
  <c r="S1012" i="1"/>
  <c r="T1012" i="1" s="1"/>
  <c r="S1013" i="1"/>
  <c r="T1013" i="1" s="1"/>
  <c r="S1014" i="1"/>
  <c r="S1015" i="1"/>
  <c r="S1016" i="1"/>
  <c r="U1016" i="1" s="1"/>
  <c r="S1017" i="1"/>
  <c r="S1018" i="1"/>
  <c r="T1018" i="1" s="1"/>
  <c r="S1019" i="1"/>
  <c r="T1019" i="1" s="1"/>
  <c r="S1020" i="1"/>
  <c r="S1021" i="1"/>
  <c r="S1022" i="1"/>
  <c r="T1022" i="1" s="1"/>
  <c r="S1023" i="1"/>
  <c r="U1023" i="1" s="1"/>
  <c r="S1024" i="1"/>
  <c r="T1024" i="1" s="1"/>
  <c r="S1025" i="1"/>
  <c r="T1025" i="1" s="1"/>
  <c r="S1027" i="1"/>
  <c r="T1027" i="1" s="1"/>
  <c r="S1028" i="1"/>
  <c r="T1028" i="1" s="1"/>
  <c r="S1029" i="1"/>
  <c r="U1029" i="1" s="1"/>
  <c r="S1030" i="1"/>
  <c r="S1031" i="1"/>
  <c r="S1032" i="1"/>
  <c r="T1032" i="1" s="1"/>
  <c r="S1033" i="1"/>
  <c r="U1033" i="1" s="1"/>
  <c r="S1034" i="1"/>
  <c r="T1034" i="1" s="1"/>
  <c r="S1035" i="1"/>
  <c r="S1036" i="1"/>
  <c r="U1036" i="1" s="1"/>
  <c r="S1038" i="1"/>
  <c r="S1039" i="1"/>
  <c r="S1040" i="1"/>
  <c r="U1040" i="1" s="1"/>
  <c r="S1041" i="1"/>
  <c r="S1042" i="1"/>
  <c r="T1042" i="1" s="1"/>
  <c r="S1043" i="1"/>
  <c r="S1044" i="1"/>
  <c r="U1044" i="1" s="1"/>
  <c r="S1045" i="1"/>
  <c r="S1046" i="1"/>
  <c r="U1046" i="1" s="1"/>
  <c r="S1047" i="1"/>
  <c r="S1048" i="1"/>
  <c r="T1048" i="1" s="1"/>
  <c r="S1049" i="1"/>
  <c r="U1049" i="1" s="1"/>
  <c r="S1050" i="1"/>
  <c r="S1051" i="1"/>
  <c r="S1052" i="1"/>
  <c r="U1052" i="1" s="1"/>
  <c r="S1053" i="1"/>
  <c r="T1053" i="1" s="1"/>
  <c r="S1054" i="1"/>
  <c r="T1054" i="1" s="1"/>
  <c r="S1055" i="1"/>
  <c r="S1057" i="1"/>
  <c r="U1057" i="1" s="1"/>
  <c r="S1058" i="1"/>
  <c r="T1058" i="1" s="1"/>
  <c r="S1059" i="1"/>
  <c r="U1059" i="1" s="1"/>
  <c r="S1060" i="1"/>
  <c r="T1060" i="1" s="1"/>
  <c r="S1061" i="1"/>
  <c r="S1062" i="1"/>
  <c r="S1063" i="1"/>
  <c r="S1064" i="1"/>
  <c r="S1065" i="1"/>
  <c r="T1065" i="1" s="1"/>
  <c r="S1066" i="1"/>
  <c r="S1067" i="1"/>
  <c r="S1068" i="1"/>
  <c r="U1068" i="1" s="1"/>
  <c r="S1069" i="1"/>
  <c r="T1069" i="1" s="1"/>
  <c r="S1071" i="1"/>
  <c r="S1073" i="1"/>
  <c r="S1074" i="1"/>
  <c r="T1074" i="1" s="1"/>
  <c r="S1076" i="1"/>
  <c r="S1077" i="1"/>
  <c r="S1078" i="1"/>
  <c r="U1078" i="1" s="1"/>
  <c r="S1079" i="1"/>
  <c r="S1080" i="1"/>
  <c r="T1080" i="1" s="1"/>
  <c r="S1081" i="1"/>
  <c r="U1081" i="1" s="1"/>
  <c r="S1082" i="1"/>
  <c r="T1082" i="1" s="1"/>
  <c r="S1083" i="1"/>
  <c r="U1083" i="1" s="1"/>
  <c r="S1084" i="1"/>
  <c r="S1085" i="1"/>
  <c r="T1085" i="1" s="1"/>
  <c r="S1087" i="1"/>
  <c r="S1089" i="1"/>
  <c r="S1090" i="1"/>
  <c r="T1090" i="1" s="1"/>
  <c r="S1092" i="1"/>
  <c r="U1092" i="1" s="1"/>
  <c r="S1093" i="1"/>
  <c r="S1094" i="1"/>
  <c r="S1095" i="1"/>
  <c r="S1096" i="1"/>
  <c r="T1096" i="1" s="1"/>
  <c r="S1097" i="1"/>
  <c r="S1098" i="1"/>
  <c r="T1098" i="1" s="1"/>
  <c r="S1099" i="1"/>
  <c r="U1099" i="1" s="1"/>
  <c r="S1100" i="1"/>
  <c r="S1101" i="1"/>
  <c r="T1101" i="1" s="1"/>
  <c r="S1102" i="1"/>
  <c r="S1103" i="1"/>
  <c r="S1104" i="1"/>
  <c r="U1104" i="1" s="1"/>
  <c r="S1105" i="1"/>
  <c r="U1105" i="1" s="1"/>
  <c r="S1106" i="1"/>
  <c r="T1106" i="1" s="1"/>
  <c r="S1107" i="1"/>
  <c r="U1107" i="1" s="1"/>
  <c r="S1108" i="1"/>
  <c r="U1108" i="1" s="1"/>
  <c r="S1110" i="1"/>
  <c r="U1110" i="1" s="1"/>
  <c r="S1111" i="1"/>
  <c r="S1113" i="1"/>
  <c r="T1113" i="1" s="1"/>
  <c r="S1115" i="1"/>
  <c r="S1117" i="1"/>
  <c r="T1117" i="1" s="1"/>
  <c r="S1118" i="1"/>
  <c r="T1118" i="1" s="1"/>
  <c r="S1119" i="1"/>
  <c r="T1119" i="1" s="1"/>
  <c r="S1120" i="1"/>
  <c r="U1120" i="1" s="1"/>
  <c r="S1121" i="1"/>
  <c r="U1121" i="1" s="1"/>
  <c r="S1122" i="1"/>
  <c r="T1122" i="1" s="1"/>
  <c r="S1123" i="1"/>
  <c r="U1123" i="1" s="1"/>
  <c r="S1124" i="1"/>
  <c r="T1124" i="1" s="1"/>
  <c r="S1125" i="1"/>
  <c r="T1125" i="1" s="1"/>
  <c r="S1126" i="1"/>
  <c r="T1126" i="1" s="1"/>
  <c r="S1128" i="1"/>
  <c r="T1128" i="1" s="1"/>
  <c r="S1129" i="1"/>
  <c r="U1129" i="1" s="1"/>
  <c r="S1130" i="1"/>
  <c r="S1132" i="1"/>
  <c r="U1132" i="1" s="1"/>
  <c r="S1133" i="1"/>
  <c r="T1133" i="1" s="1"/>
  <c r="S1134" i="1"/>
  <c r="S1135" i="1"/>
  <c r="T1135" i="1" s="1"/>
  <c r="S1137" i="1"/>
  <c r="T1137" i="1" s="1"/>
  <c r="S1138" i="1"/>
  <c r="T1138" i="1" s="1"/>
  <c r="S1139" i="1"/>
  <c r="U1139" i="1" s="1"/>
  <c r="S1140" i="1"/>
  <c r="T1140" i="1" s="1"/>
  <c r="S1141" i="1"/>
  <c r="U1141" i="1" s="1"/>
  <c r="S1142" i="1"/>
  <c r="T1142" i="1" s="1"/>
  <c r="S1143" i="1"/>
  <c r="S1144" i="1"/>
  <c r="S1145" i="1"/>
  <c r="T1145" i="1" s="1"/>
  <c r="S1147" i="1"/>
  <c r="S1149" i="1"/>
  <c r="T1149" i="1" s="1"/>
  <c r="S1150" i="1"/>
  <c r="S1151" i="1"/>
  <c r="S1152" i="1"/>
  <c r="T1152" i="1" s="1"/>
  <c r="S1153" i="1"/>
  <c r="U1153" i="1" s="1"/>
  <c r="S1154" i="1"/>
  <c r="T1154" i="1" s="1"/>
  <c r="S1155" i="1"/>
  <c r="U1155" i="1" s="1"/>
  <c r="S1156" i="1"/>
  <c r="U1156" i="1" s="1"/>
  <c r="S1157" i="1"/>
  <c r="U1157" i="1" s="1"/>
  <c r="S1158" i="1"/>
  <c r="T1158" i="1" s="1"/>
  <c r="S1159" i="1"/>
  <c r="S1160" i="1"/>
  <c r="T1160" i="1" s="1"/>
  <c r="S1162" i="1"/>
  <c r="U1162" i="1" s="1"/>
  <c r="S1163" i="1"/>
  <c r="S1164" i="1"/>
  <c r="U1164" i="1" s="1"/>
  <c r="S1165" i="1"/>
  <c r="T1165" i="1" s="1"/>
  <c r="S1167" i="1"/>
  <c r="T1167" i="1" s="1"/>
  <c r="S1168" i="1"/>
  <c r="T1168" i="1" s="1"/>
  <c r="S1169" i="1"/>
  <c r="S1170" i="1"/>
  <c r="T1170" i="1" s="1"/>
  <c r="S1171" i="1"/>
  <c r="T1171" i="1" s="1"/>
  <c r="S1172" i="1"/>
  <c r="T1172" i="1" s="1"/>
  <c r="S1173" i="1"/>
  <c r="T1173" i="1" s="1"/>
  <c r="S1174" i="1"/>
  <c r="T1174" i="1" s="1"/>
  <c r="S1175" i="1"/>
  <c r="S1176" i="1"/>
  <c r="T1176" i="1" s="1"/>
  <c r="S1177" i="1"/>
  <c r="T1177" i="1" s="1"/>
  <c r="S1178" i="1"/>
  <c r="S1180" i="1"/>
  <c r="U1180" i="1" s="1"/>
  <c r="S1181" i="1"/>
  <c r="T1181" i="1" s="1"/>
  <c r="S1182" i="1"/>
  <c r="S1183" i="1"/>
  <c r="S1184" i="1"/>
  <c r="S1186" i="1"/>
  <c r="T1186" i="1" s="1"/>
  <c r="S1188" i="1"/>
  <c r="T1188" i="1" s="1"/>
  <c r="S1190" i="1"/>
  <c r="T1190" i="1" s="1"/>
  <c r="S1191" i="1"/>
  <c r="S1193" i="1"/>
  <c r="T1193" i="1" s="1"/>
  <c r="S1194" i="1"/>
  <c r="U1194" i="1" s="1"/>
  <c r="S1195" i="1"/>
  <c r="S1197" i="1"/>
  <c r="T1197" i="1" s="1"/>
  <c r="S1198" i="1"/>
  <c r="U1198" i="1" s="1"/>
  <c r="S1199" i="1"/>
  <c r="T1199" i="1" s="1"/>
  <c r="S1200" i="1"/>
  <c r="S1201" i="1"/>
  <c r="T1201" i="1" s="1"/>
  <c r="S1202" i="1"/>
  <c r="T1202" i="1" s="1"/>
  <c r="S1203" i="1"/>
  <c r="T1203" i="1" s="1"/>
  <c r="S1204" i="1"/>
  <c r="T1204" i="1" s="1"/>
  <c r="S1205" i="1"/>
  <c r="T1205" i="1" s="1"/>
  <c r="S1206" i="1"/>
  <c r="T1206" i="1" s="1"/>
  <c r="S1207" i="1"/>
  <c r="S1208" i="1"/>
  <c r="S1209" i="1"/>
  <c r="T1209" i="1" s="1"/>
  <c r="S1210" i="1"/>
  <c r="T1210" i="1" s="1"/>
  <c r="S1211" i="1"/>
  <c r="S1212" i="1"/>
  <c r="U1212" i="1" s="1"/>
  <c r="S1213" i="1"/>
  <c r="T1213" i="1" s="1"/>
  <c r="S1214" i="1"/>
  <c r="S1215" i="1"/>
  <c r="U1215" i="1" s="1"/>
  <c r="S1216" i="1"/>
  <c r="S1217" i="1"/>
  <c r="U1217" i="1" s="1"/>
  <c r="S1218" i="1"/>
  <c r="T1218" i="1" s="1"/>
  <c r="S1219" i="1"/>
  <c r="T1219" i="1" s="1"/>
  <c r="S1220" i="1"/>
  <c r="U1220" i="1" s="1"/>
  <c r="S1221" i="1"/>
  <c r="T1221" i="1" s="1"/>
  <c r="S1222" i="1"/>
  <c r="T1222" i="1" s="1"/>
  <c r="S1223" i="1"/>
  <c r="S1224" i="1"/>
  <c r="T1224" i="1" s="1"/>
  <c r="S1225" i="1"/>
  <c r="T1225" i="1" s="1"/>
  <c r="S1226" i="1"/>
  <c r="U1226" i="1" s="1"/>
  <c r="S1227" i="1"/>
  <c r="T1227" i="1" s="1"/>
  <c r="S1228" i="1"/>
  <c r="U1228" i="1" s="1"/>
  <c r="S1229" i="1"/>
  <c r="S1230" i="1"/>
  <c r="T1230" i="1" s="1"/>
  <c r="S1231" i="1"/>
  <c r="T1231" i="1" s="1"/>
  <c r="S1232" i="1"/>
  <c r="S1234" i="1"/>
  <c r="T1234" i="1" s="1"/>
  <c r="S1235" i="1"/>
  <c r="T1235" i="1" s="1"/>
  <c r="S1236" i="1"/>
  <c r="S1237" i="1"/>
  <c r="U1237" i="1" s="1"/>
  <c r="S1238" i="1"/>
  <c r="T1238" i="1" s="1"/>
  <c r="S1239" i="1"/>
  <c r="S1240" i="1"/>
  <c r="S1241" i="1"/>
  <c r="S1242" i="1"/>
  <c r="S1243" i="1"/>
  <c r="T1243" i="1" s="1"/>
  <c r="S1244" i="1"/>
  <c r="S1245" i="1"/>
  <c r="S1246" i="1"/>
  <c r="T1246" i="1" s="1"/>
  <c r="S1247" i="1"/>
  <c r="T1247" i="1" s="1"/>
  <c r="S1248" i="1"/>
  <c r="T1248" i="1" s="1"/>
  <c r="S1249" i="1"/>
  <c r="U1249" i="1" s="1"/>
  <c r="S1250" i="1"/>
  <c r="S1251" i="1"/>
  <c r="T1251" i="1" s="1"/>
  <c r="S1252" i="1"/>
  <c r="S1253" i="1"/>
  <c r="U1253" i="1" s="1"/>
  <c r="S1254" i="1"/>
  <c r="S1255" i="1"/>
  <c r="T1255" i="1" s="1"/>
  <c r="S1256" i="1"/>
  <c r="T1256" i="1" s="1"/>
  <c r="S1257" i="1"/>
  <c r="U1257" i="1" s="1"/>
  <c r="S1258" i="1"/>
  <c r="T1258" i="1" s="1"/>
  <c r="S1259" i="1"/>
  <c r="T1259" i="1" s="1"/>
  <c r="S1261" i="1"/>
  <c r="S1263" i="1"/>
  <c r="T1263" i="1" s="1"/>
  <c r="S1265" i="1"/>
  <c r="U1265" i="1" s="1"/>
  <c r="S1266" i="1"/>
  <c r="T1266" i="1" s="1"/>
  <c r="S1268" i="1"/>
  <c r="S1270" i="1"/>
  <c r="U1270" i="1" s="1"/>
  <c r="S1271" i="1"/>
  <c r="T1271" i="1" s="1"/>
  <c r="S1273" i="1"/>
  <c r="S1275" i="1"/>
  <c r="S1276" i="1"/>
  <c r="S1277" i="1"/>
  <c r="U1277" i="1" s="1"/>
  <c r="S1278" i="1"/>
  <c r="U1278" i="1" s="1"/>
  <c r="S1279" i="1"/>
  <c r="T1279" i="1" s="1"/>
  <c r="S1280" i="1"/>
  <c r="S1281" i="1"/>
  <c r="S1282" i="1"/>
  <c r="U1282" i="1" s="1"/>
  <c r="S1283" i="1"/>
  <c r="T1283" i="1" s="1"/>
  <c r="S1284" i="1"/>
  <c r="S1285" i="1"/>
  <c r="S1286" i="1"/>
  <c r="U1286" i="1" s="1"/>
  <c r="S1287" i="1"/>
  <c r="U1287" i="1" s="1"/>
  <c r="S1288" i="1"/>
  <c r="S1289" i="1"/>
  <c r="U1289" i="1" s="1"/>
  <c r="S1290" i="1"/>
  <c r="T1290" i="1" s="1"/>
  <c r="S1291" i="1"/>
  <c r="T1291" i="1" s="1"/>
  <c r="S1292" i="1"/>
  <c r="U1292" i="1" s="1"/>
  <c r="S1293" i="1"/>
  <c r="S1294" i="1"/>
  <c r="U1294" i="1" s="1"/>
  <c r="S1296" i="1"/>
  <c r="T1296" i="1" s="1"/>
  <c r="S1297" i="1"/>
  <c r="T1297" i="1" s="1"/>
  <c r="S1298" i="1"/>
  <c r="T1298" i="1" s="1"/>
  <c r="S1299" i="1"/>
  <c r="S1300" i="1"/>
  <c r="S1301" i="1"/>
  <c r="S1302" i="1"/>
  <c r="S1303" i="1"/>
  <c r="T1303" i="1" s="1"/>
  <c r="S1304" i="1"/>
  <c r="S1305" i="1"/>
  <c r="S1306" i="1"/>
  <c r="T1306" i="1" s="1"/>
  <c r="S1307" i="1"/>
  <c r="T1307" i="1" s="1"/>
  <c r="S1308" i="1"/>
  <c r="T1308" i="1" s="1"/>
  <c r="S1309" i="1"/>
  <c r="U1309" i="1" s="1"/>
  <c r="S1310" i="1"/>
  <c r="T1310" i="1" s="1"/>
  <c r="S1311" i="1"/>
  <c r="S1312" i="1"/>
  <c r="T1312" i="1" s="1"/>
  <c r="S1313" i="1"/>
  <c r="S1314" i="1"/>
  <c r="U1314" i="1" s="1"/>
  <c r="S1315" i="1"/>
  <c r="T1315" i="1" s="1"/>
  <c r="S1316" i="1"/>
  <c r="S1317" i="1"/>
  <c r="U1317" i="1" s="1"/>
  <c r="S1318" i="1"/>
  <c r="S1319" i="1"/>
  <c r="U1319" i="1" s="1"/>
  <c r="S1320" i="1"/>
  <c r="T1320" i="1" s="1"/>
  <c r="S1322" i="1"/>
  <c r="S1324" i="1"/>
  <c r="T1324" i="1" s="1"/>
  <c r="S1325" i="1"/>
  <c r="S1326" i="1"/>
  <c r="T1326" i="1" s="1"/>
  <c r="S1327" i="1"/>
  <c r="S1328" i="1"/>
  <c r="T1328" i="1" s="1"/>
  <c r="S1329" i="1"/>
  <c r="U1329" i="1" s="1"/>
  <c r="S1331" i="1"/>
  <c r="S1332" i="1"/>
  <c r="S1333" i="1"/>
  <c r="U1333" i="1" s="1"/>
  <c r="S1334" i="1"/>
  <c r="S1335" i="1"/>
  <c r="U1335" i="1" s="1"/>
  <c r="S1336" i="1"/>
  <c r="S1337" i="1"/>
  <c r="S1338" i="1"/>
  <c r="T1338" i="1" s="1"/>
  <c r="S1339" i="1"/>
  <c r="U1339" i="1" s="1"/>
  <c r="S1340" i="1"/>
  <c r="S1341" i="1"/>
  <c r="S1342" i="1"/>
  <c r="T1342" i="1" s="1"/>
  <c r="S1343" i="1"/>
  <c r="T1343" i="1" s="1"/>
  <c r="S1344" i="1"/>
  <c r="T1344" i="1" s="1"/>
  <c r="S1345" i="1"/>
  <c r="T1345" i="1" s="1"/>
  <c r="S1346" i="1"/>
  <c r="U1346" i="1" s="1"/>
  <c r="S1347" i="1"/>
  <c r="T1347" i="1" s="1"/>
  <c r="S1348" i="1"/>
  <c r="S1349" i="1"/>
  <c r="U1349" i="1" s="1"/>
  <c r="S1350" i="1"/>
  <c r="S1351" i="1"/>
  <c r="T1351" i="1" s="1"/>
  <c r="S1352" i="1"/>
  <c r="U1352" i="1" s="1"/>
  <c r="S1353" i="1"/>
  <c r="U1353" i="1" s="1"/>
  <c r="S1354" i="1"/>
  <c r="S1355" i="1"/>
  <c r="U1355" i="1" s="1"/>
  <c r="S1356" i="1"/>
  <c r="T1356" i="1" s="1"/>
  <c r="S1357" i="1"/>
  <c r="T1357" i="1" s="1"/>
  <c r="S1358" i="1"/>
  <c r="S1359" i="1"/>
  <c r="T1359" i="1" s="1"/>
  <c r="S1360" i="1"/>
  <c r="S1361" i="1"/>
  <c r="U1361" i="1" s="1"/>
  <c r="S1362" i="1"/>
  <c r="T1362" i="1" s="1"/>
  <c r="S1363" i="1"/>
  <c r="T1363" i="1" s="1"/>
  <c r="S1364" i="1"/>
  <c r="S1365" i="1"/>
  <c r="U1365" i="1" s="1"/>
  <c r="S1366" i="1"/>
  <c r="S1367" i="1"/>
  <c r="T1367" i="1" s="1"/>
  <c r="S1368" i="1"/>
  <c r="S1369" i="1"/>
  <c r="U1369" i="1" s="1"/>
  <c r="S1370" i="1"/>
  <c r="S1371" i="1"/>
  <c r="T1371" i="1" s="1"/>
  <c r="S1372" i="1"/>
  <c r="U1372" i="1" s="1"/>
  <c r="S1373" i="1"/>
  <c r="T1373" i="1" s="1"/>
  <c r="S1375" i="1"/>
  <c r="T1375" i="1" s="1"/>
  <c r="S1376" i="1"/>
  <c r="T1376" i="1" s="1"/>
  <c r="S1377" i="1"/>
  <c r="S1378" i="1"/>
  <c r="U1378" i="1" s="1"/>
  <c r="S1379" i="1"/>
  <c r="U1379" i="1" s="1"/>
  <c r="S1380" i="1"/>
  <c r="T1380" i="1" s="1"/>
  <c r="S1381" i="1"/>
  <c r="S1382" i="1"/>
  <c r="U1382" i="1" s="1"/>
  <c r="S1383" i="1"/>
  <c r="T1383" i="1" s="1"/>
  <c r="S1384" i="1"/>
  <c r="T1384" i="1" s="1"/>
  <c r="S1385" i="1"/>
  <c r="S1386" i="1"/>
  <c r="T1386" i="1" s="1"/>
  <c r="S1388" i="1"/>
  <c r="T1388" i="1" s="1"/>
  <c r="S1390" i="1"/>
  <c r="U1390" i="1" s="1"/>
  <c r="S1392" i="1"/>
  <c r="T1392" i="1" s="1"/>
  <c r="S1394" i="1"/>
  <c r="S1395" i="1"/>
  <c r="T1395" i="1" s="1"/>
  <c r="S1397" i="1"/>
  <c r="T1397" i="1" s="1"/>
  <c r="S1399" i="1"/>
  <c r="T1399" i="1" s="1"/>
  <c r="S1400" i="1"/>
  <c r="S1401" i="1"/>
  <c r="S1403" i="1"/>
  <c r="T1403" i="1" s="1"/>
  <c r="S1404" i="1"/>
  <c r="U1404" i="1" s="1"/>
  <c r="S1405" i="1"/>
  <c r="T1405" i="1" s="1"/>
  <c r="S1406" i="1"/>
  <c r="S1407" i="1"/>
  <c r="T1407" i="1" s="1"/>
  <c r="S1408" i="1"/>
  <c r="U1408" i="1" s="1"/>
  <c r="S1409" i="1"/>
  <c r="S1410" i="1"/>
  <c r="S1411" i="1"/>
  <c r="S1412" i="1"/>
  <c r="T1412" i="1" s="1"/>
  <c r="S1413" i="1"/>
  <c r="T1413" i="1" s="1"/>
  <c r="S1414" i="1"/>
  <c r="T1414" i="1" s="1"/>
  <c r="S1415" i="1"/>
  <c r="S1416" i="1"/>
  <c r="S1417" i="1"/>
  <c r="S1418" i="1"/>
  <c r="T1418" i="1" s="1"/>
  <c r="S1420" i="1"/>
  <c r="T1420" i="1" s="1"/>
  <c r="S1421" i="1"/>
  <c r="T1421" i="1" s="1"/>
  <c r="S1422" i="1"/>
  <c r="U1422" i="1" s="1"/>
  <c r="S1423" i="1"/>
  <c r="U1423" i="1" s="1"/>
  <c r="S1424" i="1"/>
  <c r="S1425" i="1"/>
  <c r="T1425" i="1" s="1"/>
  <c r="S1426" i="1"/>
  <c r="U1426" i="1" s="1"/>
  <c r="S1427" i="1"/>
  <c r="T1427" i="1" s="1"/>
  <c r="S1428" i="1"/>
  <c r="T1428" i="1" s="1"/>
  <c r="S1430" i="1"/>
  <c r="U1430" i="1" s="1"/>
  <c r="S1431" i="1"/>
  <c r="S1433" i="1"/>
  <c r="S1435" i="1"/>
  <c r="T1435" i="1" s="1"/>
  <c r="S1437" i="1"/>
  <c r="U1437" i="1" s="1"/>
  <c r="S1438" i="1"/>
  <c r="U1438" i="1" s="1"/>
  <c r="S1439" i="1"/>
  <c r="T1439" i="1" s="1"/>
  <c r="S1441" i="1"/>
  <c r="S1442" i="1"/>
  <c r="S1443" i="1"/>
  <c r="T1443" i="1" s="1"/>
  <c r="S1444" i="1"/>
  <c r="T1444" i="1" s="1"/>
  <c r="S1446" i="1"/>
  <c r="U1446" i="1" s="1"/>
  <c r="S1448" i="1"/>
  <c r="U1448" i="1" s="1"/>
  <c r="S1449" i="1"/>
  <c r="S1450" i="1"/>
  <c r="U1450" i="1" s="1"/>
  <c r="S1452" i="1"/>
  <c r="S1453" i="1"/>
  <c r="S1454" i="1"/>
  <c r="S1455" i="1"/>
  <c r="T1455" i="1" s="1"/>
  <c r="S1456" i="1"/>
  <c r="T1456" i="1" s="1"/>
  <c r="S1457" i="1"/>
  <c r="S1458" i="1"/>
  <c r="T1458" i="1" s="1"/>
  <c r="S1459" i="1"/>
  <c r="S1460" i="1"/>
  <c r="T1460" i="1" s="1"/>
  <c r="S1461" i="1"/>
  <c r="T1461" i="1" s="1"/>
  <c r="S1462" i="1"/>
  <c r="T1462" i="1" s="1"/>
  <c r="S1463" i="1"/>
  <c r="T1463" i="1" s="1"/>
  <c r="S1464" i="1"/>
  <c r="S1465" i="1"/>
  <c r="S1466" i="1"/>
  <c r="T1466" i="1" s="1"/>
  <c r="S1467" i="1"/>
  <c r="T1467" i="1" s="1"/>
  <c r="S1468" i="1"/>
  <c r="U1468" i="1" s="1"/>
  <c r="S1469" i="1"/>
  <c r="T1469" i="1" s="1"/>
  <c r="S1470" i="1"/>
  <c r="U1470" i="1" s="1"/>
  <c r="S1471" i="1"/>
  <c r="T1471" i="1" s="1"/>
  <c r="S1473" i="1"/>
  <c r="S1474" i="1"/>
  <c r="U1474" i="1" s="1"/>
  <c r="S1475" i="1"/>
  <c r="U1475" i="1" s="1"/>
  <c r="S1476" i="1"/>
  <c r="T1476" i="1" s="1"/>
  <c r="S1477" i="1"/>
  <c r="T1477" i="1" s="1"/>
  <c r="S1478" i="1"/>
  <c r="T1478" i="1" s="1"/>
  <c r="S1479" i="1"/>
  <c r="S1480" i="1"/>
  <c r="T1480" i="1" s="1"/>
  <c r="S1481" i="1"/>
  <c r="S1482" i="1"/>
  <c r="T1482" i="1" s="1"/>
  <c r="S1483" i="1"/>
  <c r="T1483" i="1" s="1"/>
  <c r="S1484" i="1"/>
  <c r="T1484" i="1" s="1"/>
  <c r="S1485" i="1"/>
  <c r="S1486" i="1"/>
  <c r="U1486" i="1" s="1"/>
  <c r="S1487" i="1"/>
  <c r="T1487" i="1" s="1"/>
  <c r="S1488" i="1"/>
  <c r="U1488" i="1" s="1"/>
  <c r="S1489" i="1"/>
  <c r="U1489" i="1" s="1"/>
  <c r="S1490" i="1"/>
  <c r="S1491" i="1"/>
  <c r="T1491" i="1" s="1"/>
  <c r="S1492" i="1"/>
  <c r="T1492" i="1" s="1"/>
  <c r="S1493" i="1"/>
  <c r="T1493" i="1" s="1"/>
  <c r="S1494" i="1"/>
  <c r="T1494" i="1" s="1"/>
  <c r="S1495" i="1"/>
  <c r="T1495" i="1" s="1"/>
  <c r="S1496" i="1"/>
  <c r="T1496" i="1" s="1"/>
  <c r="S1497" i="1"/>
  <c r="S1498" i="1"/>
  <c r="U1498" i="1" s="1"/>
  <c r="S1499" i="1"/>
  <c r="T1499" i="1" s="1"/>
  <c r="S1500" i="1"/>
  <c r="U1500" i="1" s="1"/>
  <c r="S1501" i="1"/>
  <c r="T1501" i="1" s="1"/>
  <c r="S1502" i="1"/>
  <c r="U1502" i="1" s="1"/>
  <c r="S1503" i="1"/>
  <c r="S1504" i="1"/>
  <c r="T1504" i="1" s="1"/>
  <c r="S1505" i="1"/>
  <c r="S1506" i="1"/>
  <c r="U1506" i="1" s="1"/>
  <c r="S1507" i="1"/>
  <c r="U1507" i="1" s="1"/>
  <c r="S1508" i="1"/>
  <c r="T1508" i="1" s="1"/>
  <c r="S1509" i="1"/>
  <c r="T1509" i="1" s="1"/>
  <c r="S1510" i="1"/>
  <c r="U1510" i="1" s="1"/>
  <c r="S1511" i="1"/>
  <c r="T1511" i="1" s="1"/>
  <c r="S1512" i="1"/>
  <c r="T1512" i="1" s="1"/>
  <c r="S1513" i="1"/>
  <c r="S1514" i="1"/>
  <c r="T1514" i="1" s="1"/>
  <c r="S1515" i="1"/>
  <c r="T1515" i="1" s="1"/>
  <c r="S1516" i="1"/>
  <c r="T1516" i="1" s="1"/>
  <c r="S1517" i="1"/>
  <c r="U1517" i="1" s="1"/>
  <c r="S1518" i="1"/>
  <c r="U1518" i="1" s="1"/>
  <c r="S1520" i="1"/>
  <c r="T1520" i="1" s="1"/>
  <c r="S1521" i="1"/>
  <c r="S1522" i="1"/>
  <c r="U1522" i="1" s="1"/>
  <c r="S1523" i="1"/>
  <c r="T1523" i="1" s="1"/>
  <c r="S1524" i="1"/>
  <c r="T1524" i="1" s="1"/>
  <c r="S1525" i="1"/>
  <c r="T1525" i="1" s="1"/>
  <c r="S1526" i="1"/>
  <c r="S1528" i="1"/>
  <c r="T1528" i="1" s="1"/>
  <c r="S1529" i="1"/>
  <c r="S1530" i="1"/>
  <c r="T1530" i="1" s="1"/>
  <c r="S1531" i="1"/>
  <c r="U1531" i="1" s="1"/>
  <c r="S1532" i="1"/>
  <c r="U1532" i="1" s="1"/>
  <c r="S1533" i="1"/>
  <c r="S1534" i="1"/>
  <c r="U1534" i="1" s="1"/>
  <c r="S1535" i="1"/>
  <c r="T1535" i="1" s="1"/>
  <c r="S1536" i="1"/>
  <c r="T1536" i="1" s="1"/>
  <c r="S1537" i="1"/>
  <c r="S1538" i="1"/>
  <c r="S1539" i="1"/>
  <c r="U1539" i="1" s="1"/>
  <c r="S1540" i="1"/>
  <c r="T1540" i="1" s="1"/>
  <c r="S1541" i="1"/>
  <c r="S1542" i="1"/>
  <c r="U1542" i="1" s="1"/>
  <c r="S1543" i="1"/>
  <c r="S1544" i="1"/>
  <c r="U1544" i="1" s="1"/>
  <c r="S1545" i="1"/>
  <c r="S1546" i="1"/>
  <c r="T1546" i="1" s="1"/>
  <c r="S1547" i="1"/>
  <c r="U1547" i="1" s="1"/>
  <c r="S1548" i="1"/>
  <c r="U1548" i="1" s="1"/>
  <c r="S1550" i="1"/>
  <c r="U1550" i="1" s="1"/>
  <c r="S1552" i="1"/>
  <c r="T1552" i="1" s="1"/>
  <c r="S1554" i="1"/>
  <c r="T1554" i="1" s="1"/>
  <c r="S1556" i="1"/>
  <c r="T1556" i="1" s="1"/>
  <c r="S1558" i="1"/>
  <c r="U1558" i="1" s="1"/>
  <c r="S1559" i="1"/>
  <c r="S1560" i="1"/>
  <c r="U1560" i="1" s="1"/>
  <c r="S1561" i="1"/>
  <c r="S1562" i="1"/>
  <c r="U1562" i="1" s="1"/>
  <c r="S1563" i="1"/>
  <c r="T1563" i="1" s="1"/>
  <c r="S1564" i="1"/>
  <c r="U1564" i="1" s="1"/>
  <c r="S1565" i="1"/>
  <c r="U1565" i="1" s="1"/>
  <c r="S1566" i="1"/>
  <c r="U1566" i="1" s="1"/>
  <c r="S1567" i="1"/>
  <c r="S1568" i="1"/>
  <c r="T1568" i="1" s="1"/>
  <c r="S1569" i="1"/>
  <c r="T1569" i="1" s="1"/>
  <c r="S1570" i="1"/>
  <c r="S1571" i="1"/>
  <c r="S1572" i="1"/>
  <c r="T1572" i="1" s="1"/>
  <c r="S1573" i="1"/>
  <c r="T1573" i="1" s="1"/>
  <c r="S1574" i="1"/>
  <c r="T1574" i="1" s="1"/>
  <c r="S1575" i="1"/>
  <c r="S1577" i="1"/>
  <c r="S1578" i="1"/>
  <c r="S1579" i="1"/>
  <c r="T1579" i="1" s="1"/>
  <c r="S1581" i="1"/>
  <c r="S1582" i="1"/>
  <c r="U1582" i="1" s="1"/>
  <c r="S1583" i="1"/>
  <c r="U1583" i="1" s="1"/>
  <c r="S1584" i="1"/>
  <c r="T1584" i="1" s="1"/>
  <c r="S1585" i="1"/>
  <c r="U1585" i="1" s="1"/>
  <c r="S1586" i="1"/>
  <c r="T1586" i="1" s="1"/>
  <c r="S1587" i="1"/>
  <c r="T1587" i="1" s="1"/>
  <c r="S1589" i="1"/>
  <c r="T1589" i="1" s="1"/>
  <c r="S1590" i="1"/>
  <c r="T1590" i="1" s="1"/>
  <c r="S1591" i="1"/>
  <c r="T1591" i="1" s="1"/>
  <c r="S1592" i="1"/>
  <c r="S1593" i="1"/>
  <c r="S1594" i="1"/>
  <c r="T1594" i="1" s="1"/>
  <c r="S1595" i="1"/>
  <c r="T1595" i="1" s="1"/>
  <c r="S1596" i="1"/>
  <c r="U1596" i="1" s="1"/>
  <c r="S1597" i="1"/>
  <c r="T1597" i="1" s="1"/>
  <c r="S1598" i="1"/>
  <c r="S1599" i="1"/>
  <c r="U1599" i="1" s="1"/>
  <c r="S1600" i="1"/>
  <c r="T1600" i="1" s="1"/>
  <c r="S1601" i="1"/>
  <c r="T1601" i="1" s="1"/>
  <c r="S1602" i="1"/>
  <c r="U1602" i="1" s="1"/>
  <c r="S1603" i="1"/>
  <c r="U1603" i="1" s="1"/>
  <c r="S1604" i="1"/>
  <c r="T1604" i="1" s="1"/>
  <c r="S1606" i="1"/>
  <c r="S1607" i="1"/>
  <c r="S1609" i="1"/>
  <c r="S1610" i="1"/>
  <c r="T1610" i="1" s="1"/>
  <c r="S1611" i="1"/>
  <c r="S1612" i="1"/>
  <c r="T1612" i="1" s="1"/>
  <c r="S1613" i="1"/>
  <c r="S1614" i="1"/>
  <c r="S1615" i="1"/>
  <c r="T1615" i="1" s="1"/>
  <c r="S1616" i="1"/>
  <c r="T1616" i="1" s="1"/>
  <c r="S1617" i="1"/>
  <c r="S1618" i="1"/>
  <c r="T1618" i="1" s="1"/>
  <c r="S1619" i="1"/>
  <c r="T1619" i="1" s="1"/>
  <c r="S1620" i="1"/>
  <c r="T1620" i="1" s="1"/>
  <c r="S1621" i="1"/>
  <c r="T1621" i="1" s="1"/>
  <c r="S1622" i="1"/>
  <c r="T1622" i="1" s="1"/>
  <c r="S1623" i="1"/>
  <c r="T1623" i="1" s="1"/>
  <c r="S1624" i="1"/>
  <c r="T1624" i="1" s="1"/>
  <c r="S1625" i="1"/>
  <c r="S1626" i="1"/>
  <c r="T1626" i="1" s="1"/>
  <c r="S1627" i="1"/>
  <c r="S1628" i="1"/>
  <c r="U1628" i="1" s="1"/>
  <c r="S1629" i="1"/>
  <c r="T1629" i="1" s="1"/>
  <c r="S1630" i="1"/>
  <c r="U1630" i="1" s="1"/>
  <c r="S1631" i="1"/>
  <c r="T1631" i="1" s="1"/>
  <c r="S1632" i="1"/>
  <c r="T1632" i="1" s="1"/>
  <c r="S1633" i="1"/>
  <c r="T1633" i="1" s="1"/>
  <c r="S1634" i="1"/>
  <c r="U1634" i="1" s="1"/>
  <c r="S1635" i="1"/>
  <c r="U1635" i="1" s="1"/>
  <c r="S1636" i="1"/>
  <c r="T1636" i="1" s="1"/>
  <c r="S1637" i="1"/>
  <c r="T1637" i="1" s="1"/>
  <c r="S1638" i="1"/>
  <c r="T1638" i="1" s="1"/>
  <c r="S1639" i="1"/>
  <c r="S1640" i="1"/>
  <c r="S1641" i="1"/>
  <c r="S1642" i="1"/>
  <c r="T1642" i="1" s="1"/>
  <c r="S1643" i="1"/>
  <c r="U1643" i="1" s="1"/>
  <c r="S1644" i="1"/>
  <c r="T1644" i="1" s="1"/>
  <c r="S1645" i="1"/>
  <c r="S1646" i="1"/>
  <c r="U1646" i="1" s="1"/>
  <c r="S1647" i="1"/>
  <c r="T1647" i="1" s="1"/>
  <c r="S1648" i="1"/>
  <c r="U1648" i="1" s="1"/>
  <c r="S1650" i="1"/>
  <c r="S1651" i="1"/>
  <c r="S1652" i="1"/>
  <c r="T1652" i="1" s="1"/>
  <c r="S1653" i="1"/>
  <c r="S1654" i="1"/>
  <c r="U1654" i="1" s="1"/>
  <c r="S1655" i="1"/>
  <c r="S1656" i="1"/>
  <c r="S1657" i="1"/>
  <c r="S1658" i="1"/>
  <c r="S1659" i="1"/>
  <c r="T1659" i="1" s="1"/>
  <c r="S1660" i="1"/>
  <c r="U1660" i="1" s="1"/>
  <c r="S1661" i="1"/>
  <c r="T1661" i="1" s="1"/>
  <c r="S1662" i="1"/>
  <c r="S1663" i="1"/>
  <c r="U1663" i="1" s="1"/>
  <c r="S1664" i="1"/>
  <c r="S1665" i="1"/>
  <c r="T1665" i="1" s="1"/>
  <c r="S1666" i="1"/>
  <c r="S1668" i="1"/>
  <c r="T1668" i="1" s="1"/>
  <c r="S1670" i="1"/>
  <c r="U1670" i="1" s="1"/>
  <c r="S1671" i="1"/>
  <c r="T1671" i="1" s="1"/>
  <c r="S1672" i="1"/>
  <c r="U1672" i="1" s="1"/>
  <c r="S1673" i="1"/>
  <c r="S1674" i="1"/>
  <c r="T1674" i="1" s="1"/>
  <c r="S1675" i="1"/>
  <c r="T1675" i="1" s="1"/>
  <c r="S1677" i="1"/>
  <c r="T1677" i="1" s="1"/>
  <c r="S1678" i="1"/>
  <c r="S1679" i="1"/>
  <c r="U1679" i="1" s="1"/>
  <c r="S1680" i="1"/>
  <c r="T1680" i="1" s="1"/>
  <c r="S1681" i="1"/>
  <c r="T1681" i="1" s="1"/>
  <c r="S1682" i="1"/>
  <c r="U1682" i="1" s="1"/>
  <c r="S1683" i="1"/>
  <c r="S1684" i="1"/>
  <c r="T1684" i="1" s="1"/>
  <c r="S1685" i="1"/>
  <c r="T1685" i="1" s="1"/>
  <c r="S1686" i="1"/>
  <c r="S1687" i="1"/>
  <c r="T1687" i="1" s="1"/>
  <c r="S1688" i="1"/>
  <c r="S1690" i="1"/>
  <c r="T1690" i="1" s="1"/>
  <c r="S1692" i="1"/>
  <c r="U1692" i="1" s="1"/>
  <c r="S1693" i="1"/>
  <c r="T1693" i="1" s="1"/>
  <c r="S1694" i="1"/>
  <c r="U1694" i="1" s="1"/>
  <c r="S1695" i="1"/>
  <c r="T1695" i="1" s="1"/>
  <c r="S1697" i="1"/>
  <c r="T1697" i="1" s="1"/>
  <c r="S1698" i="1"/>
  <c r="S1699" i="1"/>
  <c r="U1699" i="1" s="1"/>
  <c r="S1700" i="1"/>
  <c r="T1700" i="1" s="1"/>
  <c r="S1701" i="1"/>
  <c r="T1701" i="1" s="1"/>
  <c r="S1702" i="1"/>
  <c r="T1702" i="1" s="1"/>
  <c r="S1703" i="1"/>
  <c r="S1704" i="1"/>
  <c r="U1704" i="1" s="1"/>
  <c r="S1705" i="1"/>
  <c r="S1707" i="1"/>
  <c r="T1707" i="1" s="1"/>
  <c r="S1708" i="1"/>
  <c r="T1708" i="1" s="1"/>
  <c r="S1710" i="1"/>
  <c r="S1712" i="1"/>
  <c r="T1712" i="1" s="1"/>
  <c r="S1714" i="1"/>
  <c r="T1714" i="1" s="1"/>
  <c r="S1716" i="1"/>
  <c r="T1716" i="1" s="1"/>
  <c r="S1718" i="1"/>
  <c r="U1718" i="1" s="1"/>
  <c r="S1720" i="1"/>
  <c r="T1720" i="1" s="1"/>
  <c r="S1721" i="1"/>
  <c r="S1722" i="1"/>
  <c r="T1722" i="1" s="1"/>
  <c r="S1723" i="1"/>
  <c r="S1724" i="1"/>
  <c r="S1725" i="1"/>
  <c r="S1726" i="1"/>
  <c r="U1726" i="1" s="1"/>
  <c r="S1727" i="1"/>
  <c r="U1727" i="1" s="1"/>
  <c r="S1729" i="1"/>
  <c r="T1729" i="1" s="1"/>
  <c r="S1730" i="1"/>
  <c r="U1730" i="1" s="1"/>
  <c r="S1731" i="1"/>
  <c r="S1732" i="1"/>
  <c r="T1732" i="1" s="1"/>
  <c r="S1733" i="1"/>
  <c r="T1733" i="1" s="1"/>
  <c r="S1734" i="1"/>
  <c r="T1734" i="1" s="1"/>
  <c r="S1735" i="1"/>
  <c r="S1736" i="1"/>
  <c r="S1737" i="1"/>
  <c r="S1738" i="1"/>
  <c r="T1738" i="1" s="1"/>
  <c r="S1739" i="1"/>
  <c r="S1740" i="1"/>
  <c r="T1740" i="1" s="1"/>
  <c r="S1741" i="1"/>
  <c r="S1742" i="1"/>
  <c r="U1742" i="1" s="1"/>
  <c r="S1743" i="1"/>
  <c r="T1743" i="1" s="1"/>
  <c r="S1744" i="1"/>
  <c r="T1744" i="1" s="1"/>
  <c r="S1745" i="1"/>
  <c r="U1745" i="1" s="1"/>
  <c r="S1746" i="1"/>
  <c r="S1747" i="1"/>
  <c r="S1748" i="1"/>
  <c r="T1748" i="1" s="1"/>
  <c r="S1749" i="1"/>
  <c r="T1749" i="1" s="1"/>
  <c r="S1750" i="1"/>
  <c r="T1750" i="1" s="1"/>
  <c r="S1751" i="1"/>
  <c r="S1752" i="1"/>
  <c r="T1752" i="1" s="1"/>
  <c r="S1753" i="1"/>
  <c r="S1754" i="1"/>
  <c r="T1754" i="1" s="1"/>
  <c r="S1755" i="1"/>
  <c r="S1756" i="1"/>
  <c r="T1756" i="1" s="1"/>
  <c r="S1757" i="1"/>
  <c r="T1757" i="1" s="1"/>
  <c r="S1758" i="1"/>
  <c r="U1758" i="1" s="1"/>
  <c r="S1759" i="1"/>
  <c r="T1759" i="1" s="1"/>
  <c r="S1760" i="1"/>
  <c r="S1761" i="1"/>
  <c r="T1761" i="1" s="1"/>
  <c r="S1763" i="1"/>
  <c r="U1763" i="1" s="1"/>
  <c r="S1764" i="1"/>
  <c r="T1764" i="1" s="1"/>
  <c r="S1765" i="1"/>
  <c r="T1765" i="1" s="1"/>
  <c r="S1766" i="1"/>
  <c r="T1766" i="1" s="1"/>
  <c r="S1767" i="1"/>
  <c r="T1767" i="1" s="1"/>
  <c r="S1768" i="1"/>
  <c r="S1769" i="1"/>
  <c r="S1770" i="1"/>
  <c r="T1770" i="1" s="1"/>
  <c r="S1771" i="1"/>
  <c r="T1771" i="1" s="1"/>
  <c r="S1772" i="1"/>
  <c r="U1772" i="1" s="1"/>
  <c r="S1773" i="1"/>
  <c r="T1773" i="1" s="1"/>
  <c r="S1774" i="1"/>
  <c r="S1775" i="1"/>
  <c r="T1775" i="1" s="1"/>
  <c r="S1776" i="1"/>
  <c r="T1776" i="1" s="1"/>
  <c r="S1777" i="1"/>
  <c r="U1777" i="1" s="1"/>
  <c r="S1778" i="1"/>
  <c r="S1779" i="1"/>
  <c r="T1779" i="1" s="1"/>
  <c r="S1780" i="1"/>
  <c r="T1780" i="1" s="1"/>
  <c r="S1781" i="1"/>
  <c r="T1781" i="1" s="1"/>
  <c r="S1782" i="1"/>
  <c r="U1782" i="1" s="1"/>
  <c r="S1783" i="1"/>
  <c r="T1783" i="1" s="1"/>
  <c r="S1784" i="1"/>
  <c r="T1784" i="1" s="1"/>
  <c r="S1785" i="1"/>
  <c r="S1786" i="1"/>
  <c r="T1786" i="1" s="1"/>
  <c r="S1787" i="1"/>
  <c r="S1788" i="1"/>
  <c r="U1788" i="1" s="1"/>
  <c r="S1789" i="1"/>
  <c r="T1789" i="1" s="1"/>
  <c r="S1790" i="1"/>
  <c r="S1791" i="1"/>
  <c r="T1791" i="1" s="1"/>
  <c r="S1792" i="1"/>
  <c r="S1793" i="1"/>
  <c r="U1793" i="1" s="1"/>
  <c r="S1794" i="1"/>
  <c r="S1795" i="1"/>
  <c r="S1796" i="1"/>
  <c r="T1796" i="1" s="1"/>
  <c r="S1797" i="1"/>
  <c r="T1797" i="1" s="1"/>
  <c r="S1798" i="1"/>
  <c r="T1798" i="1" s="1"/>
  <c r="S1799" i="1"/>
  <c r="U1799" i="1" s="1"/>
  <c r="S1801" i="1"/>
  <c r="S1802" i="1"/>
  <c r="T1802" i="1" s="1"/>
  <c r="S1804" i="1"/>
  <c r="U1804" i="1" s="1"/>
  <c r="S1805" i="1"/>
  <c r="S1806" i="1"/>
  <c r="U1806" i="1" s="1"/>
  <c r="S1807" i="1"/>
  <c r="S1808" i="1"/>
  <c r="U1808" i="1" s="1"/>
  <c r="S1809" i="1"/>
  <c r="T1809" i="1" s="1"/>
  <c r="S1810" i="1"/>
  <c r="U1810" i="1" s="1"/>
  <c r="S1812" i="1"/>
  <c r="T1812" i="1" s="1"/>
  <c r="S1813" i="1"/>
  <c r="T1813" i="1" s="1"/>
  <c r="S1815" i="1"/>
  <c r="S1816" i="1"/>
  <c r="T1816" i="1" s="1"/>
  <c r="S1817" i="1"/>
  <c r="S1818" i="1"/>
  <c r="S1819" i="1"/>
  <c r="S1820" i="1"/>
  <c r="U1820" i="1" s="1"/>
  <c r="S1821" i="1"/>
  <c r="T1821" i="1" s="1"/>
  <c r="S1822" i="1"/>
  <c r="U1822" i="1" s="1"/>
  <c r="S1823" i="1"/>
  <c r="T1823" i="1" s="1"/>
  <c r="S1824" i="1"/>
  <c r="T1824" i="1" s="1"/>
  <c r="S1825" i="1"/>
  <c r="T1825" i="1" s="1"/>
  <c r="S1826" i="1"/>
  <c r="S1827" i="1"/>
  <c r="S1828" i="1"/>
  <c r="T1828" i="1" s="1"/>
  <c r="S1829" i="1"/>
  <c r="S1830" i="1"/>
  <c r="T1830" i="1" s="1"/>
  <c r="S1831" i="1"/>
  <c r="S1832" i="1"/>
  <c r="U1832" i="1" s="1"/>
  <c r="S1833" i="1"/>
  <c r="S1834" i="1"/>
  <c r="T1834" i="1" s="1"/>
  <c r="S1835" i="1"/>
  <c r="S1836" i="1"/>
  <c r="S1837" i="1"/>
  <c r="S1838" i="1"/>
  <c r="U1838" i="1" s="1"/>
  <c r="S1839" i="1"/>
  <c r="T1839" i="1" s="1"/>
  <c r="S1840" i="1"/>
  <c r="S1841" i="1"/>
  <c r="U1841" i="1" s="1"/>
  <c r="S1842" i="1"/>
  <c r="T1842" i="1" s="1"/>
  <c r="S1843" i="1"/>
  <c r="T1843" i="1" s="1"/>
  <c r="S1844" i="1"/>
  <c r="T1844" i="1" s="1"/>
  <c r="S1845" i="1"/>
  <c r="T1845" i="1" s="1"/>
  <c r="S1846" i="1"/>
  <c r="T1846" i="1" s="1"/>
  <c r="S1847" i="1"/>
  <c r="T1847" i="1" s="1"/>
  <c r="S1848" i="1"/>
  <c r="S1849" i="1"/>
  <c r="S1850" i="1"/>
  <c r="S1851" i="1"/>
  <c r="S1852" i="1"/>
  <c r="S1853" i="1"/>
  <c r="U1853" i="1" s="1"/>
  <c r="S1854" i="1"/>
  <c r="U1854" i="1" s="1"/>
  <c r="S1855" i="1"/>
  <c r="S1856" i="1"/>
  <c r="T1856" i="1" s="1"/>
  <c r="S1857" i="1"/>
  <c r="T1857" i="1" s="1"/>
  <c r="U1857" i="1"/>
  <c r="S1858" i="1"/>
  <c r="S1859" i="1"/>
  <c r="T1859" i="1" s="1"/>
  <c r="S1860" i="1"/>
  <c r="T1860" i="1" s="1"/>
  <c r="S1861" i="1"/>
  <c r="S1862" i="1"/>
  <c r="T1862" i="1" s="1"/>
  <c r="S1863" i="1"/>
  <c r="S1864" i="1"/>
  <c r="S1866" i="1"/>
  <c r="T1866" i="1" s="1"/>
  <c r="S1868" i="1"/>
  <c r="T1868" i="1" s="1"/>
  <c r="S1869" i="1"/>
  <c r="S1871" i="1"/>
  <c r="T1871" i="1" s="1"/>
  <c r="S1873" i="1"/>
  <c r="S1874" i="1"/>
  <c r="T1874" i="1" s="1"/>
  <c r="S1875" i="1"/>
  <c r="U1875" i="1" s="1"/>
  <c r="S1877" i="1"/>
  <c r="T1877" i="1" s="1"/>
  <c r="S1879" i="1"/>
  <c r="T1879" i="1" s="1"/>
  <c r="S1881" i="1"/>
  <c r="S1882" i="1"/>
  <c r="T1882" i="1" s="1"/>
  <c r="S1883" i="1"/>
  <c r="S1884" i="1"/>
  <c r="T1884" i="1" s="1"/>
  <c r="S1885" i="1"/>
  <c r="S1886" i="1"/>
  <c r="U1886" i="1" s="1"/>
  <c r="S1887" i="1"/>
  <c r="T1887" i="1" s="1"/>
  <c r="S1888" i="1"/>
  <c r="T1888" i="1" s="1"/>
  <c r="S1889" i="1"/>
  <c r="U1889" i="1" s="1"/>
  <c r="S1890" i="1"/>
  <c r="T1890" i="1" s="1"/>
  <c r="S1891" i="1"/>
  <c r="S1892" i="1"/>
  <c r="T1892" i="1" s="1"/>
  <c r="S1893" i="1"/>
  <c r="S1894" i="1"/>
  <c r="T1894" i="1" s="1"/>
  <c r="S1895" i="1"/>
  <c r="T1895" i="1" s="1"/>
  <c r="S1897" i="1"/>
  <c r="S1898" i="1"/>
  <c r="S1899" i="1"/>
  <c r="T1899" i="1" s="1"/>
  <c r="S1900" i="1"/>
  <c r="T1900" i="1" s="1"/>
  <c r="S1901" i="1"/>
  <c r="T1901" i="1" s="1"/>
  <c r="S1902" i="1"/>
  <c r="U1902" i="1" s="1"/>
  <c r="S1903" i="1"/>
  <c r="U1903" i="1" s="1"/>
  <c r="S1904" i="1"/>
  <c r="T1904" i="1" s="1"/>
  <c r="S1905" i="1"/>
  <c r="U1905" i="1" s="1"/>
  <c r="S1906" i="1"/>
  <c r="S1907" i="1"/>
  <c r="T1907" i="1" s="1"/>
  <c r="S1908" i="1"/>
  <c r="T1908" i="1" s="1"/>
  <c r="S1909" i="1"/>
  <c r="S1910" i="1"/>
  <c r="S1911" i="1"/>
  <c r="U1911" i="1" s="1"/>
  <c r="S1912" i="1"/>
  <c r="T1912" i="1" s="1"/>
  <c r="S1913" i="1"/>
  <c r="S1914" i="1"/>
  <c r="S1915" i="1"/>
  <c r="T1915" i="1" s="1"/>
  <c r="S1916" i="1"/>
  <c r="U1916" i="1" s="1"/>
  <c r="S1917" i="1"/>
  <c r="S1918" i="1"/>
  <c r="U1918" i="1" s="1"/>
  <c r="S1919" i="1"/>
  <c r="U1919" i="1" s="1"/>
  <c r="S1920" i="1"/>
  <c r="U1920" i="1" s="1"/>
  <c r="S1921" i="1"/>
  <c r="T1921" i="1" s="1"/>
  <c r="S1922" i="1"/>
  <c r="S1924" i="1"/>
  <c r="T1924" i="1" s="1"/>
  <c r="S1926" i="1"/>
  <c r="U1926" i="1" s="1"/>
  <c r="S1927" i="1"/>
  <c r="T1927" i="1" s="1"/>
  <c r="S1929" i="1"/>
  <c r="S1930" i="1"/>
  <c r="S1931" i="1"/>
  <c r="T1931" i="1" s="1"/>
  <c r="S1932" i="1"/>
  <c r="T1932" i="1" s="1"/>
  <c r="S1933" i="1"/>
  <c r="T1933" i="1" s="1"/>
  <c r="S1934" i="1"/>
  <c r="U1934" i="1" s="1"/>
  <c r="S1935" i="1"/>
  <c r="T1935" i="1" s="1"/>
  <c r="S1936" i="1"/>
  <c r="S1937" i="1"/>
  <c r="S1938" i="1"/>
  <c r="U1938" i="1" s="1"/>
  <c r="S1939" i="1"/>
  <c r="T1939" i="1" s="1"/>
  <c r="S1940" i="1"/>
  <c r="T1940" i="1" s="1"/>
  <c r="S1941" i="1"/>
  <c r="T1941" i="1" s="1"/>
  <c r="S1942" i="1"/>
  <c r="S1943" i="1"/>
  <c r="T1943" i="1" s="1"/>
  <c r="S1944" i="1"/>
  <c r="S1945" i="1"/>
  <c r="S1946" i="1"/>
  <c r="T1946" i="1" s="1"/>
  <c r="S1947" i="1"/>
  <c r="S1948" i="1"/>
  <c r="U1948" i="1" s="1"/>
  <c r="S1949" i="1"/>
  <c r="T1949" i="1" s="1"/>
  <c r="S1950" i="1"/>
  <c r="U1950" i="1" s="1"/>
  <c r="S1951" i="1"/>
  <c r="S1952" i="1"/>
  <c r="U1952" i="1" s="1"/>
  <c r="S1953" i="1"/>
  <c r="T1953" i="1" s="1"/>
  <c r="S1954" i="1"/>
  <c r="S1956" i="1"/>
  <c r="T1956" i="1" s="1"/>
  <c r="S1958" i="1"/>
  <c r="T1958" i="1" s="1"/>
  <c r="S1959" i="1"/>
  <c r="S1960" i="1"/>
  <c r="U1960" i="1" s="1"/>
  <c r="S1961" i="1"/>
  <c r="S1962" i="1"/>
  <c r="S1963" i="1"/>
  <c r="T1963" i="1" s="1"/>
  <c r="S1964" i="1"/>
  <c r="T1964" i="1" s="1"/>
  <c r="S1965" i="1"/>
  <c r="S1966" i="1"/>
  <c r="U1966" i="1" s="1"/>
  <c r="S1967" i="1"/>
  <c r="T1967" i="1" s="1"/>
  <c r="S1968" i="1"/>
  <c r="T1968" i="1" s="1"/>
  <c r="S1969" i="1"/>
  <c r="T1969" i="1" s="1"/>
  <c r="S1970" i="1"/>
  <c r="T1970" i="1" s="1"/>
  <c r="S1971" i="1"/>
  <c r="S1972" i="1"/>
  <c r="T1972" i="1" s="1"/>
  <c r="S1973" i="1"/>
  <c r="S1974" i="1"/>
  <c r="S1975" i="1"/>
  <c r="T1975" i="1" s="1"/>
  <c r="S1976" i="1"/>
  <c r="T1976" i="1" s="1"/>
  <c r="S1977" i="1"/>
  <c r="S1978" i="1"/>
  <c r="T1978" i="1" s="1"/>
  <c r="S1979" i="1"/>
  <c r="S1980" i="1"/>
  <c r="S1981" i="1"/>
  <c r="T1981" i="1" s="1"/>
  <c r="S1982" i="1"/>
  <c r="U1982" i="1" s="1"/>
  <c r="S1984" i="1"/>
  <c r="T1984" i="1" s="1"/>
  <c r="S1985" i="1"/>
  <c r="S1986" i="1"/>
  <c r="S1987" i="1"/>
  <c r="S1988" i="1"/>
  <c r="T1988" i="1" s="1"/>
  <c r="S1989" i="1"/>
  <c r="S1990" i="1"/>
  <c r="T1990" i="1" s="1"/>
  <c r="S1991" i="1"/>
  <c r="S1992" i="1"/>
  <c r="U1992" i="1" s="1"/>
  <c r="S1993" i="1"/>
  <c r="S1995" i="1"/>
  <c r="T1995" i="1" s="1"/>
  <c r="S1996" i="1"/>
  <c r="S1997" i="1"/>
  <c r="S1998" i="1"/>
  <c r="U1998" i="1" s="1"/>
  <c r="S1999" i="1"/>
  <c r="T1999" i="1" s="1"/>
  <c r="S2000" i="1"/>
  <c r="U2000" i="1" s="1"/>
  <c r="S2001" i="1"/>
  <c r="T2001" i="1" s="1"/>
  <c r="S2003" i="1"/>
  <c r="S2004" i="1"/>
  <c r="T2004" i="1" s="1"/>
  <c r="S2005" i="1"/>
  <c r="S2006" i="1"/>
  <c r="S2007" i="1"/>
  <c r="T2007" i="1" s="1"/>
  <c r="S2008" i="1"/>
  <c r="T2008" i="1" s="1"/>
  <c r="S2009" i="1"/>
  <c r="S2010" i="1"/>
  <c r="T2010" i="1" s="1"/>
  <c r="S2011" i="1"/>
  <c r="S2012" i="1"/>
  <c r="T2012" i="1" s="1"/>
  <c r="S2013" i="1"/>
  <c r="S2015" i="1"/>
  <c r="T2015" i="1" s="1"/>
  <c r="S2016" i="1"/>
  <c r="T2016" i="1" s="1"/>
  <c r="S2017" i="1"/>
  <c r="T2017" i="1" s="1"/>
  <c r="S2018" i="1"/>
  <c r="S2019" i="1"/>
  <c r="U2019" i="1" s="1"/>
  <c r="S2020" i="1"/>
  <c r="T2020" i="1" s="1"/>
  <c r="S2021" i="1"/>
  <c r="T2021" i="1" s="1"/>
  <c r="S2022" i="1"/>
  <c r="S2023" i="1"/>
  <c r="T2023" i="1" s="1"/>
  <c r="S2024" i="1"/>
  <c r="S2025" i="1"/>
  <c r="S2026" i="1"/>
  <c r="T2026" i="1" s="1"/>
  <c r="S2027" i="1"/>
  <c r="U2027" i="1" s="1"/>
  <c r="S2028" i="1"/>
  <c r="U2028" i="1" s="1"/>
  <c r="S2029" i="1"/>
  <c r="S2030" i="1"/>
  <c r="S2032" i="1"/>
  <c r="S2033" i="1"/>
  <c r="T2033" i="1" s="1"/>
  <c r="S2034" i="1"/>
  <c r="T2034" i="1" s="1"/>
  <c r="S2035" i="1"/>
  <c r="S2036" i="1"/>
  <c r="T2036" i="1" s="1"/>
  <c r="S2037" i="1"/>
  <c r="S2038" i="1"/>
  <c r="U2038" i="1" s="1"/>
  <c r="S2039" i="1"/>
  <c r="T2039" i="1" s="1"/>
  <c r="S2040" i="1"/>
  <c r="U2040" i="1" s="1"/>
  <c r="S2041" i="1"/>
  <c r="S2043" i="1"/>
  <c r="S2044" i="1"/>
  <c r="U2044" i="1" s="1"/>
  <c r="S2045" i="1"/>
  <c r="S2046" i="1"/>
  <c r="U2046" i="1" s="1"/>
  <c r="S2047" i="1"/>
  <c r="T2047" i="1" s="1"/>
  <c r="S2048" i="1"/>
  <c r="S2049" i="1"/>
  <c r="S2051" i="1"/>
  <c r="U2051" i="1" s="1"/>
  <c r="S2052" i="1"/>
  <c r="T2052" i="1" s="1"/>
  <c r="S2053" i="1"/>
  <c r="S2054" i="1"/>
  <c r="T2054" i="1" s="1"/>
  <c r="S2055" i="1"/>
  <c r="S2056" i="1"/>
  <c r="S2057" i="1"/>
  <c r="S2058" i="1"/>
  <c r="T2058" i="1" s="1"/>
  <c r="S2059" i="1"/>
  <c r="T2059" i="1" s="1"/>
  <c r="S2060" i="1"/>
  <c r="S2062" i="1"/>
  <c r="S2063" i="1"/>
  <c r="T2063" i="1" s="1"/>
  <c r="S2064" i="1"/>
  <c r="U2064" i="1" s="1"/>
  <c r="S2065" i="1"/>
  <c r="T2065" i="1" s="1"/>
  <c r="S2066" i="1"/>
  <c r="T2066" i="1" s="1"/>
  <c r="S2067" i="1"/>
  <c r="S2068" i="1"/>
  <c r="T2068" i="1" s="1"/>
  <c r="S2070" i="1"/>
  <c r="T2070" i="1" s="1"/>
  <c r="S2071" i="1"/>
  <c r="T2071" i="1" s="1"/>
  <c r="S2073" i="1"/>
  <c r="S2074" i="1"/>
  <c r="U2074" i="1" s="1"/>
  <c r="S2075" i="1"/>
  <c r="S2076" i="1"/>
  <c r="T2076" i="1" s="1"/>
  <c r="S2077" i="1"/>
  <c r="T2077" i="1" s="1"/>
  <c r="S2078" i="1"/>
  <c r="U2078" i="1" s="1"/>
  <c r="S2080" i="1"/>
  <c r="U2080" i="1" s="1"/>
  <c r="S2081" i="1"/>
  <c r="T2081" i="1" s="1"/>
  <c r="S2082" i="1"/>
  <c r="T2082" i="1" s="1"/>
  <c r="S2083" i="1"/>
  <c r="U2083" i="1" s="1"/>
  <c r="S2084" i="1"/>
  <c r="T2084" i="1" s="1"/>
  <c r="S2085" i="1"/>
  <c r="T2085" i="1" s="1"/>
  <c r="S2086" i="1"/>
  <c r="U2086" i="1" s="1"/>
  <c r="S2087" i="1"/>
  <c r="T2087" i="1" s="1"/>
  <c r="S2088" i="1"/>
  <c r="S2089" i="1"/>
  <c r="S2091" i="1"/>
  <c r="T2091" i="1" s="1"/>
  <c r="S2092" i="1"/>
  <c r="U2092" i="1" s="1"/>
  <c r="S2093" i="1"/>
  <c r="T2093" i="1" s="1"/>
  <c r="S2094" i="1"/>
  <c r="U2094" i="1" s="1"/>
  <c r="S2095" i="1"/>
  <c r="S2096" i="1"/>
  <c r="U2096" i="1" s="1"/>
  <c r="S2097" i="1"/>
  <c r="T2097" i="1" s="1"/>
  <c r="S2098" i="1"/>
  <c r="U2098" i="1" s="1"/>
  <c r="S2099" i="1"/>
  <c r="U2099" i="1" s="1"/>
  <c r="S2101" i="1"/>
  <c r="T2101" i="1" s="1"/>
  <c r="S2102" i="1"/>
  <c r="T2102" i="1" s="1"/>
  <c r="S2103" i="1"/>
  <c r="T2103" i="1" s="1"/>
  <c r="S2104" i="1"/>
  <c r="U2104" i="1" s="1"/>
  <c r="S2105" i="1"/>
  <c r="S2106" i="1"/>
  <c r="U2106" i="1" s="1"/>
  <c r="S2107" i="1"/>
  <c r="U2107" i="1" s="1"/>
  <c r="S2108" i="1"/>
  <c r="S2109" i="1"/>
  <c r="U2109" i="1" s="1"/>
  <c r="S2110" i="1"/>
  <c r="U2110" i="1" s="1"/>
  <c r="S2112" i="1"/>
  <c r="U2112" i="1" s="1"/>
  <c r="S2113" i="1"/>
  <c r="T2113" i="1" s="1"/>
  <c r="S2115" i="1"/>
  <c r="T2115" i="1" s="1"/>
  <c r="S2116" i="1"/>
  <c r="T2116" i="1" s="1"/>
  <c r="S2117" i="1"/>
  <c r="S2118" i="1"/>
  <c r="S2119" i="1"/>
  <c r="S2120" i="1"/>
  <c r="S2121" i="1"/>
  <c r="S2122" i="1"/>
  <c r="T2122" i="1" s="1"/>
  <c r="S2124" i="1"/>
  <c r="U2124" i="1" s="1"/>
  <c r="S2125" i="1"/>
  <c r="S2126" i="1"/>
  <c r="U2126" i="1" s="1"/>
  <c r="S2127" i="1"/>
  <c r="T2127" i="1" s="1"/>
  <c r="S2128" i="1"/>
  <c r="S2130" i="1"/>
  <c r="U2130" i="1" s="1"/>
  <c r="S2131" i="1"/>
  <c r="U2131" i="1" s="1"/>
  <c r="S2132" i="1"/>
  <c r="T2132" i="1" s="1"/>
  <c r="S2133" i="1"/>
  <c r="T2133" i="1" s="1"/>
  <c r="S2134" i="1"/>
  <c r="U2134" i="1" s="1"/>
  <c r="S2135" i="1"/>
  <c r="S2136" i="1"/>
  <c r="S2137" i="1"/>
  <c r="S2138" i="1"/>
  <c r="T2138" i="1" s="1"/>
  <c r="S2139" i="1"/>
  <c r="T2139" i="1" s="1"/>
  <c r="S2140" i="1"/>
  <c r="U2140" i="1" s="1"/>
  <c r="S2141" i="1"/>
  <c r="S2142" i="1"/>
  <c r="U2142" i="1" s="1"/>
  <c r="S2143" i="1"/>
  <c r="T2143" i="1" s="1"/>
  <c r="S2144" i="1"/>
  <c r="S2145" i="1"/>
  <c r="T2145" i="1" s="1"/>
  <c r="S2146" i="1"/>
  <c r="T2146" i="1" s="1"/>
  <c r="S2147" i="1"/>
  <c r="S2148" i="1"/>
  <c r="T2148" i="1" s="1"/>
  <c r="S2149" i="1"/>
  <c r="T2149" i="1" s="1"/>
  <c r="S2150" i="1"/>
  <c r="S2151" i="1"/>
  <c r="S2152" i="1"/>
  <c r="T2152" i="1" s="1"/>
  <c r="S2153" i="1"/>
  <c r="S2154" i="1"/>
  <c r="T2154" i="1" s="1"/>
  <c r="S2155" i="1"/>
  <c r="T2155" i="1" s="1"/>
  <c r="S2156" i="1"/>
  <c r="U2156" i="1" s="1"/>
  <c r="S2157" i="1"/>
  <c r="T2157" i="1" s="1"/>
  <c r="S2158" i="1"/>
  <c r="U2158" i="1" s="1"/>
  <c r="S2159" i="1"/>
  <c r="T2159" i="1" s="1"/>
  <c r="S2160" i="1"/>
  <c r="T2160" i="1" s="1"/>
  <c r="S2161" i="1"/>
  <c r="T2161" i="1" s="1"/>
  <c r="S2162" i="1"/>
  <c r="U2162" i="1" s="1"/>
  <c r="S2163" i="1"/>
  <c r="S2164" i="1"/>
  <c r="T2164" i="1" s="1"/>
  <c r="S2165" i="1"/>
  <c r="S2166" i="1"/>
  <c r="T2166" i="1" s="1"/>
  <c r="S2167" i="1"/>
  <c r="T2167" i="1" s="1"/>
  <c r="S2168" i="1"/>
  <c r="T2168" i="1" s="1"/>
  <c r="S2169" i="1"/>
  <c r="S2170" i="1"/>
  <c r="T2170" i="1" s="1"/>
  <c r="S2171" i="1"/>
  <c r="S2172" i="1"/>
  <c r="T2172" i="1" s="1"/>
  <c r="S2173" i="1"/>
  <c r="T2173" i="1" s="1"/>
  <c r="S2174" i="1"/>
  <c r="U2174" i="1" s="1"/>
  <c r="S2175" i="1"/>
  <c r="T2175" i="1" s="1"/>
  <c r="S2176" i="1"/>
  <c r="U2176" i="1" s="1"/>
  <c r="S2177" i="1"/>
  <c r="S2178" i="1"/>
  <c r="T2178" i="1" s="1"/>
  <c r="S2179" i="1"/>
  <c r="T2179" i="1" s="1"/>
  <c r="S2180" i="1"/>
  <c r="T2180" i="1" s="1"/>
  <c r="S2181" i="1"/>
  <c r="T2181" i="1" s="1"/>
  <c r="S2182" i="1"/>
  <c r="U2182" i="1" s="1"/>
  <c r="S2183" i="1"/>
  <c r="U2183" i="1" s="1"/>
  <c r="S2184" i="1"/>
  <c r="T2184" i="1" s="1"/>
  <c r="S2185" i="1"/>
  <c r="S2186" i="1"/>
  <c r="T2186" i="1" s="1"/>
  <c r="S2187" i="1"/>
  <c r="T2187" i="1" s="1"/>
  <c r="S2188" i="1"/>
  <c r="T2188" i="1" s="1"/>
  <c r="S2189" i="1"/>
  <c r="T2189" i="1" s="1"/>
  <c r="S2190" i="1"/>
  <c r="U2190" i="1" s="1"/>
  <c r="S2191" i="1"/>
  <c r="T2191" i="1" s="1"/>
  <c r="S2192" i="1"/>
  <c r="T2192" i="1" s="1"/>
  <c r="S2193" i="1"/>
  <c r="T2193" i="1" s="1"/>
  <c r="S2194" i="1"/>
  <c r="T2194" i="1" s="1"/>
  <c r="S2195" i="1"/>
  <c r="T2195" i="1" s="1"/>
  <c r="S2196" i="1"/>
  <c r="T2196" i="1" s="1"/>
  <c r="S2197" i="1"/>
  <c r="T2197" i="1" s="1"/>
  <c r="S2198" i="1"/>
  <c r="U2198" i="1" s="1"/>
  <c r="S2199" i="1"/>
  <c r="T2199" i="1" s="1"/>
  <c r="S2200" i="1"/>
  <c r="T2200" i="1" s="1"/>
  <c r="S2201" i="1"/>
  <c r="S2202" i="1"/>
  <c r="T2202" i="1" s="1"/>
  <c r="S2203" i="1"/>
  <c r="T2203" i="1" s="1"/>
  <c r="S2205" i="1"/>
  <c r="T2205" i="1" s="1"/>
  <c r="S2206" i="1"/>
  <c r="U2206" i="1" s="1"/>
  <c r="S2207" i="1"/>
  <c r="T2207" i="1" s="1"/>
  <c r="S2208" i="1"/>
  <c r="S2209" i="1"/>
  <c r="T2209" i="1" s="1"/>
  <c r="S2210" i="1"/>
  <c r="T2210" i="1" s="1"/>
  <c r="S2211" i="1"/>
  <c r="S2212" i="1"/>
  <c r="T2212" i="1" s="1"/>
  <c r="S2213" i="1"/>
  <c r="T2213" i="1" s="1"/>
  <c r="S2214" i="1"/>
  <c r="U2214" i="1" s="1"/>
  <c r="S2215" i="1"/>
  <c r="T2215" i="1" s="1"/>
  <c r="S2216" i="1"/>
  <c r="T2216" i="1" s="1"/>
  <c r="S2217" i="1"/>
  <c r="S2218" i="1"/>
  <c r="S2219" i="1"/>
  <c r="T2219" i="1" s="1"/>
  <c r="S2220" i="1"/>
  <c r="U2220" i="1" s="1"/>
  <c r="S2221" i="1"/>
  <c r="T2221" i="1" s="1"/>
  <c r="S2222" i="1"/>
  <c r="T2222" i="1" s="1"/>
  <c r="S2223" i="1"/>
  <c r="U2223" i="1" s="1"/>
  <c r="S2224" i="1"/>
  <c r="T2224" i="1" s="1"/>
  <c r="S2225" i="1"/>
  <c r="U2225" i="1" s="1"/>
  <c r="S2226" i="1"/>
  <c r="T2226" i="1" s="1"/>
  <c r="S2227" i="1"/>
  <c r="S2228" i="1"/>
  <c r="T2228" i="1" s="1"/>
  <c r="S2229" i="1"/>
  <c r="T2229" i="1" s="1"/>
  <c r="S2230" i="1"/>
  <c r="S2231" i="1"/>
  <c r="S2232" i="1"/>
  <c r="U2232" i="1" s="1"/>
  <c r="S2233" i="1"/>
  <c r="U2233" i="1" s="1"/>
  <c r="S2234" i="1"/>
  <c r="T2234" i="1" s="1"/>
  <c r="S2235" i="1"/>
  <c r="S2236" i="1"/>
  <c r="U2236" i="1" s="1"/>
  <c r="S2237" i="1"/>
  <c r="T2237" i="1" s="1"/>
  <c r="S2238" i="1"/>
  <c r="T2238" i="1" s="1"/>
  <c r="S2239" i="1"/>
  <c r="T2239" i="1" s="1"/>
  <c r="S2240" i="1"/>
  <c r="T2240" i="1" s="1"/>
  <c r="S2241" i="1"/>
  <c r="T2241" i="1" s="1"/>
  <c r="S2242" i="1"/>
  <c r="T2242" i="1" s="1"/>
  <c r="S2243" i="1"/>
  <c r="T2243" i="1" s="1"/>
  <c r="S2244" i="1"/>
  <c r="T2244" i="1" s="1"/>
  <c r="S2245" i="1"/>
  <c r="T2245" i="1" s="1"/>
  <c r="S2246" i="1"/>
  <c r="T2246" i="1" s="1"/>
  <c r="S2247" i="1"/>
  <c r="S2248" i="1"/>
  <c r="U2248" i="1" s="1"/>
  <c r="S2249" i="1"/>
  <c r="U2249" i="1" s="1"/>
  <c r="S2250" i="1"/>
  <c r="S2251" i="1"/>
  <c r="T2251" i="1" s="1"/>
  <c r="S2252" i="1"/>
  <c r="U2252" i="1" s="1"/>
  <c r="S2253" i="1"/>
  <c r="U2253" i="1" s="1"/>
  <c r="S2254" i="1"/>
  <c r="T2254" i="1" s="1"/>
  <c r="S2255" i="1"/>
  <c r="S2256" i="1"/>
  <c r="S2257" i="1"/>
  <c r="T2257" i="1" s="1"/>
  <c r="S2258" i="1"/>
  <c r="T2258" i="1" s="1"/>
  <c r="S2259" i="1"/>
  <c r="T2259" i="1" s="1"/>
  <c r="S2260" i="1"/>
  <c r="S2261" i="1"/>
  <c r="S2262" i="1"/>
  <c r="T2262" i="1" s="1"/>
  <c r="S2263" i="1"/>
  <c r="S2264" i="1"/>
  <c r="U2264" i="1" s="1"/>
  <c r="S2265" i="1"/>
  <c r="S2266" i="1"/>
  <c r="U2266" i="1" s="1"/>
  <c r="S2267" i="1"/>
  <c r="T2267" i="1" s="1"/>
  <c r="S2268" i="1"/>
  <c r="U2268" i="1" s="1"/>
  <c r="S2269" i="1"/>
  <c r="T2269" i="1" s="1"/>
  <c r="S2270" i="1"/>
  <c r="U2270" i="1" s="1"/>
  <c r="S2271" i="1"/>
  <c r="S2272" i="1"/>
  <c r="S2273" i="1"/>
  <c r="T2273" i="1" s="1"/>
  <c r="S2274" i="1"/>
  <c r="T2274" i="1" s="1"/>
  <c r="S2275" i="1"/>
  <c r="T2275" i="1" s="1"/>
  <c r="S2276" i="1"/>
  <c r="U2276" i="1" s="1"/>
  <c r="S2278" i="1"/>
  <c r="U2278" i="1" s="1"/>
  <c r="S2280" i="1"/>
  <c r="U2280" i="1" s="1"/>
  <c r="S2281" i="1"/>
  <c r="T2281" i="1" s="1"/>
  <c r="S2282" i="1"/>
  <c r="T2282" i="1" s="1"/>
  <c r="S2283" i="1"/>
  <c r="S2284" i="1"/>
  <c r="U2284" i="1" s="1"/>
  <c r="S2285" i="1"/>
  <c r="T2285" i="1" s="1"/>
  <c r="S2286" i="1"/>
  <c r="T2286" i="1" s="1"/>
  <c r="S2287" i="1"/>
  <c r="T2287" i="1" s="1"/>
  <c r="S2288" i="1"/>
  <c r="T2288" i="1" s="1"/>
  <c r="S2289" i="1"/>
  <c r="T2289" i="1" s="1"/>
  <c r="S2290" i="1"/>
  <c r="T2290" i="1" s="1"/>
  <c r="S2291" i="1"/>
  <c r="S2292" i="1"/>
  <c r="U2292" i="1" s="1"/>
  <c r="S2293" i="1"/>
  <c r="T2293" i="1" s="1"/>
  <c r="S2294" i="1"/>
  <c r="T2294" i="1" s="1"/>
  <c r="S2295" i="1"/>
  <c r="S2296" i="1"/>
  <c r="U2296" i="1" s="1"/>
  <c r="S2297" i="1"/>
  <c r="T2297" i="1" s="1"/>
  <c r="S2298" i="1"/>
  <c r="T2298" i="1" s="1"/>
  <c r="S2299" i="1"/>
  <c r="S2300" i="1"/>
  <c r="U2300" i="1" s="1"/>
  <c r="S2301" i="1"/>
  <c r="T2301" i="1" s="1"/>
  <c r="S2302" i="1"/>
  <c r="T2302" i="1" s="1"/>
  <c r="S2303" i="1"/>
  <c r="U2303" i="1" s="1"/>
  <c r="S2304" i="1"/>
  <c r="T2304" i="1" s="1"/>
  <c r="S2305" i="1"/>
  <c r="S2306" i="1"/>
  <c r="T2306" i="1" s="1"/>
  <c r="S2307" i="1"/>
  <c r="T2307" i="1" s="1"/>
  <c r="S2308" i="1"/>
  <c r="U2308" i="1" s="1"/>
  <c r="S2309" i="1"/>
  <c r="S2310" i="1"/>
  <c r="T2310" i="1" s="1"/>
  <c r="S2311" i="1"/>
  <c r="S2312" i="1"/>
  <c r="U2312" i="1" s="1"/>
  <c r="S2313" i="1"/>
  <c r="T2313" i="1" s="1"/>
  <c r="S2314" i="1"/>
  <c r="T2314" i="1" s="1"/>
  <c r="S2315" i="1"/>
  <c r="S2316" i="1"/>
  <c r="S2317" i="1"/>
  <c r="S2318" i="1"/>
  <c r="T2318" i="1" s="1"/>
  <c r="S2319" i="1"/>
  <c r="T2319" i="1" s="1"/>
  <c r="S2320" i="1"/>
  <c r="T2320" i="1" s="1"/>
  <c r="S2321" i="1"/>
  <c r="U2321" i="1" s="1"/>
  <c r="S2322" i="1"/>
  <c r="T2322" i="1" s="1"/>
  <c r="S2323" i="1"/>
  <c r="T2323" i="1" s="1"/>
  <c r="S2324" i="1"/>
  <c r="S2325" i="1"/>
  <c r="T2325" i="1" s="1"/>
  <c r="S2326" i="1"/>
  <c r="T2326" i="1" s="1"/>
  <c r="S2327" i="1"/>
  <c r="S2328" i="1"/>
  <c r="U2328" i="1" s="1"/>
  <c r="S2329" i="1"/>
  <c r="S2330" i="1"/>
  <c r="T2330" i="1" s="1"/>
  <c r="S2331" i="1"/>
  <c r="T2331" i="1" s="1"/>
  <c r="S2332" i="1"/>
  <c r="U2332" i="1" s="1"/>
  <c r="S2334" i="1"/>
  <c r="T2334" i="1" s="1"/>
  <c r="S2335" i="1"/>
  <c r="T2335" i="1" s="1"/>
  <c r="S2336" i="1"/>
  <c r="S2337" i="1"/>
  <c r="T2337" i="1" s="1"/>
  <c r="S2338" i="1"/>
  <c r="T2338" i="1" s="1"/>
  <c r="S2339" i="1"/>
  <c r="T2339" i="1" s="1"/>
  <c r="S2340" i="1"/>
  <c r="S2341" i="1"/>
  <c r="S2342" i="1"/>
  <c r="T2342" i="1" s="1"/>
  <c r="S2343" i="1"/>
  <c r="S2344" i="1"/>
  <c r="U2344" i="1" s="1"/>
  <c r="S2345" i="1"/>
  <c r="T2345" i="1" s="1"/>
  <c r="S2346" i="1"/>
  <c r="T2346" i="1" s="1"/>
  <c r="S2347" i="1"/>
  <c r="U2347" i="1" s="1"/>
  <c r="S2348" i="1"/>
  <c r="S2349" i="1"/>
  <c r="T2349" i="1" s="1"/>
  <c r="S2350" i="1"/>
  <c r="T2350" i="1" s="1"/>
  <c r="S2351" i="1"/>
  <c r="S2352" i="1"/>
  <c r="T2352" i="1" s="1"/>
  <c r="S2353" i="1"/>
  <c r="S2354" i="1"/>
  <c r="T2354" i="1" s="1"/>
  <c r="S2355" i="1"/>
  <c r="S2356" i="1"/>
  <c r="U2356" i="1" s="1"/>
  <c r="S2357" i="1"/>
  <c r="T2357" i="1" s="1"/>
  <c r="S2358" i="1"/>
  <c r="T2358" i="1" s="1"/>
  <c r="S2359" i="1"/>
  <c r="S2360" i="1"/>
  <c r="U2360" i="1" s="1"/>
  <c r="S2361" i="1"/>
  <c r="S2362" i="1"/>
  <c r="T2362" i="1" s="1"/>
  <c r="S2363" i="1"/>
  <c r="S2364" i="1"/>
  <c r="U2364" i="1" s="1"/>
  <c r="S2365" i="1"/>
  <c r="T2365" i="1" s="1"/>
  <c r="S2366" i="1"/>
  <c r="T2366" i="1" s="1"/>
  <c r="S2367" i="1"/>
  <c r="T2367" i="1" s="1"/>
  <c r="S2368" i="1"/>
  <c r="S2369" i="1"/>
  <c r="S2370" i="1"/>
  <c r="T2370" i="1" s="1"/>
  <c r="S2371" i="1"/>
  <c r="T2371" i="1" s="1"/>
  <c r="S2372" i="1"/>
  <c r="S2373" i="1"/>
  <c r="T2373" i="1" s="1"/>
  <c r="S2374" i="1"/>
  <c r="T2374" i="1" s="1"/>
  <c r="S2375" i="1"/>
  <c r="S2376" i="1"/>
  <c r="U2376" i="1" s="1"/>
  <c r="S2377" i="1"/>
  <c r="T2377" i="1" s="1"/>
  <c r="S2378" i="1"/>
  <c r="T2378" i="1" s="1"/>
  <c r="S2379" i="1"/>
  <c r="S2380" i="1"/>
  <c r="S2381" i="1"/>
  <c r="T2381" i="1" s="1"/>
  <c r="S2382" i="1"/>
  <c r="U2382" i="1" s="1"/>
  <c r="S2383" i="1"/>
  <c r="T2383" i="1" s="1"/>
  <c r="S2384" i="1"/>
  <c r="U2384" i="1" s="1"/>
  <c r="S2385" i="1"/>
  <c r="T2385" i="1" s="1"/>
  <c r="S2386" i="1"/>
  <c r="T2386" i="1" s="1"/>
  <c r="S2388" i="1"/>
  <c r="U2388" i="1" s="1"/>
  <c r="S2389" i="1"/>
  <c r="T2389" i="1" s="1"/>
  <c r="S2390" i="1"/>
  <c r="T2390" i="1" s="1"/>
  <c r="S2391" i="1"/>
  <c r="S2392" i="1"/>
  <c r="S2393" i="1"/>
  <c r="S2394" i="1"/>
  <c r="T2394" i="1" s="1"/>
  <c r="S2395" i="1"/>
  <c r="T2395" i="1" s="1"/>
  <c r="S2396" i="1"/>
  <c r="U2396" i="1" s="1"/>
  <c r="S2397" i="1"/>
  <c r="T2397" i="1" s="1"/>
  <c r="S2398" i="1"/>
  <c r="U2398" i="1" s="1"/>
  <c r="S2399" i="1"/>
  <c r="S2400" i="1"/>
  <c r="T2400" i="1" s="1"/>
  <c r="S2401" i="1"/>
  <c r="U2401" i="1" s="1"/>
  <c r="S2402" i="1"/>
  <c r="T2402" i="1" s="1"/>
  <c r="S2403" i="1"/>
  <c r="T2403" i="1" s="1"/>
  <c r="S2404" i="1"/>
  <c r="T2404" i="1" s="1"/>
  <c r="S2405" i="1"/>
  <c r="S2406" i="1"/>
  <c r="T2406" i="1" s="1"/>
  <c r="S2407" i="1"/>
  <c r="S2408" i="1"/>
  <c r="S2409" i="1"/>
  <c r="U2409" i="1" s="1"/>
  <c r="S2410" i="1"/>
  <c r="S2411" i="1"/>
  <c r="U2411" i="1" s="1"/>
  <c r="S2412" i="1"/>
  <c r="U2412" i="1" s="1"/>
  <c r="S2413" i="1"/>
  <c r="U2413" i="1" s="1"/>
  <c r="S2414" i="1"/>
  <c r="T2414" i="1" s="1"/>
  <c r="S2415" i="1"/>
  <c r="T2415" i="1" s="1"/>
  <c r="S2416" i="1"/>
  <c r="T2416" i="1" s="1"/>
  <c r="S2417" i="1"/>
  <c r="S2418" i="1"/>
  <c r="T2418" i="1" s="1"/>
  <c r="S2419" i="1"/>
  <c r="T2419" i="1" s="1"/>
  <c r="S2420" i="1"/>
  <c r="U2420" i="1" s="1"/>
  <c r="S2421" i="1"/>
  <c r="S2422" i="1"/>
  <c r="S2423" i="1"/>
  <c r="S2424" i="1"/>
  <c r="U2424" i="1" s="1"/>
  <c r="S2425" i="1"/>
  <c r="T2425" i="1" s="1"/>
  <c r="S2426" i="1"/>
  <c r="S2427" i="1"/>
  <c r="U2427" i="1" s="1"/>
  <c r="S2428" i="1"/>
  <c r="U2428" i="1" s="1"/>
  <c r="S2429" i="1"/>
  <c r="U2429" i="1" s="1"/>
  <c r="S2430" i="1"/>
  <c r="U2430" i="1" s="1"/>
  <c r="S2431" i="1"/>
  <c r="T2431" i="1" s="1"/>
  <c r="S2432" i="1"/>
  <c r="S2433" i="1"/>
  <c r="T2433" i="1" s="1"/>
  <c r="S2434" i="1"/>
  <c r="T2434" i="1" s="1"/>
  <c r="S2435" i="1"/>
  <c r="T2435" i="1" s="1"/>
  <c r="S2436" i="1"/>
  <c r="U2436" i="1" s="1"/>
  <c r="S2437" i="1"/>
  <c r="T2437" i="1" s="1"/>
  <c r="S2438" i="1"/>
  <c r="U2438" i="1" s="1"/>
  <c r="S2439" i="1"/>
  <c r="S2440" i="1"/>
  <c r="S2441" i="1"/>
  <c r="U2441" i="1" s="1"/>
  <c r="S2442" i="1"/>
  <c r="T2442" i="1" s="1"/>
  <c r="S2443" i="1"/>
  <c r="S2444" i="1"/>
  <c r="U2444" i="1" s="1"/>
  <c r="S2445" i="1"/>
  <c r="T2445" i="1" s="1"/>
  <c r="S2446" i="1"/>
  <c r="U2446" i="1" s="1"/>
  <c r="S2447" i="1"/>
  <c r="S2448" i="1"/>
  <c r="U2448" i="1" s="1"/>
  <c r="S2449" i="1"/>
  <c r="T2449" i="1" s="1"/>
  <c r="S2450" i="1"/>
  <c r="T2450" i="1" s="1"/>
  <c r="S2451" i="1"/>
  <c r="T2451" i="1" s="1"/>
  <c r="S2452" i="1"/>
  <c r="T2452" i="1" s="1"/>
  <c r="S2453" i="1"/>
  <c r="U2453" i="1" s="1"/>
  <c r="S2454" i="1"/>
  <c r="S2455" i="1"/>
  <c r="S2456" i="1"/>
  <c r="U2456" i="1" s="1"/>
  <c r="S2458" i="1"/>
  <c r="T2458" i="1" s="1"/>
  <c r="S2459" i="1"/>
  <c r="S2460" i="1"/>
  <c r="U2460" i="1" s="1"/>
  <c r="S2461" i="1"/>
  <c r="U2461" i="1" s="1"/>
  <c r="S2462" i="1"/>
  <c r="T2462" i="1" s="1"/>
  <c r="S2463" i="1"/>
  <c r="T2463" i="1" s="1"/>
  <c r="S2464" i="1"/>
  <c r="T2464" i="1" s="1"/>
  <c r="S2465" i="1"/>
  <c r="U2465" i="1" s="1"/>
  <c r="S2466" i="1"/>
  <c r="T2466" i="1" s="1"/>
  <c r="S2467" i="1"/>
  <c r="S2468" i="1"/>
  <c r="S2469" i="1"/>
  <c r="T2469" i="1" s="1"/>
  <c r="S2470" i="1"/>
  <c r="S2471" i="1"/>
  <c r="S2472" i="1"/>
  <c r="U2472" i="1" s="1"/>
  <c r="S2473" i="1"/>
  <c r="T2473" i="1" s="1"/>
  <c r="S2474" i="1"/>
  <c r="S2475" i="1"/>
  <c r="T2475" i="1" s="1"/>
  <c r="S2476" i="1"/>
  <c r="U2476" i="1" s="1"/>
  <c r="S2477" i="1"/>
  <c r="T2477" i="1" s="1"/>
  <c r="S2478" i="1"/>
  <c r="T2478" i="1" s="1"/>
  <c r="S2479" i="1"/>
  <c r="T2479" i="1" s="1"/>
  <c r="S2480" i="1"/>
  <c r="S2481" i="1"/>
  <c r="T2481" i="1" s="1"/>
  <c r="S2482" i="1"/>
  <c r="T2482" i="1" s="1"/>
  <c r="S2483" i="1"/>
  <c r="T2483" i="1" s="1"/>
  <c r="S2484" i="1"/>
  <c r="S2485" i="1"/>
  <c r="T2485" i="1" s="1"/>
  <c r="S2486" i="1"/>
  <c r="S2487" i="1"/>
  <c r="S2488" i="1"/>
  <c r="U2488" i="1" s="1"/>
  <c r="S2489" i="1"/>
  <c r="T2489" i="1" s="1"/>
  <c r="S2490" i="1"/>
  <c r="T2490" i="1" s="1"/>
  <c r="S2491" i="1"/>
  <c r="S2492" i="1"/>
  <c r="S2493" i="1"/>
  <c r="T2493" i="1" s="1"/>
  <c r="S2494" i="1"/>
  <c r="T2494" i="1" s="1"/>
  <c r="S2495" i="1"/>
  <c r="T2495" i="1" s="1"/>
  <c r="S2496" i="1"/>
  <c r="U2496" i="1" s="1"/>
  <c r="S2497" i="1"/>
  <c r="T2497" i="1" s="1"/>
  <c r="S2498" i="1"/>
  <c r="T2498" i="1" s="1"/>
  <c r="S2499" i="1"/>
  <c r="S2500" i="1"/>
  <c r="T2500" i="1" s="1"/>
  <c r="S2501" i="1"/>
  <c r="T2501" i="1" s="1"/>
  <c r="S2502" i="1"/>
  <c r="T2502" i="1" s="1"/>
  <c r="S2503" i="1"/>
  <c r="S2504" i="1"/>
  <c r="U2504" i="1" s="1"/>
  <c r="S2505" i="1"/>
  <c r="S2506" i="1"/>
  <c r="U2506" i="1" s="1"/>
  <c r="S2507" i="1"/>
  <c r="T2507" i="1" s="1"/>
  <c r="S2508" i="1"/>
  <c r="S2509" i="1"/>
  <c r="U2509" i="1" s="1"/>
  <c r="S2510" i="1"/>
  <c r="T2510" i="1" s="1"/>
  <c r="S2511" i="1"/>
  <c r="S2512" i="1"/>
  <c r="S2513" i="1"/>
  <c r="T2513" i="1" s="1"/>
  <c r="S2514" i="1"/>
  <c r="T2514" i="1" s="1"/>
  <c r="S2515" i="1"/>
  <c r="T2515" i="1" s="1"/>
  <c r="S2516" i="1"/>
  <c r="S2517" i="1"/>
  <c r="T2517" i="1" s="1"/>
  <c r="S2518" i="1"/>
  <c r="U2518" i="1" s="1"/>
  <c r="S2519" i="1"/>
  <c r="S2520" i="1"/>
  <c r="U2520" i="1" s="1"/>
  <c r="S2521" i="1"/>
  <c r="T2521" i="1" s="1"/>
  <c r="S2522" i="1"/>
  <c r="U2522" i="1" s="1"/>
  <c r="S2523" i="1"/>
  <c r="T2523" i="1" s="1"/>
  <c r="S2524" i="1"/>
  <c r="U2524" i="1" s="1"/>
  <c r="S2525" i="1"/>
  <c r="T2525" i="1" s="1"/>
  <c r="S2526" i="1"/>
  <c r="U2526" i="1" s="1"/>
  <c r="S2528" i="1"/>
  <c r="S2530" i="1"/>
  <c r="T2530" i="1" s="1"/>
  <c r="S2531" i="1"/>
  <c r="T2531" i="1" s="1"/>
  <c r="S2533" i="1"/>
  <c r="T2533" i="1" s="1"/>
  <c r="S2534" i="1"/>
  <c r="U2534" i="1" s="1"/>
  <c r="S2535" i="1"/>
  <c r="U2535" i="1" s="1"/>
  <c r="S2536" i="1"/>
  <c r="S2537" i="1"/>
  <c r="T2537" i="1" s="1"/>
  <c r="S2538" i="1"/>
  <c r="U2538" i="1" s="1"/>
  <c r="S2539" i="1"/>
  <c r="S2540" i="1"/>
  <c r="U2540" i="1" s="1"/>
  <c r="S2541" i="1"/>
  <c r="T2541" i="1" s="1"/>
  <c r="S2542" i="1"/>
  <c r="T2542" i="1" s="1"/>
  <c r="S2543" i="1"/>
  <c r="T2543" i="1" s="1"/>
  <c r="S2544" i="1"/>
  <c r="T2544" i="1" s="1"/>
  <c r="S2545" i="1"/>
  <c r="U2545" i="1" s="1"/>
  <c r="S2546" i="1"/>
  <c r="T2546" i="1" s="1"/>
  <c r="S2547" i="1"/>
  <c r="T2547" i="1" s="1"/>
  <c r="S2548" i="1"/>
  <c r="T2548" i="1" s="1"/>
  <c r="S2549" i="1"/>
  <c r="S2550" i="1"/>
  <c r="T2550" i="1" s="1"/>
  <c r="S2551" i="1"/>
  <c r="U2551" i="1" s="1"/>
  <c r="S2553" i="1"/>
  <c r="U2553" i="1" s="1"/>
  <c r="S2554" i="1"/>
  <c r="T2554" i="1" s="1"/>
  <c r="S2555" i="1"/>
  <c r="T2555" i="1" s="1"/>
  <c r="S2556" i="1"/>
  <c r="S2557" i="1"/>
  <c r="T2557" i="1" s="1"/>
  <c r="S2558" i="1"/>
  <c r="T2558" i="1" s="1"/>
  <c r="S2559" i="1"/>
  <c r="S2560" i="1"/>
  <c r="T2560" i="1" s="1"/>
  <c r="S2561" i="1"/>
  <c r="U2561" i="1" s="1"/>
  <c r="S2562" i="1"/>
  <c r="T2562" i="1" s="1"/>
  <c r="S2563" i="1"/>
  <c r="T2563" i="1" s="1"/>
  <c r="S2564" i="1"/>
  <c r="T2564" i="1" s="1"/>
  <c r="S2565" i="1"/>
  <c r="S2566" i="1"/>
  <c r="T2566" i="1" s="1"/>
  <c r="S2567" i="1"/>
  <c r="U2567" i="1" s="1"/>
  <c r="S2568" i="1"/>
  <c r="U2568" i="1" s="1"/>
  <c r="S2569" i="1"/>
  <c r="T2569" i="1" s="1"/>
  <c r="S2570" i="1"/>
  <c r="S2571" i="1"/>
  <c r="S2572" i="1"/>
  <c r="T2572" i="1" s="1"/>
  <c r="S2573" i="1"/>
  <c r="T2573" i="1" s="1"/>
  <c r="S2574" i="1"/>
  <c r="T2574" i="1" s="1"/>
  <c r="S2575" i="1"/>
  <c r="S2577" i="1"/>
  <c r="T2577" i="1" s="1"/>
  <c r="S2578" i="1"/>
  <c r="T2578" i="1" s="1"/>
  <c r="S2579" i="1"/>
  <c r="T2579" i="1" s="1"/>
  <c r="S2580" i="1"/>
  <c r="T2580" i="1" s="1"/>
  <c r="S2581" i="1"/>
  <c r="S2582" i="1"/>
  <c r="T2582" i="1" s="1"/>
  <c r="S2583" i="1"/>
  <c r="U2583" i="1" s="1"/>
  <c r="S2584" i="1"/>
  <c r="S2585" i="1"/>
  <c r="U2585" i="1" s="1"/>
  <c r="S2586" i="1"/>
  <c r="S2587" i="1"/>
  <c r="S2588" i="1"/>
  <c r="T2588" i="1" s="1"/>
  <c r="S2589" i="1"/>
  <c r="T2589" i="1" s="1"/>
  <c r="S2590" i="1"/>
  <c r="T2590" i="1" s="1"/>
  <c r="S2591" i="1"/>
  <c r="S2592" i="1"/>
  <c r="S2593" i="1"/>
  <c r="S2594" i="1"/>
  <c r="T2594" i="1" s="1"/>
  <c r="S2595" i="1"/>
  <c r="T2595" i="1" s="1"/>
  <c r="S2596" i="1"/>
  <c r="T2596" i="1" s="1"/>
  <c r="S2597" i="1"/>
  <c r="T2597" i="1" s="1"/>
  <c r="S2598" i="1"/>
  <c r="U2598" i="1" s="1"/>
  <c r="S2599" i="1"/>
  <c r="U2599" i="1" s="1"/>
  <c r="S2600" i="1"/>
  <c r="S2601" i="1"/>
  <c r="S2602" i="1"/>
  <c r="T2602" i="1" s="1"/>
  <c r="S2603" i="1"/>
  <c r="T2603" i="1" s="1"/>
  <c r="S2605" i="1"/>
  <c r="T2605" i="1" s="1"/>
  <c r="S2607" i="1"/>
  <c r="T2607" i="1" s="1"/>
  <c r="S2608" i="1"/>
  <c r="T2608" i="1" s="1"/>
  <c r="S2609" i="1"/>
  <c r="T2609" i="1" s="1"/>
  <c r="S2610" i="1"/>
  <c r="T2610" i="1" s="1"/>
  <c r="S2611" i="1"/>
  <c r="T2611" i="1" s="1"/>
  <c r="S2612" i="1"/>
  <c r="U2612" i="1" s="1"/>
  <c r="S2613" i="1"/>
  <c r="U2613" i="1" s="1"/>
  <c r="S2614" i="1"/>
  <c r="T2614" i="1" s="1"/>
  <c r="S2615" i="1"/>
  <c r="U2615" i="1" s="1"/>
  <c r="S2616" i="1"/>
  <c r="S2617" i="1"/>
  <c r="S2619" i="1"/>
  <c r="U2619" i="1" s="1"/>
  <c r="S2620" i="1"/>
  <c r="S2621" i="1"/>
  <c r="T2621" i="1" s="1"/>
  <c r="S2622" i="1"/>
  <c r="T2622" i="1" s="1"/>
  <c r="S2623" i="1"/>
  <c r="S2624" i="1"/>
  <c r="T2624" i="1" s="1"/>
  <c r="S2625" i="1"/>
  <c r="T2625" i="1" s="1"/>
  <c r="S2626" i="1"/>
  <c r="T2626" i="1" s="1"/>
  <c r="S2627" i="1"/>
  <c r="T2627" i="1" s="1"/>
  <c r="S2628" i="1"/>
  <c r="S2629" i="1"/>
  <c r="S2630" i="1"/>
  <c r="T2630" i="1" s="1"/>
  <c r="S2631" i="1"/>
  <c r="U2631" i="1" s="1"/>
  <c r="S2632" i="1"/>
  <c r="U2632" i="1" s="1"/>
  <c r="S2633" i="1"/>
  <c r="T2633" i="1" s="1"/>
  <c r="S2634" i="1"/>
  <c r="S2636" i="1"/>
  <c r="T2636" i="1" s="1"/>
  <c r="S2637" i="1"/>
  <c r="T2637" i="1" s="1"/>
  <c r="S2638" i="1"/>
  <c r="T2638" i="1" s="1"/>
  <c r="S2639" i="1"/>
  <c r="S2641" i="1"/>
  <c r="T2641" i="1" s="1"/>
  <c r="S2642" i="1"/>
  <c r="T2642" i="1" s="1"/>
  <c r="S2644" i="1"/>
  <c r="T2644" i="1" s="1"/>
  <c r="S2645" i="1"/>
  <c r="S2647" i="1"/>
  <c r="U2647" i="1" s="1"/>
  <c r="S2648" i="1"/>
  <c r="S2649" i="1"/>
  <c r="U2649" i="1" s="1"/>
  <c r="S2650" i="1"/>
  <c r="S2651" i="1"/>
  <c r="S2653" i="1"/>
  <c r="U2653" i="1" s="1"/>
  <c r="S2654" i="1"/>
  <c r="T2654" i="1" s="1"/>
  <c r="S2655" i="1"/>
  <c r="T2655" i="1" s="1"/>
  <c r="S2656" i="1"/>
  <c r="S2657" i="1"/>
  <c r="T2657" i="1" s="1"/>
  <c r="S2658" i="1"/>
  <c r="T2658" i="1" s="1"/>
  <c r="S2659" i="1"/>
  <c r="T2659" i="1" s="1"/>
  <c r="S2660" i="1"/>
  <c r="T2660" i="1" s="1"/>
  <c r="S2661" i="1"/>
  <c r="T2661" i="1" s="1"/>
  <c r="S2662" i="1"/>
  <c r="U2662" i="1" s="1"/>
  <c r="S2663" i="1"/>
  <c r="U2663" i="1" s="1"/>
  <c r="S2664" i="1"/>
  <c r="S2665" i="1"/>
  <c r="T2665" i="1" s="1"/>
  <c r="S2667" i="1"/>
  <c r="T2667" i="1" s="1"/>
  <c r="S2668" i="1"/>
  <c r="U2668" i="1" s="1"/>
  <c r="S2669" i="1"/>
  <c r="T2669" i="1" s="1"/>
  <c r="S2670" i="1"/>
  <c r="T2670" i="1" s="1"/>
  <c r="S2672" i="1"/>
  <c r="T2672" i="1" s="1"/>
  <c r="S2673" i="1"/>
  <c r="U2673" i="1" s="1"/>
  <c r="S2674" i="1"/>
  <c r="T2674" i="1" s="1"/>
  <c r="S2675" i="1"/>
  <c r="T2675" i="1" s="1"/>
  <c r="S2676" i="1"/>
  <c r="T2676" i="1" s="1"/>
  <c r="S2677" i="1"/>
  <c r="T2677" i="1" s="1"/>
  <c r="S2678" i="1"/>
  <c r="T2678" i="1" s="1"/>
  <c r="S2679" i="1"/>
  <c r="U2679" i="1" s="1"/>
  <c r="S2681" i="1"/>
  <c r="U2681" i="1" s="1"/>
  <c r="S2682" i="1"/>
  <c r="T2682" i="1" s="1"/>
  <c r="S2683" i="1"/>
  <c r="U2683" i="1" s="1"/>
  <c r="S2684" i="1"/>
  <c r="T2684" i="1" s="1"/>
  <c r="S2685" i="1"/>
  <c r="T2685" i="1" s="1"/>
  <c r="S2686" i="1"/>
  <c r="T2686" i="1" s="1"/>
  <c r="S2687" i="1"/>
  <c r="S2688" i="1"/>
  <c r="U2688" i="1" s="1"/>
  <c r="S2689" i="1"/>
  <c r="U2689" i="1" s="1"/>
  <c r="S2690" i="1"/>
  <c r="T2690" i="1" s="1"/>
  <c r="S2691" i="1"/>
  <c r="T2691" i="1" s="1"/>
  <c r="S2692" i="1"/>
  <c r="S2693" i="1"/>
  <c r="S2694" i="1"/>
  <c r="U2694" i="1" s="1"/>
  <c r="S2695" i="1"/>
  <c r="U2695" i="1" s="1"/>
  <c r="S2696" i="1"/>
  <c r="U2696" i="1" s="1"/>
  <c r="S2697" i="1"/>
  <c r="T2697" i="1" s="1"/>
  <c r="S2698" i="1"/>
  <c r="S2699" i="1"/>
  <c r="S2700" i="1"/>
  <c r="T2700" i="1" s="1"/>
  <c r="S2701" i="1"/>
  <c r="S2702" i="1"/>
  <c r="U2702" i="1" s="1"/>
  <c r="S2703" i="1"/>
  <c r="S2704" i="1"/>
  <c r="T2704" i="1" s="1"/>
  <c r="S2705" i="1"/>
  <c r="T2705" i="1" s="1"/>
  <c r="S2706" i="1"/>
  <c r="T2706" i="1" s="1"/>
  <c r="S2707" i="1"/>
  <c r="S2708" i="1"/>
  <c r="S2710" i="1"/>
  <c r="T2710" i="1" s="1"/>
  <c r="S2711" i="1"/>
  <c r="U2711" i="1" s="1"/>
  <c r="S2712" i="1"/>
  <c r="U2712" i="1" s="1"/>
  <c r="S2713" i="1"/>
  <c r="S2714" i="1"/>
  <c r="T2714" i="1" s="1"/>
  <c r="S2715" i="1"/>
  <c r="S2716" i="1"/>
  <c r="T2716" i="1" s="1"/>
  <c r="S2717" i="1"/>
  <c r="T2717" i="1" s="1"/>
  <c r="S2718" i="1"/>
  <c r="U2718" i="1" s="1"/>
  <c r="S2719" i="1"/>
  <c r="T2719" i="1" s="1"/>
  <c r="S2720" i="1"/>
  <c r="S2721" i="1"/>
  <c r="S2722" i="1"/>
  <c r="T2722" i="1" s="1"/>
  <c r="S2723" i="1"/>
  <c r="T2723" i="1" s="1"/>
  <c r="S2724" i="1"/>
  <c r="T2724" i="1" s="1"/>
  <c r="S2725" i="1"/>
  <c r="T2725" i="1" s="1"/>
  <c r="S2726" i="1"/>
  <c r="U2726" i="1" s="1"/>
  <c r="S2727" i="1"/>
  <c r="U2727" i="1" s="1"/>
  <c r="S2728" i="1"/>
  <c r="S2729" i="1"/>
  <c r="T2729" i="1" s="1"/>
  <c r="S2730" i="1"/>
  <c r="T2730" i="1" s="1"/>
  <c r="S2731" i="1"/>
  <c r="T2731" i="1" s="1"/>
  <c r="S2732" i="1"/>
  <c r="U2732" i="1" s="1"/>
  <c r="S2733" i="1"/>
  <c r="T2733" i="1" s="1"/>
  <c r="S2734" i="1"/>
  <c r="U2734" i="1" s="1"/>
  <c r="S2735" i="1"/>
  <c r="T2735" i="1" s="1"/>
  <c r="S2736" i="1"/>
  <c r="U2736" i="1" s="1"/>
  <c r="S2737" i="1"/>
  <c r="T2737" i="1" s="1"/>
  <c r="S2738" i="1"/>
  <c r="T2738" i="1" s="1"/>
  <c r="S2739" i="1"/>
  <c r="T2739" i="1" s="1"/>
  <c r="S2740" i="1"/>
  <c r="T2740" i="1" s="1"/>
  <c r="S2741" i="1"/>
  <c r="T2741" i="1" s="1"/>
  <c r="S2742" i="1"/>
  <c r="T2742" i="1" s="1"/>
  <c r="S2743" i="1"/>
  <c r="U2743" i="1" s="1"/>
  <c r="S2744" i="1"/>
  <c r="S2746" i="1"/>
  <c r="T2746" i="1" s="1"/>
  <c r="S2747" i="1"/>
  <c r="U2747" i="1" s="1"/>
  <c r="S2748" i="1"/>
  <c r="U2748" i="1" s="1"/>
  <c r="S2749" i="1"/>
  <c r="U2749" i="1" s="1"/>
  <c r="S2750" i="1"/>
  <c r="U2750" i="1" s="1"/>
  <c r="S2751" i="1"/>
  <c r="S2752" i="1"/>
  <c r="T2752" i="1" s="1"/>
  <c r="S2753" i="1"/>
  <c r="T2753" i="1" s="1"/>
  <c r="S2754" i="1"/>
  <c r="T2754" i="1" s="1"/>
  <c r="S2755" i="1"/>
  <c r="S2756" i="1"/>
  <c r="S2757" i="1"/>
  <c r="S2758" i="1"/>
  <c r="T2758" i="1" s="1"/>
  <c r="S2759" i="1"/>
  <c r="U2759" i="1" s="1"/>
  <c r="S2760" i="1"/>
  <c r="S2762" i="1"/>
  <c r="T2762" i="1" s="1"/>
  <c r="S2763" i="1"/>
  <c r="S2765" i="1"/>
  <c r="S2766" i="1"/>
  <c r="T2766" i="1" s="1"/>
  <c r="S2767" i="1"/>
  <c r="S2768" i="1"/>
  <c r="U2768" i="1" s="1"/>
  <c r="S2769" i="1"/>
  <c r="T2769" i="1" s="1"/>
  <c r="S2770" i="1"/>
  <c r="S2771" i="1"/>
  <c r="S2772" i="1"/>
  <c r="T2772" i="1" s="1"/>
  <c r="S2773" i="1"/>
  <c r="U2773" i="1" s="1"/>
  <c r="S2774" i="1"/>
  <c r="S2775" i="1"/>
  <c r="T2775" i="1" s="1"/>
  <c r="S2776" i="1"/>
  <c r="U2776" i="1" s="1"/>
  <c r="S2777" i="1"/>
  <c r="S2778" i="1"/>
  <c r="T2778" i="1" s="1"/>
  <c r="S2779" i="1"/>
  <c r="T2779" i="1" s="1"/>
  <c r="S2780" i="1"/>
  <c r="S2781" i="1"/>
  <c r="T2781" i="1" s="1"/>
  <c r="S2783" i="1"/>
  <c r="T2783" i="1" s="1"/>
  <c r="S2784" i="1"/>
  <c r="T2784" i="1" s="1"/>
  <c r="S2785" i="1"/>
  <c r="T2785" i="1" s="1"/>
  <c r="S2786" i="1"/>
  <c r="T2786" i="1" s="1"/>
  <c r="S2787" i="1"/>
  <c r="S2788" i="1"/>
  <c r="T2788" i="1" s="1"/>
  <c r="S2789" i="1"/>
  <c r="T2789" i="1" s="1"/>
  <c r="S2790" i="1"/>
  <c r="U2790" i="1" s="1"/>
  <c r="S2791" i="1"/>
  <c r="T2791" i="1" s="1"/>
  <c r="S2792" i="1"/>
  <c r="U2792" i="1" s="1"/>
  <c r="S2793" i="1"/>
  <c r="T2793" i="1" s="1"/>
  <c r="S2794" i="1"/>
  <c r="U2794" i="1" s="1"/>
  <c r="S2795" i="1"/>
  <c r="U2795" i="1" s="1"/>
  <c r="S2796" i="1"/>
  <c r="U2796" i="1" s="1"/>
  <c r="S2797" i="1"/>
  <c r="T2797" i="1" s="1"/>
  <c r="S2798" i="1"/>
  <c r="T2798" i="1" s="1"/>
  <c r="S2799" i="1"/>
  <c r="T2799" i="1" s="1"/>
  <c r="S2800" i="1"/>
  <c r="T2800" i="1" s="1"/>
  <c r="S2801" i="1"/>
  <c r="T2801" i="1" s="1"/>
  <c r="S2802" i="1"/>
  <c r="U2802" i="1" s="1"/>
  <c r="S2803" i="1"/>
  <c r="S2804" i="1"/>
  <c r="T2804" i="1" s="1"/>
  <c r="S2806" i="1"/>
  <c r="S2807" i="1"/>
  <c r="U2807" i="1" s="1"/>
  <c r="S2808" i="1"/>
  <c r="U2808" i="1" s="1"/>
  <c r="S2809" i="1"/>
  <c r="S2810" i="1"/>
  <c r="T2810" i="1" s="1"/>
  <c r="S2811" i="1"/>
  <c r="T2811" i="1" s="1"/>
  <c r="S2812" i="1"/>
  <c r="T2812" i="1" s="1"/>
  <c r="S2813" i="1"/>
  <c r="T2813" i="1" s="1"/>
  <c r="S2814" i="1"/>
  <c r="S2815" i="1"/>
  <c r="U2815" i="1" s="1"/>
  <c r="S2816" i="1"/>
  <c r="S2817" i="1"/>
  <c r="T2817" i="1" s="1"/>
  <c r="S2818" i="1"/>
  <c r="T2818" i="1" s="1"/>
  <c r="S2819" i="1"/>
  <c r="S2820" i="1"/>
  <c r="T2820" i="1" s="1"/>
  <c r="S2821" i="1"/>
  <c r="U2821" i="1" s="1"/>
  <c r="S2822" i="1"/>
  <c r="U2822" i="1" s="1"/>
  <c r="S2823" i="1"/>
  <c r="T2823" i="1" s="1"/>
  <c r="S2824" i="1"/>
  <c r="U2824" i="1" s="1"/>
  <c r="S2826" i="1"/>
  <c r="T2826" i="1" s="1"/>
  <c r="S2827" i="1"/>
  <c r="T2827" i="1" s="1"/>
  <c r="S2828" i="1"/>
  <c r="U2828" i="1" s="1"/>
  <c r="S2829" i="1"/>
  <c r="T2829" i="1" s="1"/>
  <c r="S2830" i="1"/>
  <c r="T2830" i="1" s="1"/>
  <c r="S2831" i="1"/>
  <c r="T2831" i="1" s="1"/>
  <c r="S2832" i="1"/>
  <c r="U2832" i="1" s="1"/>
  <c r="S2833" i="1"/>
  <c r="T2833" i="1" s="1"/>
  <c r="S2834" i="1"/>
  <c r="T2834" i="1" s="1"/>
  <c r="S2835" i="1"/>
  <c r="S2836" i="1"/>
  <c r="T2836" i="1" s="1"/>
  <c r="S2837" i="1"/>
  <c r="T2837" i="1" s="1"/>
  <c r="S2838" i="1"/>
  <c r="U2838" i="1" s="1"/>
  <c r="S2839" i="1"/>
  <c r="T2839" i="1" s="1"/>
  <c r="S2840" i="1"/>
  <c r="U2840" i="1" s="1"/>
  <c r="S2841" i="1"/>
  <c r="U2841" i="1" s="1"/>
  <c r="S2842" i="1"/>
  <c r="T2842" i="1" s="1"/>
  <c r="S2843" i="1"/>
  <c r="T2843" i="1" s="1"/>
  <c r="S2845" i="1"/>
  <c r="T2845" i="1" s="1"/>
  <c r="S2846" i="1"/>
  <c r="T2846" i="1" s="1"/>
  <c r="S2847" i="1"/>
  <c r="T2847" i="1" s="1"/>
  <c r="S2848" i="1"/>
  <c r="T2848" i="1" s="1"/>
  <c r="S2849" i="1"/>
  <c r="T2849" i="1" s="1"/>
  <c r="S2850" i="1"/>
  <c r="T2850" i="1" s="1"/>
  <c r="S2851" i="1"/>
  <c r="S2852" i="1"/>
  <c r="T2852" i="1" s="1"/>
  <c r="S2853" i="1"/>
  <c r="T2853" i="1" s="1"/>
  <c r="S2854" i="1"/>
  <c r="U2854" i="1" s="1"/>
  <c r="S2855" i="1"/>
  <c r="T2855" i="1" s="1"/>
  <c r="S2856" i="1"/>
  <c r="U2856" i="1" s="1"/>
  <c r="S2857" i="1"/>
  <c r="U2857" i="1" s="1"/>
  <c r="S2858" i="1"/>
  <c r="T2858" i="1" s="1"/>
  <c r="S2859" i="1"/>
  <c r="U2859" i="1" s="1"/>
  <c r="S2860" i="1"/>
  <c r="T2860" i="1" s="1"/>
  <c r="S2861" i="1"/>
  <c r="U2861" i="1" s="1"/>
  <c r="S2862" i="1"/>
  <c r="T2862" i="1" s="1"/>
  <c r="S2863" i="1"/>
  <c r="T2863" i="1" s="1"/>
  <c r="S2864" i="1"/>
  <c r="S2865" i="1"/>
  <c r="T2865" i="1" s="1"/>
  <c r="S2866" i="1"/>
  <c r="U2866" i="1" s="1"/>
  <c r="S2867" i="1"/>
  <c r="S2868" i="1"/>
  <c r="T2868" i="1" s="1"/>
  <c r="S2869" i="1"/>
  <c r="T2869" i="1" s="1"/>
  <c r="S2870" i="1"/>
  <c r="U2870" i="1" s="1"/>
  <c r="S2871" i="1"/>
  <c r="T2871" i="1" s="1"/>
  <c r="S2872" i="1"/>
  <c r="U2872" i="1" s="1"/>
  <c r="S2873" i="1"/>
  <c r="T2873" i="1" s="1"/>
  <c r="S2874" i="1"/>
  <c r="U2874" i="1" s="1"/>
  <c r="S2875" i="1"/>
  <c r="T2875" i="1" s="1"/>
  <c r="S2877" i="1"/>
  <c r="U2877" i="1" s="1"/>
  <c r="S2878" i="1"/>
  <c r="T2878" i="1" s="1"/>
  <c r="S2879" i="1"/>
  <c r="T2879" i="1" s="1"/>
  <c r="S2880" i="1"/>
  <c r="S2881" i="1"/>
  <c r="T2881" i="1" s="1"/>
  <c r="S2882" i="1"/>
  <c r="T2882" i="1" s="1"/>
  <c r="S2883" i="1"/>
  <c r="S2884" i="1"/>
  <c r="T2884" i="1" s="1"/>
  <c r="S2885" i="1"/>
  <c r="T2885" i="1" s="1"/>
  <c r="S2886" i="1"/>
  <c r="U2886" i="1" s="1"/>
  <c r="S2887" i="1"/>
  <c r="T2887" i="1" s="1"/>
  <c r="S2888" i="1"/>
  <c r="S2889" i="1"/>
  <c r="T2889" i="1" s="1"/>
  <c r="S2890" i="1"/>
  <c r="T2890" i="1" s="1"/>
  <c r="S2891" i="1"/>
  <c r="T2891" i="1" s="1"/>
  <c r="S2892" i="1"/>
  <c r="T2892" i="1" s="1"/>
  <c r="S2893" i="1"/>
  <c r="T2893" i="1" s="1"/>
  <c r="S2894" i="1"/>
  <c r="T2894" i="1" s="1"/>
  <c r="S2895" i="1"/>
  <c r="S2896" i="1"/>
  <c r="U2896" i="1" s="1"/>
  <c r="S2897" i="1"/>
  <c r="T2897" i="1" s="1"/>
  <c r="S2898" i="1"/>
  <c r="T2898" i="1" s="1"/>
  <c r="S2899" i="1"/>
  <c r="S2900" i="1"/>
  <c r="T2900" i="1" s="1"/>
  <c r="S2901" i="1"/>
  <c r="S2902" i="1"/>
  <c r="U2902" i="1" s="1"/>
  <c r="S2903" i="1"/>
  <c r="U2903" i="1" s="1"/>
  <c r="S2904" i="1"/>
  <c r="U2904" i="1" s="1"/>
  <c r="S2905" i="1"/>
  <c r="S2906" i="1"/>
  <c r="T2906" i="1" s="1"/>
  <c r="S2907" i="1"/>
  <c r="U2907" i="1" s="1"/>
  <c r="S2909" i="1"/>
  <c r="T2909" i="1" s="1"/>
  <c r="S2910" i="1"/>
  <c r="T2910" i="1" s="1"/>
  <c r="S2912" i="1"/>
  <c r="T2912" i="1" s="1"/>
  <c r="S2913" i="1"/>
  <c r="T2913" i="1" s="1"/>
  <c r="S2914" i="1"/>
  <c r="T2914" i="1" s="1"/>
  <c r="S2915" i="1"/>
  <c r="S2916" i="1"/>
  <c r="T2916" i="1" s="1"/>
  <c r="S2917" i="1"/>
  <c r="T2917" i="1" s="1"/>
  <c r="S2919" i="1"/>
  <c r="T2919" i="1" s="1"/>
  <c r="S2920" i="1"/>
  <c r="U2920" i="1" s="1"/>
  <c r="S2921" i="1"/>
  <c r="S2922" i="1"/>
  <c r="T2922" i="1" s="1"/>
  <c r="S2923" i="1"/>
  <c r="T2923" i="1" s="1"/>
  <c r="S2924" i="1"/>
  <c r="T2924" i="1" s="1"/>
  <c r="S2926" i="1"/>
  <c r="T2926" i="1" s="1"/>
  <c r="S2928" i="1"/>
  <c r="T2928" i="1" s="1"/>
  <c r="S2929" i="1"/>
  <c r="T2929" i="1" s="1"/>
  <c r="S2930" i="1"/>
  <c r="S2931" i="1"/>
  <c r="S2932" i="1"/>
  <c r="T2932" i="1" s="1"/>
  <c r="S2933" i="1"/>
  <c r="T2933" i="1" s="1"/>
  <c r="S2934" i="1"/>
  <c r="U2934" i="1" s="1"/>
  <c r="S2935" i="1"/>
  <c r="T2935" i="1" s="1"/>
  <c r="S2936" i="1"/>
  <c r="U2936" i="1" s="1"/>
  <c r="S2937" i="1"/>
  <c r="T2937" i="1" s="1"/>
  <c r="S2938" i="1"/>
  <c r="S2939" i="1"/>
  <c r="T2939" i="1" s="1"/>
  <c r="S2940" i="1"/>
  <c r="T2940" i="1" s="1"/>
  <c r="S2941" i="1"/>
  <c r="T2941" i="1" s="1"/>
  <c r="S2942" i="1"/>
  <c r="T2942" i="1" s="1"/>
  <c r="S2943" i="1"/>
  <c r="T2943" i="1" s="1"/>
  <c r="S2945" i="1"/>
  <c r="T2945" i="1" s="1"/>
  <c r="S2946" i="1"/>
  <c r="U2946" i="1" s="1"/>
  <c r="S2947" i="1"/>
  <c r="S2948" i="1"/>
  <c r="T2948" i="1" s="1"/>
  <c r="S2949" i="1"/>
  <c r="T2949" i="1" s="1"/>
  <c r="S2950" i="1"/>
  <c r="T2950" i="1" s="1"/>
  <c r="S2951" i="1"/>
  <c r="T2951" i="1" s="1"/>
  <c r="S2952" i="1"/>
  <c r="U2952" i="1" s="1"/>
  <c r="S2953" i="1"/>
  <c r="T2953" i="1" s="1"/>
  <c r="S2954" i="1"/>
  <c r="T2954" i="1" s="1"/>
  <c r="S2955" i="1"/>
  <c r="T2955" i="1" s="1"/>
  <c r="S2956" i="1"/>
  <c r="T2956" i="1" s="1"/>
  <c r="S2957" i="1"/>
  <c r="T2957" i="1" s="1"/>
  <c r="S2958" i="1"/>
  <c r="U2958" i="1" s="1"/>
  <c r="S2959" i="1"/>
  <c r="U2959" i="1" s="1"/>
  <c r="S2960" i="1"/>
  <c r="T2960" i="1" s="1"/>
  <c r="S2961" i="1"/>
  <c r="T2961" i="1" s="1"/>
  <c r="S2962" i="1"/>
  <c r="U2962" i="1" s="1"/>
  <c r="S2963" i="1"/>
  <c r="T2963" i="1" s="1"/>
  <c r="S2964" i="1"/>
  <c r="U2964" i="1" s="1"/>
  <c r="S2965" i="1"/>
  <c r="U2965" i="1" s="1"/>
  <c r="S2966" i="1"/>
  <c r="T2966" i="1" s="1"/>
  <c r="S2967" i="1"/>
  <c r="U2967" i="1" s="1"/>
  <c r="S2968" i="1"/>
  <c r="T2968" i="1" s="1"/>
  <c r="S2970" i="1"/>
  <c r="S2972" i="1"/>
  <c r="T2972" i="1" s="1"/>
  <c r="S2" i="1"/>
  <c r="U2" i="1" s="1"/>
  <c r="R2976" i="1"/>
  <c r="Q2976" i="1"/>
  <c r="P2976" i="1"/>
  <c r="O2976" i="1"/>
  <c r="N2976" i="1"/>
  <c r="M2976" i="1"/>
  <c r="L2976" i="1"/>
  <c r="K2976" i="1"/>
  <c r="J2976" i="1"/>
  <c r="I2976" i="1"/>
  <c r="H2976" i="1"/>
  <c r="G2976" i="1"/>
  <c r="F2976" i="1"/>
  <c r="E2976" i="1"/>
  <c r="R2973" i="1"/>
  <c r="Q2973" i="1"/>
  <c r="P2973" i="1"/>
  <c r="O2973" i="1"/>
  <c r="N2973" i="1"/>
  <c r="M2973" i="1"/>
  <c r="L2973" i="1"/>
  <c r="K2973" i="1"/>
  <c r="J2973" i="1"/>
  <c r="I2973" i="1"/>
  <c r="H2973" i="1"/>
  <c r="G2973" i="1"/>
  <c r="F2973" i="1"/>
  <c r="E2973" i="1"/>
  <c r="R2971" i="1"/>
  <c r="Q2971" i="1"/>
  <c r="P2971" i="1"/>
  <c r="O2971" i="1"/>
  <c r="N2971" i="1"/>
  <c r="M2971" i="1"/>
  <c r="L2971" i="1"/>
  <c r="K2971" i="1"/>
  <c r="J2971" i="1"/>
  <c r="I2971" i="1"/>
  <c r="H2971" i="1"/>
  <c r="G2971" i="1"/>
  <c r="F2971" i="1"/>
  <c r="E2971" i="1"/>
  <c r="R2969" i="1"/>
  <c r="Q2969" i="1"/>
  <c r="P2969" i="1"/>
  <c r="O2969" i="1"/>
  <c r="N2969" i="1"/>
  <c r="M2969" i="1"/>
  <c r="L2969" i="1"/>
  <c r="K2969" i="1"/>
  <c r="J2969" i="1"/>
  <c r="I2969" i="1"/>
  <c r="H2969" i="1"/>
  <c r="G2969" i="1"/>
  <c r="F2969" i="1"/>
  <c r="E2969" i="1"/>
  <c r="R2944" i="1"/>
  <c r="Q2944" i="1"/>
  <c r="P2944" i="1"/>
  <c r="O2944" i="1"/>
  <c r="N2944" i="1"/>
  <c r="M2944" i="1"/>
  <c r="L2944" i="1"/>
  <c r="K2944" i="1"/>
  <c r="J2944" i="1"/>
  <c r="I2944" i="1"/>
  <c r="H2944" i="1"/>
  <c r="G2944" i="1"/>
  <c r="F2944" i="1"/>
  <c r="E2944" i="1"/>
  <c r="R2927" i="1"/>
  <c r="Q2927" i="1"/>
  <c r="P2927" i="1"/>
  <c r="O2927" i="1"/>
  <c r="N2927" i="1"/>
  <c r="M2927" i="1"/>
  <c r="L2927" i="1"/>
  <c r="K2927" i="1"/>
  <c r="J2927" i="1"/>
  <c r="I2927" i="1"/>
  <c r="H2927" i="1"/>
  <c r="G2927" i="1"/>
  <c r="F2927" i="1"/>
  <c r="E2927" i="1"/>
  <c r="R2925" i="1"/>
  <c r="Q2925" i="1"/>
  <c r="P2925" i="1"/>
  <c r="O2925" i="1"/>
  <c r="N2925" i="1"/>
  <c r="M2925" i="1"/>
  <c r="L2925" i="1"/>
  <c r="K2925" i="1"/>
  <c r="J2925" i="1"/>
  <c r="I2925" i="1"/>
  <c r="H2925" i="1"/>
  <c r="G2925" i="1"/>
  <c r="F2925" i="1"/>
  <c r="E2925" i="1"/>
  <c r="R2918" i="1"/>
  <c r="Q2918" i="1"/>
  <c r="P2918" i="1"/>
  <c r="O2918" i="1"/>
  <c r="N2918" i="1"/>
  <c r="M2918" i="1"/>
  <c r="L2918" i="1"/>
  <c r="K2918" i="1"/>
  <c r="J2918" i="1"/>
  <c r="I2918" i="1"/>
  <c r="H2918" i="1"/>
  <c r="G2918" i="1"/>
  <c r="F2918" i="1"/>
  <c r="E2918" i="1"/>
  <c r="R2911" i="1"/>
  <c r="Q2911" i="1"/>
  <c r="P2911" i="1"/>
  <c r="O2911" i="1"/>
  <c r="N2911" i="1"/>
  <c r="M2911" i="1"/>
  <c r="L2911" i="1"/>
  <c r="K2911" i="1"/>
  <c r="J2911" i="1"/>
  <c r="I2911" i="1"/>
  <c r="H2911" i="1"/>
  <c r="G2911" i="1"/>
  <c r="F2911" i="1"/>
  <c r="E2911" i="1"/>
  <c r="R2908" i="1"/>
  <c r="Q2908" i="1"/>
  <c r="P2908" i="1"/>
  <c r="O2908" i="1"/>
  <c r="N2908" i="1"/>
  <c r="M2908" i="1"/>
  <c r="L2908" i="1"/>
  <c r="K2908" i="1"/>
  <c r="J2908" i="1"/>
  <c r="I2908" i="1"/>
  <c r="H2908" i="1"/>
  <c r="G2908" i="1"/>
  <c r="F2908" i="1"/>
  <c r="E2908" i="1"/>
  <c r="R2876" i="1"/>
  <c r="Q2876" i="1"/>
  <c r="P2876" i="1"/>
  <c r="O2876" i="1"/>
  <c r="N2876" i="1"/>
  <c r="M2876" i="1"/>
  <c r="L2876" i="1"/>
  <c r="K2876" i="1"/>
  <c r="J2876" i="1"/>
  <c r="I2876" i="1"/>
  <c r="H2876" i="1"/>
  <c r="G2876" i="1"/>
  <c r="F2876" i="1"/>
  <c r="E2876" i="1"/>
  <c r="R2844" i="1"/>
  <c r="Q2844" i="1"/>
  <c r="P2844" i="1"/>
  <c r="O2844" i="1"/>
  <c r="N2844" i="1"/>
  <c r="M2844" i="1"/>
  <c r="L2844" i="1"/>
  <c r="K2844" i="1"/>
  <c r="J2844" i="1"/>
  <c r="I2844" i="1"/>
  <c r="H2844" i="1"/>
  <c r="G2844" i="1"/>
  <c r="F2844" i="1"/>
  <c r="E2844" i="1"/>
  <c r="R2825" i="1"/>
  <c r="Q2825" i="1"/>
  <c r="P2825" i="1"/>
  <c r="O2825" i="1"/>
  <c r="N2825" i="1"/>
  <c r="M2825" i="1"/>
  <c r="L2825" i="1"/>
  <c r="K2825" i="1"/>
  <c r="J2825" i="1"/>
  <c r="I2825" i="1"/>
  <c r="H2825" i="1"/>
  <c r="G2825" i="1"/>
  <c r="F2825" i="1"/>
  <c r="E2825" i="1"/>
  <c r="R2805" i="1"/>
  <c r="Q2805" i="1"/>
  <c r="P2805" i="1"/>
  <c r="O2805" i="1"/>
  <c r="N2805" i="1"/>
  <c r="M2805" i="1"/>
  <c r="L2805" i="1"/>
  <c r="K2805" i="1"/>
  <c r="J2805" i="1"/>
  <c r="I2805" i="1"/>
  <c r="H2805" i="1"/>
  <c r="G2805" i="1"/>
  <c r="F2805" i="1"/>
  <c r="E2805" i="1"/>
  <c r="R2782" i="1"/>
  <c r="Q2782" i="1"/>
  <c r="P2782" i="1"/>
  <c r="O2782" i="1"/>
  <c r="N2782" i="1"/>
  <c r="M2782" i="1"/>
  <c r="L2782" i="1"/>
  <c r="K2782" i="1"/>
  <c r="J2782" i="1"/>
  <c r="I2782" i="1"/>
  <c r="H2782" i="1"/>
  <c r="G2782" i="1"/>
  <c r="F2782" i="1"/>
  <c r="E2782" i="1"/>
  <c r="R2764" i="1"/>
  <c r="Q2764" i="1"/>
  <c r="P2764" i="1"/>
  <c r="O2764" i="1"/>
  <c r="N2764" i="1"/>
  <c r="M2764" i="1"/>
  <c r="L2764" i="1"/>
  <c r="K2764" i="1"/>
  <c r="J2764" i="1"/>
  <c r="I2764" i="1"/>
  <c r="H2764" i="1"/>
  <c r="G2764" i="1"/>
  <c r="F2764" i="1"/>
  <c r="E2764" i="1"/>
  <c r="R2761" i="1"/>
  <c r="Q2761" i="1"/>
  <c r="P2761" i="1"/>
  <c r="O2761" i="1"/>
  <c r="N2761" i="1"/>
  <c r="M2761" i="1"/>
  <c r="L2761" i="1"/>
  <c r="K2761" i="1"/>
  <c r="J2761" i="1"/>
  <c r="I2761" i="1"/>
  <c r="H2761" i="1"/>
  <c r="G2761" i="1"/>
  <c r="F2761" i="1"/>
  <c r="E2761" i="1"/>
  <c r="R2745" i="1"/>
  <c r="Q2745" i="1"/>
  <c r="P2745" i="1"/>
  <c r="O2745" i="1"/>
  <c r="N2745" i="1"/>
  <c r="M2745" i="1"/>
  <c r="L2745" i="1"/>
  <c r="K2745" i="1"/>
  <c r="J2745" i="1"/>
  <c r="I2745" i="1"/>
  <c r="H2745" i="1"/>
  <c r="G2745" i="1"/>
  <c r="F2745" i="1"/>
  <c r="E2745" i="1"/>
  <c r="R2709" i="1"/>
  <c r="Q2709" i="1"/>
  <c r="P2709" i="1"/>
  <c r="O2709" i="1"/>
  <c r="N2709" i="1"/>
  <c r="M2709" i="1"/>
  <c r="L2709" i="1"/>
  <c r="K2709" i="1"/>
  <c r="J2709" i="1"/>
  <c r="I2709" i="1"/>
  <c r="H2709" i="1"/>
  <c r="G2709" i="1"/>
  <c r="F2709" i="1"/>
  <c r="E2709" i="1"/>
  <c r="R2680" i="1"/>
  <c r="Q2680" i="1"/>
  <c r="P2680" i="1"/>
  <c r="O2680" i="1"/>
  <c r="N2680" i="1"/>
  <c r="M2680" i="1"/>
  <c r="L2680" i="1"/>
  <c r="K2680" i="1"/>
  <c r="J2680" i="1"/>
  <c r="I2680" i="1"/>
  <c r="H2680" i="1"/>
  <c r="G2680" i="1"/>
  <c r="F2680" i="1"/>
  <c r="E2680" i="1"/>
  <c r="R2671" i="1"/>
  <c r="Q2671" i="1"/>
  <c r="P2671" i="1"/>
  <c r="O2671" i="1"/>
  <c r="N2671" i="1"/>
  <c r="M2671" i="1"/>
  <c r="L2671" i="1"/>
  <c r="K2671" i="1"/>
  <c r="J2671" i="1"/>
  <c r="I2671" i="1"/>
  <c r="H2671" i="1"/>
  <c r="G2671" i="1"/>
  <c r="F2671" i="1"/>
  <c r="E2671" i="1"/>
  <c r="R2666" i="1"/>
  <c r="Q2666" i="1"/>
  <c r="P2666" i="1"/>
  <c r="O2666" i="1"/>
  <c r="N2666" i="1"/>
  <c r="M2666" i="1"/>
  <c r="L2666" i="1"/>
  <c r="K2666" i="1"/>
  <c r="J2666" i="1"/>
  <c r="I2666" i="1"/>
  <c r="H2666" i="1"/>
  <c r="G2666" i="1"/>
  <c r="F2666" i="1"/>
  <c r="E2666" i="1"/>
  <c r="R2652" i="1"/>
  <c r="Q2652" i="1"/>
  <c r="P2652" i="1"/>
  <c r="O2652" i="1"/>
  <c r="N2652" i="1"/>
  <c r="M2652" i="1"/>
  <c r="L2652" i="1"/>
  <c r="K2652" i="1"/>
  <c r="J2652" i="1"/>
  <c r="I2652" i="1"/>
  <c r="H2652" i="1"/>
  <c r="G2652" i="1"/>
  <c r="F2652" i="1"/>
  <c r="E2652" i="1"/>
  <c r="R2646" i="1"/>
  <c r="Q2646" i="1"/>
  <c r="P2646" i="1"/>
  <c r="O2646" i="1"/>
  <c r="N2646" i="1"/>
  <c r="M2646" i="1"/>
  <c r="L2646" i="1"/>
  <c r="K2646" i="1"/>
  <c r="J2646" i="1"/>
  <c r="I2646" i="1"/>
  <c r="H2646" i="1"/>
  <c r="G2646" i="1"/>
  <c r="F2646" i="1"/>
  <c r="E2646" i="1"/>
  <c r="R2643" i="1"/>
  <c r="Q2643" i="1"/>
  <c r="P2643" i="1"/>
  <c r="O2643" i="1"/>
  <c r="N2643" i="1"/>
  <c r="M2643" i="1"/>
  <c r="L2643" i="1"/>
  <c r="K2643" i="1"/>
  <c r="J2643" i="1"/>
  <c r="I2643" i="1"/>
  <c r="H2643" i="1"/>
  <c r="G2643" i="1"/>
  <c r="F2643" i="1"/>
  <c r="E2643" i="1"/>
  <c r="R2640" i="1"/>
  <c r="Q2640" i="1"/>
  <c r="P2640" i="1"/>
  <c r="O2640" i="1"/>
  <c r="N2640" i="1"/>
  <c r="M2640" i="1"/>
  <c r="L2640" i="1"/>
  <c r="K2640" i="1"/>
  <c r="J2640" i="1"/>
  <c r="I2640" i="1"/>
  <c r="H2640" i="1"/>
  <c r="G2640" i="1"/>
  <c r="F2640" i="1"/>
  <c r="E2640" i="1"/>
  <c r="R2635" i="1"/>
  <c r="Q2635" i="1"/>
  <c r="P2635" i="1"/>
  <c r="O2635" i="1"/>
  <c r="N2635" i="1"/>
  <c r="M2635" i="1"/>
  <c r="L2635" i="1"/>
  <c r="K2635" i="1"/>
  <c r="J2635" i="1"/>
  <c r="I2635" i="1"/>
  <c r="H2635" i="1"/>
  <c r="G2635" i="1"/>
  <c r="F2635" i="1"/>
  <c r="E2635" i="1"/>
  <c r="R2618" i="1"/>
  <c r="Q2618" i="1"/>
  <c r="P2618" i="1"/>
  <c r="O2618" i="1"/>
  <c r="N2618" i="1"/>
  <c r="M2618" i="1"/>
  <c r="L2618" i="1"/>
  <c r="K2618" i="1"/>
  <c r="J2618" i="1"/>
  <c r="I2618" i="1"/>
  <c r="H2618" i="1"/>
  <c r="G2618" i="1"/>
  <c r="F2618" i="1"/>
  <c r="E2618" i="1"/>
  <c r="R2606" i="1"/>
  <c r="Q2606" i="1"/>
  <c r="P2606" i="1"/>
  <c r="O2606" i="1"/>
  <c r="N2606" i="1"/>
  <c r="M2606" i="1"/>
  <c r="L2606" i="1"/>
  <c r="K2606" i="1"/>
  <c r="J2606" i="1"/>
  <c r="I2606" i="1"/>
  <c r="H2606" i="1"/>
  <c r="G2606" i="1"/>
  <c r="F2606" i="1"/>
  <c r="E2606" i="1"/>
  <c r="R2604" i="1"/>
  <c r="Q2604" i="1"/>
  <c r="P2604" i="1"/>
  <c r="O2604" i="1"/>
  <c r="N2604" i="1"/>
  <c r="M2604" i="1"/>
  <c r="L2604" i="1"/>
  <c r="K2604" i="1"/>
  <c r="J2604" i="1"/>
  <c r="I2604" i="1"/>
  <c r="H2604" i="1"/>
  <c r="G2604" i="1"/>
  <c r="F2604" i="1"/>
  <c r="E2604" i="1"/>
  <c r="R2576" i="1"/>
  <c r="Q2576" i="1"/>
  <c r="P2576" i="1"/>
  <c r="O2576" i="1"/>
  <c r="N2576" i="1"/>
  <c r="M2576" i="1"/>
  <c r="L2576" i="1"/>
  <c r="K2576" i="1"/>
  <c r="J2576" i="1"/>
  <c r="I2576" i="1"/>
  <c r="H2576" i="1"/>
  <c r="G2576" i="1"/>
  <c r="F2576" i="1"/>
  <c r="E2576" i="1"/>
  <c r="R2552" i="1"/>
  <c r="Q2552" i="1"/>
  <c r="P2552" i="1"/>
  <c r="O2552" i="1"/>
  <c r="N2552" i="1"/>
  <c r="M2552" i="1"/>
  <c r="L2552" i="1"/>
  <c r="K2552" i="1"/>
  <c r="J2552" i="1"/>
  <c r="I2552" i="1"/>
  <c r="H2552" i="1"/>
  <c r="G2552" i="1"/>
  <c r="F2552" i="1"/>
  <c r="E2552" i="1"/>
  <c r="R2532" i="1"/>
  <c r="Q2532" i="1"/>
  <c r="P2532" i="1"/>
  <c r="O2532" i="1"/>
  <c r="N2532" i="1"/>
  <c r="M2532" i="1"/>
  <c r="L2532" i="1"/>
  <c r="K2532" i="1"/>
  <c r="J2532" i="1"/>
  <c r="I2532" i="1"/>
  <c r="H2532" i="1"/>
  <c r="G2532" i="1"/>
  <c r="F2532" i="1"/>
  <c r="E2532" i="1"/>
  <c r="R2529" i="1"/>
  <c r="Q2529" i="1"/>
  <c r="P2529" i="1"/>
  <c r="O2529" i="1"/>
  <c r="N2529" i="1"/>
  <c r="M2529" i="1"/>
  <c r="L2529" i="1"/>
  <c r="K2529" i="1"/>
  <c r="J2529" i="1"/>
  <c r="I2529" i="1"/>
  <c r="H2529" i="1"/>
  <c r="G2529" i="1"/>
  <c r="F2529" i="1"/>
  <c r="E2529" i="1"/>
  <c r="R2527" i="1"/>
  <c r="Q2527" i="1"/>
  <c r="P2527" i="1"/>
  <c r="O2527" i="1"/>
  <c r="N2527" i="1"/>
  <c r="M2527" i="1"/>
  <c r="L2527" i="1"/>
  <c r="K2527" i="1"/>
  <c r="J2527" i="1"/>
  <c r="I2527" i="1"/>
  <c r="H2527" i="1"/>
  <c r="G2527" i="1"/>
  <c r="F2527" i="1"/>
  <c r="E2527" i="1"/>
  <c r="R2457" i="1"/>
  <c r="Q2457" i="1"/>
  <c r="P2457" i="1"/>
  <c r="O2457" i="1"/>
  <c r="N2457" i="1"/>
  <c r="M2457" i="1"/>
  <c r="L2457" i="1"/>
  <c r="K2457" i="1"/>
  <c r="J2457" i="1"/>
  <c r="I2457" i="1"/>
  <c r="H2457" i="1"/>
  <c r="G2457" i="1"/>
  <c r="F2457" i="1"/>
  <c r="E2457" i="1"/>
  <c r="R2387" i="1"/>
  <c r="Q2387" i="1"/>
  <c r="P2387" i="1"/>
  <c r="O2387" i="1"/>
  <c r="N2387" i="1"/>
  <c r="M2387" i="1"/>
  <c r="L2387" i="1"/>
  <c r="K2387" i="1"/>
  <c r="J2387" i="1"/>
  <c r="I2387" i="1"/>
  <c r="H2387" i="1"/>
  <c r="G2387" i="1"/>
  <c r="F2387" i="1"/>
  <c r="E2387" i="1"/>
  <c r="R2333" i="1"/>
  <c r="Q2333" i="1"/>
  <c r="P2333" i="1"/>
  <c r="O2333" i="1"/>
  <c r="N2333" i="1"/>
  <c r="M2333" i="1"/>
  <c r="L2333" i="1"/>
  <c r="K2333" i="1"/>
  <c r="J2333" i="1"/>
  <c r="I2333" i="1"/>
  <c r="H2333" i="1"/>
  <c r="G2333" i="1"/>
  <c r="F2333" i="1"/>
  <c r="E2333" i="1"/>
  <c r="R2279" i="1"/>
  <c r="Q2279" i="1"/>
  <c r="P2279" i="1"/>
  <c r="O2279" i="1"/>
  <c r="N2279" i="1"/>
  <c r="M2279" i="1"/>
  <c r="L2279" i="1"/>
  <c r="K2279" i="1"/>
  <c r="J2279" i="1"/>
  <c r="I2279" i="1"/>
  <c r="H2279" i="1"/>
  <c r="G2279" i="1"/>
  <c r="F2279" i="1"/>
  <c r="E2279" i="1"/>
  <c r="R2277" i="1"/>
  <c r="Q2277" i="1"/>
  <c r="P2277" i="1"/>
  <c r="O2277" i="1"/>
  <c r="N2277" i="1"/>
  <c r="M2277" i="1"/>
  <c r="L2277" i="1"/>
  <c r="K2277" i="1"/>
  <c r="J2277" i="1"/>
  <c r="I2277" i="1"/>
  <c r="H2277" i="1"/>
  <c r="G2277" i="1"/>
  <c r="F2277" i="1"/>
  <c r="E2277" i="1"/>
  <c r="R2204" i="1"/>
  <c r="Q2204" i="1"/>
  <c r="P2204" i="1"/>
  <c r="O2204" i="1"/>
  <c r="N2204" i="1"/>
  <c r="M2204" i="1"/>
  <c r="L2204" i="1"/>
  <c r="K2204" i="1"/>
  <c r="J2204" i="1"/>
  <c r="I2204" i="1"/>
  <c r="H2204" i="1"/>
  <c r="G2204" i="1"/>
  <c r="F2204" i="1"/>
  <c r="E2204" i="1"/>
  <c r="R2129" i="1"/>
  <c r="Q2129" i="1"/>
  <c r="P2129" i="1"/>
  <c r="O2129" i="1"/>
  <c r="N2129" i="1"/>
  <c r="M2129" i="1"/>
  <c r="L2129" i="1"/>
  <c r="K2129" i="1"/>
  <c r="J2129" i="1"/>
  <c r="I2129" i="1"/>
  <c r="H2129" i="1"/>
  <c r="G2129" i="1"/>
  <c r="F2129" i="1"/>
  <c r="E2129" i="1"/>
  <c r="R2123" i="1"/>
  <c r="Q2123" i="1"/>
  <c r="P2123" i="1"/>
  <c r="O2123" i="1"/>
  <c r="N2123" i="1"/>
  <c r="M2123" i="1"/>
  <c r="L2123" i="1"/>
  <c r="K2123" i="1"/>
  <c r="J2123" i="1"/>
  <c r="I2123" i="1"/>
  <c r="H2123" i="1"/>
  <c r="G2123" i="1"/>
  <c r="F2123" i="1"/>
  <c r="E2123" i="1"/>
  <c r="R2114" i="1"/>
  <c r="Q2114" i="1"/>
  <c r="P2114" i="1"/>
  <c r="O2114" i="1"/>
  <c r="N2114" i="1"/>
  <c r="M2114" i="1"/>
  <c r="L2114" i="1"/>
  <c r="K2114" i="1"/>
  <c r="J2114" i="1"/>
  <c r="I2114" i="1"/>
  <c r="H2114" i="1"/>
  <c r="G2114" i="1"/>
  <c r="F2114" i="1"/>
  <c r="E2114" i="1"/>
  <c r="R2111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E2111" i="1"/>
  <c r="R2100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E2100" i="1"/>
  <c r="R2090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E2090" i="1"/>
  <c r="R2079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E2079" i="1"/>
  <c r="R2072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E2072" i="1"/>
  <c r="R2069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E2069" i="1"/>
  <c r="R2061" i="1"/>
  <c r="Q2061" i="1"/>
  <c r="P2061" i="1"/>
  <c r="O2061" i="1"/>
  <c r="N2061" i="1"/>
  <c r="M2061" i="1"/>
  <c r="L2061" i="1"/>
  <c r="K2061" i="1"/>
  <c r="J2061" i="1"/>
  <c r="I2061" i="1"/>
  <c r="H2061" i="1"/>
  <c r="G2061" i="1"/>
  <c r="F2061" i="1"/>
  <c r="E2061" i="1"/>
  <c r="R2050" i="1"/>
  <c r="Q2050" i="1"/>
  <c r="P2050" i="1"/>
  <c r="O2050" i="1"/>
  <c r="N2050" i="1"/>
  <c r="M2050" i="1"/>
  <c r="L2050" i="1"/>
  <c r="K2050" i="1"/>
  <c r="J2050" i="1"/>
  <c r="I2050" i="1"/>
  <c r="H2050" i="1"/>
  <c r="G2050" i="1"/>
  <c r="F2050" i="1"/>
  <c r="E2050" i="1"/>
  <c r="R2042" i="1"/>
  <c r="Q2042" i="1"/>
  <c r="P2042" i="1"/>
  <c r="O2042" i="1"/>
  <c r="N2042" i="1"/>
  <c r="M2042" i="1"/>
  <c r="L2042" i="1"/>
  <c r="K2042" i="1"/>
  <c r="J2042" i="1"/>
  <c r="I2042" i="1"/>
  <c r="H2042" i="1"/>
  <c r="G2042" i="1"/>
  <c r="F2042" i="1"/>
  <c r="E2042" i="1"/>
  <c r="R2031" i="1"/>
  <c r="Q2031" i="1"/>
  <c r="P2031" i="1"/>
  <c r="O2031" i="1"/>
  <c r="N2031" i="1"/>
  <c r="M2031" i="1"/>
  <c r="L2031" i="1"/>
  <c r="K2031" i="1"/>
  <c r="J2031" i="1"/>
  <c r="I2031" i="1"/>
  <c r="H2031" i="1"/>
  <c r="G2031" i="1"/>
  <c r="F2031" i="1"/>
  <c r="E2031" i="1"/>
  <c r="R2014" i="1"/>
  <c r="Q2014" i="1"/>
  <c r="P2014" i="1"/>
  <c r="O2014" i="1"/>
  <c r="N2014" i="1"/>
  <c r="M2014" i="1"/>
  <c r="L2014" i="1"/>
  <c r="K2014" i="1"/>
  <c r="J2014" i="1"/>
  <c r="I2014" i="1"/>
  <c r="H2014" i="1"/>
  <c r="G2014" i="1"/>
  <c r="F2014" i="1"/>
  <c r="E2014" i="1"/>
  <c r="R2002" i="1"/>
  <c r="Q2002" i="1"/>
  <c r="P2002" i="1"/>
  <c r="O2002" i="1"/>
  <c r="N2002" i="1"/>
  <c r="M2002" i="1"/>
  <c r="L2002" i="1"/>
  <c r="K2002" i="1"/>
  <c r="J2002" i="1"/>
  <c r="I2002" i="1"/>
  <c r="H2002" i="1"/>
  <c r="G2002" i="1"/>
  <c r="F2002" i="1"/>
  <c r="E2002" i="1"/>
  <c r="R1994" i="1"/>
  <c r="Q1994" i="1"/>
  <c r="P1994" i="1"/>
  <c r="O1994" i="1"/>
  <c r="N1994" i="1"/>
  <c r="M1994" i="1"/>
  <c r="L1994" i="1"/>
  <c r="K1994" i="1"/>
  <c r="J1994" i="1"/>
  <c r="I1994" i="1"/>
  <c r="H1994" i="1"/>
  <c r="G1994" i="1"/>
  <c r="F1994" i="1"/>
  <c r="E1994" i="1"/>
  <c r="R1983" i="1"/>
  <c r="Q1983" i="1"/>
  <c r="P1983" i="1"/>
  <c r="O1983" i="1"/>
  <c r="N1983" i="1"/>
  <c r="M1983" i="1"/>
  <c r="L1983" i="1"/>
  <c r="K1983" i="1"/>
  <c r="J1983" i="1"/>
  <c r="I1983" i="1"/>
  <c r="H1983" i="1"/>
  <c r="G1983" i="1"/>
  <c r="F1983" i="1"/>
  <c r="E1983" i="1"/>
  <c r="R1957" i="1"/>
  <c r="Q1957" i="1"/>
  <c r="P1957" i="1"/>
  <c r="O1957" i="1"/>
  <c r="N1957" i="1"/>
  <c r="M1957" i="1"/>
  <c r="L1957" i="1"/>
  <c r="K1957" i="1"/>
  <c r="J1957" i="1"/>
  <c r="I1957" i="1"/>
  <c r="H1957" i="1"/>
  <c r="G1957" i="1"/>
  <c r="F1957" i="1"/>
  <c r="E1957" i="1"/>
  <c r="R1955" i="1"/>
  <c r="Q1955" i="1"/>
  <c r="P1955" i="1"/>
  <c r="O1955" i="1"/>
  <c r="N1955" i="1"/>
  <c r="M1955" i="1"/>
  <c r="L1955" i="1"/>
  <c r="K1955" i="1"/>
  <c r="J1955" i="1"/>
  <c r="I1955" i="1"/>
  <c r="H1955" i="1"/>
  <c r="G1955" i="1"/>
  <c r="F1955" i="1"/>
  <c r="E1955" i="1"/>
  <c r="R1928" i="1"/>
  <c r="Q1928" i="1"/>
  <c r="P1928" i="1"/>
  <c r="O1928" i="1"/>
  <c r="N1928" i="1"/>
  <c r="M1928" i="1"/>
  <c r="L1928" i="1"/>
  <c r="K1928" i="1"/>
  <c r="J1928" i="1"/>
  <c r="I1928" i="1"/>
  <c r="H1928" i="1"/>
  <c r="G1928" i="1"/>
  <c r="F1928" i="1"/>
  <c r="E1928" i="1"/>
  <c r="R1925" i="1"/>
  <c r="Q1925" i="1"/>
  <c r="P1925" i="1"/>
  <c r="O1925" i="1"/>
  <c r="N1925" i="1"/>
  <c r="M1925" i="1"/>
  <c r="L1925" i="1"/>
  <c r="K1925" i="1"/>
  <c r="J1925" i="1"/>
  <c r="I1925" i="1"/>
  <c r="H1925" i="1"/>
  <c r="G1925" i="1"/>
  <c r="F1925" i="1"/>
  <c r="E1925" i="1"/>
  <c r="R1923" i="1"/>
  <c r="Q1923" i="1"/>
  <c r="P1923" i="1"/>
  <c r="O1923" i="1"/>
  <c r="N1923" i="1"/>
  <c r="M1923" i="1"/>
  <c r="L1923" i="1"/>
  <c r="K1923" i="1"/>
  <c r="J1923" i="1"/>
  <c r="I1923" i="1"/>
  <c r="H1923" i="1"/>
  <c r="G1923" i="1"/>
  <c r="F1923" i="1"/>
  <c r="E1923" i="1"/>
  <c r="R1896" i="1"/>
  <c r="Q1896" i="1"/>
  <c r="P1896" i="1"/>
  <c r="O1896" i="1"/>
  <c r="N1896" i="1"/>
  <c r="M1896" i="1"/>
  <c r="L1896" i="1"/>
  <c r="K1896" i="1"/>
  <c r="J1896" i="1"/>
  <c r="I1896" i="1"/>
  <c r="H1896" i="1"/>
  <c r="G1896" i="1"/>
  <c r="F1896" i="1"/>
  <c r="E1896" i="1"/>
  <c r="R1880" i="1"/>
  <c r="Q1880" i="1"/>
  <c r="P1880" i="1"/>
  <c r="O1880" i="1"/>
  <c r="N1880" i="1"/>
  <c r="M1880" i="1"/>
  <c r="L1880" i="1"/>
  <c r="K1880" i="1"/>
  <c r="J1880" i="1"/>
  <c r="I1880" i="1"/>
  <c r="H1880" i="1"/>
  <c r="G1880" i="1"/>
  <c r="F1880" i="1"/>
  <c r="E1880" i="1"/>
  <c r="R1878" i="1"/>
  <c r="Q1878" i="1"/>
  <c r="P1878" i="1"/>
  <c r="O1878" i="1"/>
  <c r="N1878" i="1"/>
  <c r="M1878" i="1"/>
  <c r="L1878" i="1"/>
  <c r="K1878" i="1"/>
  <c r="J1878" i="1"/>
  <c r="I1878" i="1"/>
  <c r="H1878" i="1"/>
  <c r="G1878" i="1"/>
  <c r="F1878" i="1"/>
  <c r="E1878" i="1"/>
  <c r="R1876" i="1"/>
  <c r="Q1876" i="1"/>
  <c r="P1876" i="1"/>
  <c r="O1876" i="1"/>
  <c r="N1876" i="1"/>
  <c r="M1876" i="1"/>
  <c r="L1876" i="1"/>
  <c r="K1876" i="1"/>
  <c r="J1876" i="1"/>
  <c r="I1876" i="1"/>
  <c r="H1876" i="1"/>
  <c r="G1876" i="1"/>
  <c r="F1876" i="1"/>
  <c r="E1876" i="1"/>
  <c r="R1872" i="1"/>
  <c r="Q1872" i="1"/>
  <c r="P1872" i="1"/>
  <c r="O1872" i="1"/>
  <c r="N1872" i="1"/>
  <c r="M1872" i="1"/>
  <c r="L1872" i="1"/>
  <c r="K1872" i="1"/>
  <c r="J1872" i="1"/>
  <c r="I1872" i="1"/>
  <c r="H1872" i="1"/>
  <c r="G1872" i="1"/>
  <c r="F1872" i="1"/>
  <c r="E1872" i="1"/>
  <c r="R1870" i="1"/>
  <c r="Q1870" i="1"/>
  <c r="P1870" i="1"/>
  <c r="O1870" i="1"/>
  <c r="N1870" i="1"/>
  <c r="M1870" i="1"/>
  <c r="L1870" i="1"/>
  <c r="K1870" i="1"/>
  <c r="J1870" i="1"/>
  <c r="I1870" i="1"/>
  <c r="H1870" i="1"/>
  <c r="G1870" i="1"/>
  <c r="F1870" i="1"/>
  <c r="E1870" i="1"/>
  <c r="R1867" i="1"/>
  <c r="Q1867" i="1"/>
  <c r="P1867" i="1"/>
  <c r="O1867" i="1"/>
  <c r="N1867" i="1"/>
  <c r="M1867" i="1"/>
  <c r="L1867" i="1"/>
  <c r="K1867" i="1"/>
  <c r="J1867" i="1"/>
  <c r="I1867" i="1"/>
  <c r="H1867" i="1"/>
  <c r="G1867" i="1"/>
  <c r="F1867" i="1"/>
  <c r="E1867" i="1"/>
  <c r="R1865" i="1"/>
  <c r="Q1865" i="1"/>
  <c r="P1865" i="1"/>
  <c r="O1865" i="1"/>
  <c r="N1865" i="1"/>
  <c r="M1865" i="1"/>
  <c r="L1865" i="1"/>
  <c r="K1865" i="1"/>
  <c r="J1865" i="1"/>
  <c r="I1865" i="1"/>
  <c r="H1865" i="1"/>
  <c r="G1865" i="1"/>
  <c r="F1865" i="1"/>
  <c r="E1865" i="1"/>
  <c r="R1814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E1814" i="1"/>
  <c r="R1811" i="1"/>
  <c r="Q1811" i="1"/>
  <c r="P1811" i="1"/>
  <c r="O1811" i="1"/>
  <c r="N1811" i="1"/>
  <c r="M1811" i="1"/>
  <c r="L1811" i="1"/>
  <c r="K1811" i="1"/>
  <c r="J1811" i="1"/>
  <c r="I1811" i="1"/>
  <c r="H1811" i="1"/>
  <c r="G1811" i="1"/>
  <c r="F1811" i="1"/>
  <c r="E1811" i="1"/>
  <c r="R1803" i="1"/>
  <c r="Q1803" i="1"/>
  <c r="P1803" i="1"/>
  <c r="O1803" i="1"/>
  <c r="N1803" i="1"/>
  <c r="M1803" i="1"/>
  <c r="L1803" i="1"/>
  <c r="K1803" i="1"/>
  <c r="J1803" i="1"/>
  <c r="I1803" i="1"/>
  <c r="H1803" i="1"/>
  <c r="G1803" i="1"/>
  <c r="F1803" i="1"/>
  <c r="E1803" i="1"/>
  <c r="R1800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E1800" i="1"/>
  <c r="R1762" i="1"/>
  <c r="Q1762" i="1"/>
  <c r="P1762" i="1"/>
  <c r="O1762" i="1"/>
  <c r="N1762" i="1"/>
  <c r="M1762" i="1"/>
  <c r="L1762" i="1"/>
  <c r="K1762" i="1"/>
  <c r="J1762" i="1"/>
  <c r="I1762" i="1"/>
  <c r="H1762" i="1"/>
  <c r="G1762" i="1"/>
  <c r="F1762" i="1"/>
  <c r="E1762" i="1"/>
  <c r="R1728" i="1"/>
  <c r="Q1728" i="1"/>
  <c r="P1728" i="1"/>
  <c r="O1728" i="1"/>
  <c r="N1728" i="1"/>
  <c r="M1728" i="1"/>
  <c r="L1728" i="1"/>
  <c r="K1728" i="1"/>
  <c r="J1728" i="1"/>
  <c r="I1728" i="1"/>
  <c r="H1728" i="1"/>
  <c r="G1728" i="1"/>
  <c r="F1728" i="1"/>
  <c r="E1728" i="1"/>
  <c r="R1719" i="1"/>
  <c r="Q1719" i="1"/>
  <c r="P1719" i="1"/>
  <c r="O1719" i="1"/>
  <c r="N1719" i="1"/>
  <c r="M1719" i="1"/>
  <c r="L1719" i="1"/>
  <c r="K1719" i="1"/>
  <c r="J1719" i="1"/>
  <c r="I1719" i="1"/>
  <c r="H1719" i="1"/>
  <c r="G1719" i="1"/>
  <c r="F1719" i="1"/>
  <c r="E1719" i="1"/>
  <c r="R1717" i="1"/>
  <c r="Q1717" i="1"/>
  <c r="P1717" i="1"/>
  <c r="O1717" i="1"/>
  <c r="N1717" i="1"/>
  <c r="M1717" i="1"/>
  <c r="L1717" i="1"/>
  <c r="K1717" i="1"/>
  <c r="J1717" i="1"/>
  <c r="I1717" i="1"/>
  <c r="H1717" i="1"/>
  <c r="G1717" i="1"/>
  <c r="F1717" i="1"/>
  <c r="E1717" i="1"/>
  <c r="R1715" i="1"/>
  <c r="Q1715" i="1"/>
  <c r="P1715" i="1"/>
  <c r="O1715" i="1"/>
  <c r="N1715" i="1"/>
  <c r="M1715" i="1"/>
  <c r="L1715" i="1"/>
  <c r="K1715" i="1"/>
  <c r="J1715" i="1"/>
  <c r="I1715" i="1"/>
  <c r="H1715" i="1"/>
  <c r="G1715" i="1"/>
  <c r="F1715" i="1"/>
  <c r="E1715" i="1"/>
  <c r="R1713" i="1"/>
  <c r="Q1713" i="1"/>
  <c r="P1713" i="1"/>
  <c r="O1713" i="1"/>
  <c r="N1713" i="1"/>
  <c r="M1713" i="1"/>
  <c r="L1713" i="1"/>
  <c r="K1713" i="1"/>
  <c r="J1713" i="1"/>
  <c r="I1713" i="1"/>
  <c r="H1713" i="1"/>
  <c r="G1713" i="1"/>
  <c r="F1713" i="1"/>
  <c r="E1713" i="1"/>
  <c r="R1711" i="1"/>
  <c r="Q1711" i="1"/>
  <c r="P1711" i="1"/>
  <c r="O1711" i="1"/>
  <c r="N1711" i="1"/>
  <c r="M1711" i="1"/>
  <c r="L1711" i="1"/>
  <c r="K1711" i="1"/>
  <c r="J1711" i="1"/>
  <c r="I1711" i="1"/>
  <c r="H1711" i="1"/>
  <c r="G1711" i="1"/>
  <c r="F1711" i="1"/>
  <c r="E1711" i="1"/>
  <c r="R1709" i="1"/>
  <c r="Q1709" i="1"/>
  <c r="P1709" i="1"/>
  <c r="O1709" i="1"/>
  <c r="N1709" i="1"/>
  <c r="M1709" i="1"/>
  <c r="L1709" i="1"/>
  <c r="K1709" i="1"/>
  <c r="J1709" i="1"/>
  <c r="I1709" i="1"/>
  <c r="H1709" i="1"/>
  <c r="G1709" i="1"/>
  <c r="F1709" i="1"/>
  <c r="E1709" i="1"/>
  <c r="R1706" i="1"/>
  <c r="Q1706" i="1"/>
  <c r="P1706" i="1"/>
  <c r="O1706" i="1"/>
  <c r="N1706" i="1"/>
  <c r="M1706" i="1"/>
  <c r="L1706" i="1"/>
  <c r="K1706" i="1"/>
  <c r="J1706" i="1"/>
  <c r="I1706" i="1"/>
  <c r="H1706" i="1"/>
  <c r="G1706" i="1"/>
  <c r="F1706" i="1"/>
  <c r="E1706" i="1"/>
  <c r="R1696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E1696" i="1"/>
  <c r="R1691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E1691" i="1"/>
  <c r="R1689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E1689" i="1"/>
  <c r="R1676" i="1"/>
  <c r="Q1676" i="1"/>
  <c r="P1676" i="1"/>
  <c r="O1676" i="1"/>
  <c r="N1676" i="1"/>
  <c r="M1676" i="1"/>
  <c r="L1676" i="1"/>
  <c r="K1676" i="1"/>
  <c r="J1676" i="1"/>
  <c r="I1676" i="1"/>
  <c r="H1676" i="1"/>
  <c r="G1676" i="1"/>
  <c r="F1676" i="1"/>
  <c r="E1676" i="1"/>
  <c r="R1669" i="1"/>
  <c r="Q1669" i="1"/>
  <c r="P1669" i="1"/>
  <c r="O1669" i="1"/>
  <c r="N1669" i="1"/>
  <c r="M1669" i="1"/>
  <c r="L1669" i="1"/>
  <c r="K1669" i="1"/>
  <c r="J1669" i="1"/>
  <c r="I1669" i="1"/>
  <c r="H1669" i="1"/>
  <c r="G1669" i="1"/>
  <c r="F1669" i="1"/>
  <c r="E1669" i="1"/>
  <c r="R1667" i="1"/>
  <c r="Q1667" i="1"/>
  <c r="P1667" i="1"/>
  <c r="O1667" i="1"/>
  <c r="N1667" i="1"/>
  <c r="M1667" i="1"/>
  <c r="L1667" i="1"/>
  <c r="K1667" i="1"/>
  <c r="J1667" i="1"/>
  <c r="I1667" i="1"/>
  <c r="H1667" i="1"/>
  <c r="G1667" i="1"/>
  <c r="F1667" i="1"/>
  <c r="E1667" i="1"/>
  <c r="R1649" i="1"/>
  <c r="Q1649" i="1"/>
  <c r="P1649" i="1"/>
  <c r="O1649" i="1"/>
  <c r="N1649" i="1"/>
  <c r="M1649" i="1"/>
  <c r="L1649" i="1"/>
  <c r="K1649" i="1"/>
  <c r="J1649" i="1"/>
  <c r="I1649" i="1"/>
  <c r="H1649" i="1"/>
  <c r="G1649" i="1"/>
  <c r="F1649" i="1"/>
  <c r="E1649" i="1"/>
  <c r="R1608" i="1"/>
  <c r="Q1608" i="1"/>
  <c r="P1608" i="1"/>
  <c r="O1608" i="1"/>
  <c r="N1608" i="1"/>
  <c r="M1608" i="1"/>
  <c r="L1608" i="1"/>
  <c r="K1608" i="1"/>
  <c r="J1608" i="1"/>
  <c r="I1608" i="1"/>
  <c r="H1608" i="1"/>
  <c r="G1608" i="1"/>
  <c r="F1608" i="1"/>
  <c r="E1608" i="1"/>
  <c r="R1605" i="1"/>
  <c r="Q1605" i="1"/>
  <c r="P1605" i="1"/>
  <c r="O1605" i="1"/>
  <c r="N1605" i="1"/>
  <c r="M1605" i="1"/>
  <c r="L1605" i="1"/>
  <c r="K1605" i="1"/>
  <c r="J1605" i="1"/>
  <c r="I1605" i="1"/>
  <c r="H1605" i="1"/>
  <c r="G1605" i="1"/>
  <c r="F1605" i="1"/>
  <c r="E1605" i="1"/>
  <c r="R1588" i="1"/>
  <c r="Q1588" i="1"/>
  <c r="P1588" i="1"/>
  <c r="O1588" i="1"/>
  <c r="N1588" i="1"/>
  <c r="M1588" i="1"/>
  <c r="L1588" i="1"/>
  <c r="K1588" i="1"/>
  <c r="J1588" i="1"/>
  <c r="I1588" i="1"/>
  <c r="H1588" i="1"/>
  <c r="G1588" i="1"/>
  <c r="F1588" i="1"/>
  <c r="E1588" i="1"/>
  <c r="R1580" i="1"/>
  <c r="Q1580" i="1"/>
  <c r="P1580" i="1"/>
  <c r="O1580" i="1"/>
  <c r="N1580" i="1"/>
  <c r="M1580" i="1"/>
  <c r="L1580" i="1"/>
  <c r="K1580" i="1"/>
  <c r="J1580" i="1"/>
  <c r="I1580" i="1"/>
  <c r="H1580" i="1"/>
  <c r="G1580" i="1"/>
  <c r="F1580" i="1"/>
  <c r="E1580" i="1"/>
  <c r="R1576" i="1"/>
  <c r="Q1576" i="1"/>
  <c r="P1576" i="1"/>
  <c r="O1576" i="1"/>
  <c r="N1576" i="1"/>
  <c r="M1576" i="1"/>
  <c r="L1576" i="1"/>
  <c r="K1576" i="1"/>
  <c r="J1576" i="1"/>
  <c r="I1576" i="1"/>
  <c r="H1576" i="1"/>
  <c r="G1576" i="1"/>
  <c r="F1576" i="1"/>
  <c r="E1576" i="1"/>
  <c r="R1557" i="1"/>
  <c r="Q1557" i="1"/>
  <c r="P1557" i="1"/>
  <c r="O1557" i="1"/>
  <c r="N1557" i="1"/>
  <c r="M1557" i="1"/>
  <c r="L1557" i="1"/>
  <c r="K1557" i="1"/>
  <c r="J1557" i="1"/>
  <c r="I1557" i="1"/>
  <c r="H1557" i="1"/>
  <c r="G1557" i="1"/>
  <c r="F1557" i="1"/>
  <c r="E1557" i="1"/>
  <c r="R1555" i="1"/>
  <c r="Q1555" i="1"/>
  <c r="P1555" i="1"/>
  <c r="O1555" i="1"/>
  <c r="N1555" i="1"/>
  <c r="M1555" i="1"/>
  <c r="L1555" i="1"/>
  <c r="K1555" i="1"/>
  <c r="J1555" i="1"/>
  <c r="I1555" i="1"/>
  <c r="H1555" i="1"/>
  <c r="G1555" i="1"/>
  <c r="F1555" i="1"/>
  <c r="E1555" i="1"/>
  <c r="R1553" i="1"/>
  <c r="Q1553" i="1"/>
  <c r="P1553" i="1"/>
  <c r="O1553" i="1"/>
  <c r="N1553" i="1"/>
  <c r="M1553" i="1"/>
  <c r="L1553" i="1"/>
  <c r="K1553" i="1"/>
  <c r="J1553" i="1"/>
  <c r="I1553" i="1"/>
  <c r="H1553" i="1"/>
  <c r="G1553" i="1"/>
  <c r="F1553" i="1"/>
  <c r="E1553" i="1"/>
  <c r="R1551" i="1"/>
  <c r="Q1551" i="1"/>
  <c r="P1551" i="1"/>
  <c r="O1551" i="1"/>
  <c r="N1551" i="1"/>
  <c r="M1551" i="1"/>
  <c r="L1551" i="1"/>
  <c r="K1551" i="1"/>
  <c r="J1551" i="1"/>
  <c r="I1551" i="1"/>
  <c r="H1551" i="1"/>
  <c r="G1551" i="1"/>
  <c r="F1551" i="1"/>
  <c r="E1551" i="1"/>
  <c r="R1549" i="1"/>
  <c r="Q1549" i="1"/>
  <c r="P1549" i="1"/>
  <c r="O1549" i="1"/>
  <c r="N1549" i="1"/>
  <c r="M1549" i="1"/>
  <c r="L1549" i="1"/>
  <c r="K1549" i="1"/>
  <c r="J1549" i="1"/>
  <c r="I1549" i="1"/>
  <c r="H1549" i="1"/>
  <c r="G1549" i="1"/>
  <c r="F1549" i="1"/>
  <c r="E1549" i="1"/>
  <c r="R1527" i="1"/>
  <c r="Q1527" i="1"/>
  <c r="P1527" i="1"/>
  <c r="O1527" i="1"/>
  <c r="N1527" i="1"/>
  <c r="M1527" i="1"/>
  <c r="L1527" i="1"/>
  <c r="K1527" i="1"/>
  <c r="J1527" i="1"/>
  <c r="I1527" i="1"/>
  <c r="H1527" i="1"/>
  <c r="G1527" i="1"/>
  <c r="F1527" i="1"/>
  <c r="E1527" i="1"/>
  <c r="R1519" i="1"/>
  <c r="Q1519" i="1"/>
  <c r="P1519" i="1"/>
  <c r="O1519" i="1"/>
  <c r="N1519" i="1"/>
  <c r="M1519" i="1"/>
  <c r="L1519" i="1"/>
  <c r="K1519" i="1"/>
  <c r="J1519" i="1"/>
  <c r="I1519" i="1"/>
  <c r="H1519" i="1"/>
  <c r="G1519" i="1"/>
  <c r="F1519" i="1"/>
  <c r="E1519" i="1"/>
  <c r="R1472" i="1"/>
  <c r="Q1472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R1451" i="1"/>
  <c r="Q1451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R1447" i="1"/>
  <c r="Q1447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R1445" i="1"/>
  <c r="Q1445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R1440" i="1"/>
  <c r="Q1440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R1436" i="1"/>
  <c r="Q1436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R1434" i="1"/>
  <c r="Q1434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R1432" i="1"/>
  <c r="Q1432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R1429" i="1"/>
  <c r="Q1429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R1419" i="1"/>
  <c r="Q1419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R1402" i="1"/>
  <c r="Q1402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R1398" i="1"/>
  <c r="Q1398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R1396" i="1"/>
  <c r="Q1396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R1391" i="1"/>
  <c r="Q1391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R1387" i="1"/>
  <c r="Q1387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R1374" i="1"/>
  <c r="Q1374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R1330" i="1"/>
  <c r="Q1330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R1323" i="1"/>
  <c r="Q1323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T1634" i="1" l="1"/>
  <c r="U1601" i="1"/>
  <c r="T1585" i="1"/>
  <c r="U330" i="1"/>
  <c r="T83" i="1"/>
  <c r="T53" i="1"/>
  <c r="T178" i="1"/>
  <c r="T608" i="1"/>
  <c r="T375" i="1"/>
  <c r="T129" i="1"/>
  <c r="U2582" i="1"/>
  <c r="T34" i="1"/>
  <c r="U257" i="1"/>
  <c r="T1352" i="1"/>
  <c r="T1875" i="1"/>
  <c r="U1842" i="1"/>
  <c r="T2446" i="1"/>
  <c r="U1210" i="1"/>
  <c r="T1155" i="1"/>
  <c r="T540" i="1"/>
  <c r="U1874" i="1"/>
  <c r="U554" i="1"/>
  <c r="T1378" i="1"/>
  <c r="T2504" i="1"/>
  <c r="U2489" i="1"/>
  <c r="U2313" i="1"/>
  <c r="U1958" i="1"/>
  <c r="T223" i="1"/>
  <c r="U2473" i="1"/>
  <c r="U832" i="1"/>
  <c r="T2946" i="1"/>
  <c r="T2877" i="1"/>
  <c r="T732" i="1"/>
  <c r="U537" i="1"/>
  <c r="T438" i="1"/>
  <c r="T111" i="1"/>
  <c r="T93" i="1"/>
  <c r="T609" i="1"/>
  <c r="T2535" i="1"/>
  <c r="U177" i="1"/>
  <c r="T2534" i="1"/>
  <c r="T594" i="1"/>
  <c r="U2801" i="1"/>
  <c r="T2718" i="1"/>
  <c r="T2702" i="1"/>
  <c r="U936" i="1"/>
  <c r="T63" i="1"/>
  <c r="U2833" i="1"/>
  <c r="U1290" i="1"/>
  <c r="T917" i="1"/>
  <c r="T637" i="1"/>
  <c r="T1550" i="1"/>
  <c r="T968" i="1"/>
  <c r="U620" i="1"/>
  <c r="U607" i="1"/>
  <c r="U363" i="1"/>
  <c r="U2847" i="1"/>
  <c r="U2611" i="1"/>
  <c r="U1320" i="1"/>
  <c r="U1000" i="1"/>
  <c r="T950" i="1"/>
  <c r="U684" i="1"/>
  <c r="T652" i="1"/>
  <c r="T1212" i="1"/>
  <c r="U332" i="1"/>
  <c r="T159" i="1"/>
  <c r="U2437" i="1"/>
  <c r="T1329" i="1"/>
  <c r="U585" i="1"/>
  <c r="T570" i="1"/>
  <c r="U2464" i="1"/>
  <c r="U1901" i="1"/>
  <c r="T2436" i="1"/>
  <c r="U1554" i="1"/>
  <c r="T297" i="1"/>
  <c r="T281" i="1"/>
  <c r="U2804" i="1"/>
  <c r="T2790" i="1"/>
  <c r="T2448" i="1"/>
  <c r="T1278" i="1"/>
  <c r="U342" i="1"/>
  <c r="U139" i="1"/>
  <c r="U2569" i="1"/>
  <c r="T2520" i="1"/>
  <c r="U2475" i="1"/>
  <c r="U2463" i="1"/>
  <c r="T1517" i="1"/>
  <c r="T489" i="1"/>
  <c r="T2959" i="1"/>
  <c r="U2906" i="1"/>
  <c r="U2366" i="1"/>
  <c r="U2335" i="1"/>
  <c r="U2058" i="1"/>
  <c r="T1889" i="1"/>
  <c r="U450" i="1"/>
  <c r="T2270" i="1"/>
  <c r="T1903" i="1"/>
  <c r="U1256" i="1"/>
  <c r="T875" i="1"/>
  <c r="T665" i="1"/>
  <c r="T589" i="1"/>
  <c r="T2795" i="1"/>
  <c r="T2074" i="1"/>
  <c r="U1839" i="1"/>
  <c r="U1824" i="1"/>
  <c r="U1351" i="1"/>
  <c r="U1303" i="1"/>
  <c r="T1277" i="1"/>
  <c r="U811" i="1"/>
  <c r="U745" i="1"/>
  <c r="T354" i="1"/>
  <c r="T2411" i="1"/>
  <c r="T2253" i="1"/>
  <c r="U2238" i="1"/>
  <c r="U712" i="1"/>
  <c r="U385" i="1"/>
  <c r="T2300" i="1"/>
  <c r="T2223" i="1"/>
  <c r="T889" i="1"/>
  <c r="U448" i="1"/>
  <c r="U137" i="1"/>
  <c r="U106" i="1"/>
  <c r="U76" i="1"/>
  <c r="T2822" i="1"/>
  <c r="U2641" i="1"/>
  <c r="T2438" i="1"/>
  <c r="T1287" i="1"/>
  <c r="T398" i="1"/>
  <c r="U337" i="1"/>
  <c r="U150" i="1"/>
  <c r="T1566" i="1"/>
  <c r="U2954" i="1"/>
  <c r="T2815" i="1"/>
  <c r="U2661" i="1"/>
  <c r="T1565" i="1"/>
  <c r="U1188" i="1"/>
  <c r="U1012" i="1"/>
  <c r="T852" i="1"/>
  <c r="T234" i="1"/>
  <c r="U2890" i="1"/>
  <c r="U2800" i="1"/>
  <c r="U2642" i="1"/>
  <c r="U2017" i="1"/>
  <c r="T1426" i="1"/>
  <c r="T1044" i="1"/>
  <c r="T758" i="1"/>
  <c r="U617" i="1"/>
  <c r="T397" i="1"/>
  <c r="T189" i="1"/>
  <c r="U62" i="1"/>
  <c r="U50" i="1"/>
  <c r="T2903" i="1"/>
  <c r="T2874" i="1"/>
  <c r="T2828" i="1"/>
  <c r="T2734" i="1"/>
  <c r="U2705" i="1"/>
  <c r="U2577" i="1"/>
  <c r="U1754" i="1"/>
  <c r="U1388" i="1"/>
  <c r="U1203" i="1"/>
  <c r="U1168" i="1"/>
  <c r="U1152" i="1"/>
  <c r="U851" i="1"/>
  <c r="U709" i="1"/>
  <c r="T630" i="1"/>
  <c r="T519" i="1"/>
  <c r="U233" i="1"/>
  <c r="T87" i="1"/>
  <c r="T2429" i="1"/>
  <c r="U2415" i="1"/>
  <c r="U2065" i="1"/>
  <c r="U1496" i="1"/>
  <c r="U1425" i="1"/>
  <c r="U803" i="1"/>
  <c r="T677" i="1"/>
  <c r="U559" i="1"/>
  <c r="U502" i="1"/>
  <c r="T246" i="1"/>
  <c r="T220" i="1"/>
  <c r="T2964" i="1"/>
  <c r="U2935" i="1"/>
  <c r="U2917" i="1"/>
  <c r="U2589" i="1"/>
  <c r="T2401" i="1"/>
  <c r="U1767" i="1"/>
  <c r="U893" i="1"/>
  <c r="U877" i="1"/>
  <c r="U426" i="1"/>
  <c r="T409" i="1"/>
  <c r="U258" i="1"/>
  <c r="U114" i="1"/>
  <c r="U60" i="1"/>
  <c r="U2704" i="1"/>
  <c r="T2673" i="1"/>
  <c r="T2428" i="1"/>
  <c r="U2197" i="1"/>
  <c r="U1509" i="1"/>
  <c r="T1369" i="1"/>
  <c r="U1263" i="1"/>
  <c r="T586" i="1"/>
  <c r="U530" i="1"/>
  <c r="U439" i="1"/>
  <c r="U273" i="1"/>
  <c r="T172" i="1"/>
  <c r="T143" i="1"/>
  <c r="U71" i="1"/>
  <c r="U2900" i="1"/>
  <c r="U2717" i="1"/>
  <c r="T2413" i="1"/>
  <c r="U1816" i="1"/>
  <c r="U1306" i="1"/>
  <c r="U1279" i="1"/>
  <c r="T1129" i="1"/>
  <c r="T1110" i="1"/>
  <c r="U906" i="1"/>
  <c r="U861" i="1"/>
  <c r="T768" i="1"/>
  <c r="U361" i="1"/>
  <c r="U319" i="1"/>
  <c r="U231" i="1"/>
  <c r="U2729" i="1"/>
  <c r="U1225" i="1"/>
  <c r="U410" i="1"/>
  <c r="U118" i="1"/>
  <c r="U107" i="1"/>
  <c r="U2791" i="1"/>
  <c r="U2517" i="1"/>
  <c r="U2297" i="1"/>
  <c r="U2282" i="1"/>
  <c r="U1888" i="1"/>
  <c r="U1631" i="1"/>
  <c r="T1314" i="1"/>
  <c r="T1029" i="1"/>
  <c r="T551" i="1"/>
  <c r="T483" i="1"/>
  <c r="T353" i="1"/>
  <c r="T282" i="1"/>
  <c r="U270" i="1"/>
  <c r="U80" i="1"/>
  <c r="U22" i="1"/>
  <c r="U2913" i="1"/>
  <c r="U2377" i="1"/>
  <c r="U2320" i="1"/>
  <c r="T2308" i="1"/>
  <c r="T2280" i="1"/>
  <c r="T2080" i="1"/>
  <c r="T2064" i="1"/>
  <c r="U1933" i="1"/>
  <c r="U1659" i="1"/>
  <c r="T1564" i="1"/>
  <c r="U1546" i="1"/>
  <c r="T1488" i="1"/>
  <c r="U1439" i="1"/>
  <c r="U754" i="1"/>
  <c r="T549" i="1"/>
  <c r="T522" i="1"/>
  <c r="T338" i="1"/>
  <c r="T115" i="1"/>
  <c r="U55" i="1"/>
  <c r="T44" i="1"/>
  <c r="S1274" i="1"/>
  <c r="U1274" i="1" s="1"/>
  <c r="S1867" i="1"/>
  <c r="T1867" i="1" s="1"/>
  <c r="S2604" i="1"/>
  <c r="U2604" i="1" s="1"/>
  <c r="S2666" i="1"/>
  <c r="T2666" i="1" s="1"/>
  <c r="U2968" i="1"/>
  <c r="U2957" i="1"/>
  <c r="U2839" i="1"/>
  <c r="U2789" i="1"/>
  <c r="T2773" i="1"/>
  <c r="T2619" i="1"/>
  <c r="U1964" i="1"/>
  <c r="U1674" i="1"/>
  <c r="T1423" i="1"/>
  <c r="U1128" i="1"/>
  <c r="T1057" i="1"/>
  <c r="U506" i="1"/>
  <c r="T480" i="1"/>
  <c r="U350" i="1"/>
  <c r="U155" i="1"/>
  <c r="T89" i="1"/>
  <c r="T19" i="1"/>
  <c r="U2853" i="1"/>
  <c r="U2826" i="1"/>
  <c r="T2526" i="1"/>
  <c r="U2513" i="1"/>
  <c r="U2346" i="1"/>
  <c r="T2174" i="1"/>
  <c r="U2093" i="1"/>
  <c r="T2028" i="1"/>
  <c r="U1771" i="1"/>
  <c r="U1757" i="1"/>
  <c r="T1727" i="1"/>
  <c r="U1707" i="1"/>
  <c r="U1690" i="1"/>
  <c r="U1512" i="1"/>
  <c r="U1499" i="1"/>
  <c r="U1487" i="1"/>
  <c r="U1471" i="1"/>
  <c r="U1456" i="1"/>
  <c r="U1384" i="1"/>
  <c r="T1355" i="1"/>
  <c r="U853" i="1"/>
  <c r="U491" i="1"/>
  <c r="U43" i="1"/>
  <c r="S1272" i="1"/>
  <c r="T1272" i="1" s="1"/>
  <c r="S1865" i="1"/>
  <c r="T1865" i="1" s="1"/>
  <c r="S2576" i="1"/>
  <c r="T2576" i="1" s="1"/>
  <c r="S2782" i="1"/>
  <c r="T2782" i="1" s="1"/>
  <c r="U2881" i="1"/>
  <c r="U2812" i="1"/>
  <c r="T2649" i="1"/>
  <c r="T2632" i="1"/>
  <c r="U2541" i="1"/>
  <c r="T2430" i="1"/>
  <c r="T2360" i="1"/>
  <c r="U2331" i="1"/>
  <c r="U2319" i="1"/>
  <c r="U2187" i="1"/>
  <c r="U2143" i="1"/>
  <c r="T1437" i="1"/>
  <c r="T1023" i="1"/>
  <c r="U909" i="1"/>
  <c r="T825" i="1"/>
  <c r="T795" i="1"/>
  <c r="T779" i="1"/>
  <c r="U736" i="1"/>
  <c r="T613" i="1"/>
  <c r="T391" i="1"/>
  <c r="T278" i="1"/>
  <c r="T251" i="1"/>
  <c r="U126" i="1"/>
  <c r="U18" i="1"/>
  <c r="U2966" i="1"/>
  <c r="T2866" i="1"/>
  <c r="U2837" i="1"/>
  <c r="T2681" i="1"/>
  <c r="T2599" i="1"/>
  <c r="U2345" i="1"/>
  <c r="U2173" i="1"/>
  <c r="T2027" i="1"/>
  <c r="T1726" i="1"/>
  <c r="T1498" i="1"/>
  <c r="U1205" i="1"/>
  <c r="U1190" i="1"/>
  <c r="U1173" i="1"/>
  <c r="T1141" i="1"/>
  <c r="T1007" i="1"/>
  <c r="U417" i="1"/>
  <c r="U210" i="1"/>
  <c r="S923" i="1"/>
  <c r="U923" i="1" s="1"/>
  <c r="S1576" i="1"/>
  <c r="U1576" i="1" s="1"/>
  <c r="S1715" i="1"/>
  <c r="U1715" i="1" s="1"/>
  <c r="S2552" i="1"/>
  <c r="U2552" i="1" s="1"/>
  <c r="U2940" i="1"/>
  <c r="U2403" i="1"/>
  <c r="T2198" i="1"/>
  <c r="T2106" i="1"/>
  <c r="T1799" i="1"/>
  <c r="T1704" i="1"/>
  <c r="U1671" i="1"/>
  <c r="U1435" i="1"/>
  <c r="U1307" i="1"/>
  <c r="U1231" i="1"/>
  <c r="T1105" i="1"/>
  <c r="T1068" i="1"/>
  <c r="T908" i="1"/>
  <c r="T864" i="1"/>
  <c r="T763" i="1"/>
  <c r="T624" i="1"/>
  <c r="U359" i="1"/>
  <c r="T347" i="1"/>
  <c r="U2953" i="1"/>
  <c r="U2912" i="1"/>
  <c r="T2886" i="1"/>
  <c r="T2859" i="1"/>
  <c r="T2794" i="1"/>
  <c r="T2382" i="1"/>
  <c r="T2344" i="1"/>
  <c r="T2249" i="1"/>
  <c r="U1995" i="1"/>
  <c r="T1808" i="1"/>
  <c r="U1623" i="1"/>
  <c r="U1516" i="1"/>
  <c r="U1119" i="1"/>
  <c r="T992" i="1"/>
  <c r="U2924" i="1"/>
  <c r="T2736" i="1"/>
  <c r="U2725" i="1"/>
  <c r="U2483" i="1"/>
  <c r="T2396" i="1"/>
  <c r="T2356" i="1"/>
  <c r="U2330" i="1"/>
  <c r="T2276" i="1"/>
  <c r="T2134" i="1"/>
  <c r="T2040" i="1"/>
  <c r="U2010" i="1"/>
  <c r="U1912" i="1"/>
  <c r="U1899" i="1"/>
  <c r="T1562" i="1"/>
  <c r="U1530" i="1"/>
  <c r="T1132" i="1"/>
  <c r="T1083" i="1"/>
  <c r="T975" i="1"/>
  <c r="U961" i="1"/>
  <c r="T948" i="1"/>
  <c r="T748" i="1"/>
  <c r="U706" i="1"/>
  <c r="U628" i="1"/>
  <c r="T605" i="1"/>
  <c r="U539" i="1"/>
  <c r="T442" i="1"/>
  <c r="U279" i="1"/>
  <c r="U219" i="1"/>
  <c r="U2961" i="1"/>
  <c r="U2898" i="1"/>
  <c r="U2793" i="1"/>
  <c r="U2781" i="1"/>
  <c r="T2768" i="1"/>
  <c r="T2712" i="1"/>
  <c r="U2684" i="1"/>
  <c r="T2553" i="1"/>
  <c r="T2522" i="1"/>
  <c r="U2381" i="1"/>
  <c r="U2367" i="1"/>
  <c r="U2289" i="1"/>
  <c r="T2176" i="1"/>
  <c r="U2070" i="1"/>
  <c r="U1884" i="1"/>
  <c r="T1648" i="1"/>
  <c r="U1591" i="1"/>
  <c r="T1544" i="1"/>
  <c r="U1443" i="1"/>
  <c r="U1427" i="1"/>
  <c r="U1399" i="1"/>
  <c r="U1367" i="1"/>
  <c r="T1353" i="1"/>
  <c r="T1194" i="1"/>
  <c r="T1162" i="1"/>
  <c r="U815" i="1"/>
  <c r="U774" i="1"/>
  <c r="U733" i="1"/>
  <c r="T719" i="1"/>
  <c r="U334" i="1"/>
  <c r="T322" i="1"/>
  <c r="U267" i="1"/>
  <c r="U160" i="1"/>
  <c r="U97" i="1"/>
  <c r="U42" i="1"/>
  <c r="U2951" i="1"/>
  <c r="U2937" i="1"/>
  <c r="U2923" i="1"/>
  <c r="U2910" i="1"/>
  <c r="T2870" i="1"/>
  <c r="T2857" i="1"/>
  <c r="U2735" i="1"/>
  <c r="U2605" i="1"/>
  <c r="U2590" i="1"/>
  <c r="U2566" i="1"/>
  <c r="U2442" i="1"/>
  <c r="U2395" i="1"/>
  <c r="U2275" i="1"/>
  <c r="T2162" i="1"/>
  <c r="U2115" i="1"/>
  <c r="T2099" i="1"/>
  <c r="T1960" i="1"/>
  <c r="U1759" i="1"/>
  <c r="T1694" i="1"/>
  <c r="U1661" i="1"/>
  <c r="U1414" i="1"/>
  <c r="U1117" i="1"/>
  <c r="U1034" i="1"/>
  <c r="U960" i="1"/>
  <c r="U787" i="1"/>
  <c r="U614" i="1"/>
  <c r="U497" i="1"/>
  <c r="U427" i="1"/>
  <c r="U305" i="1"/>
  <c r="U254" i="1"/>
  <c r="U134" i="1"/>
  <c r="T85" i="1"/>
  <c r="T28" i="1"/>
  <c r="T2749" i="1"/>
  <c r="U2633" i="1"/>
  <c r="U2521" i="1"/>
  <c r="T2509" i="1"/>
  <c r="T2453" i="1"/>
  <c r="U2406" i="1"/>
  <c r="U2288" i="1"/>
  <c r="T2232" i="1"/>
  <c r="U1647" i="1"/>
  <c r="U1621" i="1"/>
  <c r="U1528" i="1"/>
  <c r="T1379" i="1"/>
  <c r="T1339" i="1"/>
  <c r="U1308" i="1"/>
  <c r="U1160" i="1"/>
  <c r="T1081" i="1"/>
  <c r="U1048" i="1"/>
  <c r="U973" i="1"/>
  <c r="T854" i="1"/>
  <c r="U575" i="1"/>
  <c r="U240" i="1"/>
  <c r="T217" i="1"/>
  <c r="U96" i="1"/>
  <c r="T23" i="1"/>
  <c r="U10" i="1"/>
  <c r="U2458" i="1"/>
  <c r="U2210" i="1"/>
  <c r="U2157" i="1"/>
  <c r="U2001" i="1"/>
  <c r="U1482" i="1"/>
  <c r="U931" i="1"/>
  <c r="U717" i="1"/>
  <c r="U458" i="1"/>
  <c r="U127" i="1"/>
  <c r="T1810" i="1"/>
  <c r="U2945" i="1"/>
  <c r="T2934" i="1"/>
  <c r="U2919" i="1"/>
  <c r="U2882" i="1"/>
  <c r="U2845" i="1"/>
  <c r="U2797" i="1"/>
  <c r="T2748" i="1"/>
  <c r="U2597" i="1"/>
  <c r="U2547" i="1"/>
  <c r="T2388" i="1"/>
  <c r="T2248" i="1"/>
  <c r="T1763" i="1"/>
  <c r="T1542" i="1"/>
  <c r="U1515" i="1"/>
  <c r="T1468" i="1"/>
  <c r="T1294" i="1"/>
  <c r="U1283" i="1"/>
  <c r="T985" i="1"/>
  <c r="T915" i="1"/>
  <c r="U808" i="1"/>
  <c r="U688" i="1"/>
  <c r="T661" i="1"/>
  <c r="T557" i="1"/>
  <c r="T473" i="1"/>
  <c r="U252" i="1"/>
  <c r="T204" i="1"/>
  <c r="T151" i="1"/>
  <c r="T70" i="1"/>
  <c r="T59" i="1"/>
  <c r="T17" i="1"/>
  <c r="T75" i="1"/>
  <c r="U2843" i="1"/>
  <c r="T2807" i="1"/>
  <c r="T2796" i="1"/>
  <c r="T2747" i="1"/>
  <c r="U2682" i="1"/>
  <c r="U2636" i="1"/>
  <c r="U2622" i="1"/>
  <c r="U2609" i="1"/>
  <c r="U2596" i="1"/>
  <c r="T2444" i="1"/>
  <c r="U2337" i="1"/>
  <c r="U2234" i="1"/>
  <c r="U2081" i="1"/>
  <c r="T2000" i="1"/>
  <c r="U1846" i="1"/>
  <c r="U1761" i="1"/>
  <c r="T1583" i="1"/>
  <c r="U1514" i="1"/>
  <c r="U1235" i="1"/>
  <c r="U1222" i="1"/>
  <c r="U1135" i="1"/>
  <c r="T998" i="1"/>
  <c r="U984" i="1"/>
  <c r="T756" i="1"/>
  <c r="T673" i="1"/>
  <c r="U546" i="1"/>
  <c r="T485" i="1"/>
  <c r="U433" i="1"/>
  <c r="U2942" i="1"/>
  <c r="U2892" i="1"/>
  <c r="U2830" i="1"/>
  <c r="U2818" i="1"/>
  <c r="T2759" i="1"/>
  <c r="U2667" i="1"/>
  <c r="U2558" i="1"/>
  <c r="T2545" i="1"/>
  <c r="U2397" i="1"/>
  <c r="U2385" i="1"/>
  <c r="U2373" i="1"/>
  <c r="U2246" i="1"/>
  <c r="T2140" i="1"/>
  <c r="T2094" i="1"/>
  <c r="U2066" i="1"/>
  <c r="U2026" i="1"/>
  <c r="U2012" i="1"/>
  <c r="U1984" i="1"/>
  <c r="T1919" i="1"/>
  <c r="T1772" i="1"/>
  <c r="U1750" i="1"/>
  <c r="T1699" i="1"/>
  <c r="U1501" i="1"/>
  <c r="U1480" i="1"/>
  <c r="T1450" i="1"/>
  <c r="T1265" i="1"/>
  <c r="T1249" i="1"/>
  <c r="T969" i="1"/>
  <c r="U957" i="1"/>
  <c r="U929" i="1"/>
  <c r="U845" i="1"/>
  <c r="T831" i="1"/>
  <c r="U817" i="1"/>
  <c r="U794" i="1"/>
  <c r="T685" i="1"/>
  <c r="U593" i="1"/>
  <c r="T582" i="1"/>
  <c r="U555" i="1"/>
  <c r="U443" i="1"/>
  <c r="T202" i="1"/>
  <c r="T188" i="1"/>
  <c r="T77" i="1"/>
  <c r="U15" i="1"/>
  <c r="S2944" i="1"/>
  <c r="T2944" i="1" s="1"/>
  <c r="T529" i="1"/>
  <c r="T2962" i="1"/>
  <c r="T2694" i="1"/>
  <c r="U2531" i="1"/>
  <c r="T2518" i="1"/>
  <c r="U2507" i="1"/>
  <c r="T2465" i="1"/>
  <c r="T2347" i="1"/>
  <c r="U2298" i="1"/>
  <c r="T2233" i="1"/>
  <c r="U2166" i="1"/>
  <c r="T2107" i="1"/>
  <c r="T2038" i="1"/>
  <c r="U1890" i="1"/>
  <c r="U1802" i="1"/>
  <c r="U1665" i="1"/>
  <c r="U1612" i="1"/>
  <c r="U1552" i="1"/>
  <c r="T1539" i="1"/>
  <c r="T1489" i="1"/>
  <c r="U1405" i="1"/>
  <c r="U1347" i="1"/>
  <c r="U1291" i="1"/>
  <c r="T1120" i="1"/>
  <c r="T1009" i="1"/>
  <c r="U941" i="1"/>
  <c r="T672" i="1"/>
  <c r="T615" i="1"/>
  <c r="U535" i="1"/>
  <c r="U432" i="1"/>
  <c r="U313" i="1"/>
  <c r="U224" i="1"/>
  <c r="U214" i="1"/>
  <c r="U46" i="1"/>
  <c r="T35" i="1"/>
  <c r="T283" i="1"/>
  <c r="U283" i="1"/>
  <c r="T1144" i="1"/>
  <c r="U1144" i="1"/>
  <c r="T370" i="1"/>
  <c r="U370" i="1"/>
  <c r="U493" i="1"/>
  <c r="T493" i="1"/>
  <c r="S2925" i="1"/>
  <c r="U2925" i="1" s="1"/>
  <c r="T1855" i="1"/>
  <c r="U1855" i="1"/>
  <c r="U1611" i="1"/>
  <c r="T1611" i="1"/>
  <c r="T1066" i="1"/>
  <c r="U1066" i="1"/>
  <c r="U293" i="1"/>
  <c r="T293" i="1"/>
  <c r="T2480" i="1"/>
  <c r="U2480" i="1"/>
  <c r="T1736" i="1"/>
  <c r="U1736" i="1"/>
  <c r="U453" i="1"/>
  <c r="T453" i="1"/>
  <c r="T2965" i="1"/>
  <c r="T2958" i="1"/>
  <c r="U2950" i="1"/>
  <c r="U2941" i="1"/>
  <c r="T2907" i="1"/>
  <c r="U2834" i="1"/>
  <c r="T2802" i="1"/>
  <c r="T2456" i="1"/>
  <c r="U2445" i="1"/>
  <c r="U2208" i="1"/>
  <c r="T2208" i="1"/>
  <c r="T2158" i="1"/>
  <c r="T2078" i="1"/>
  <c r="T1966" i="1"/>
  <c r="T1952" i="1"/>
  <c r="U1939" i="1"/>
  <c r="T1926" i="1"/>
  <c r="U1783" i="1"/>
  <c r="T1660" i="1"/>
  <c r="T1503" i="1"/>
  <c r="U1503" i="1"/>
  <c r="U1302" i="1"/>
  <c r="T1302" i="1"/>
  <c r="U1259" i="1"/>
  <c r="T1153" i="1"/>
  <c r="T1139" i="1"/>
  <c r="U1126" i="1"/>
  <c r="T995" i="1"/>
  <c r="U826" i="1"/>
  <c r="U666" i="1"/>
  <c r="U569" i="1"/>
  <c r="U490" i="1"/>
  <c r="T303" i="1"/>
  <c r="U303" i="1"/>
  <c r="T2421" i="1"/>
  <c r="U2421" i="1"/>
  <c r="T1807" i="1"/>
  <c r="U1807" i="1"/>
  <c r="T447" i="1"/>
  <c r="U447" i="1"/>
  <c r="T1459" i="1"/>
  <c r="U1459" i="1"/>
  <c r="T12" i="1"/>
  <c r="U12" i="1"/>
  <c r="U2780" i="1"/>
  <c r="T2780" i="1"/>
  <c r="T2459" i="1"/>
  <c r="U2459" i="1"/>
  <c r="U1662" i="1"/>
  <c r="T1662" i="1"/>
  <c r="T1280" i="1"/>
  <c r="U1280" i="1"/>
  <c r="T1381" i="1"/>
  <c r="U1381" i="1"/>
  <c r="S2002" i="1"/>
  <c r="T2002" i="1" s="1"/>
  <c r="S2918" i="1"/>
  <c r="T2918" i="1" s="1"/>
  <c r="T2777" i="1"/>
  <c r="U2777" i="1"/>
  <c r="T1327" i="1"/>
  <c r="U1327" i="1"/>
  <c r="U959" i="1"/>
  <c r="T959" i="1"/>
  <c r="T503" i="1"/>
  <c r="U503" i="1"/>
  <c r="S380" i="1"/>
  <c r="T380" i="1" s="1"/>
  <c r="S1994" i="1"/>
  <c r="T1994" i="1" s="1"/>
  <c r="S2204" i="1"/>
  <c r="U2204" i="1" s="1"/>
  <c r="T2011" i="1"/>
  <c r="U2011" i="1"/>
  <c r="T1815" i="1"/>
  <c r="U1815" i="1"/>
  <c r="T1394" i="1"/>
  <c r="U1394" i="1"/>
  <c r="T1183" i="1"/>
  <c r="U1183" i="1"/>
  <c r="T1038" i="1"/>
  <c r="U1038" i="1"/>
  <c r="U782" i="1"/>
  <c r="T782" i="1"/>
  <c r="U407" i="1"/>
  <c r="T407" i="1"/>
  <c r="S1803" i="1"/>
  <c r="U1803" i="1" s="1"/>
  <c r="U2897" i="1"/>
  <c r="T2854" i="1"/>
  <c r="U2813" i="1"/>
  <c r="U2660" i="1"/>
  <c r="U2617" i="1"/>
  <c r="T2617" i="1"/>
  <c r="U2591" i="1"/>
  <c r="T2591" i="1"/>
  <c r="U2555" i="1"/>
  <c r="U2478" i="1"/>
  <c r="T2427" i="1"/>
  <c r="T2368" i="1"/>
  <c r="U2368" i="1"/>
  <c r="U2146" i="1"/>
  <c r="T1911" i="1"/>
  <c r="T1646" i="1"/>
  <c r="T1390" i="1"/>
  <c r="T1309" i="1"/>
  <c r="U1195" i="1"/>
  <c r="T1195" i="1"/>
  <c r="T1050" i="1"/>
  <c r="U1050" i="1"/>
  <c r="U904" i="1"/>
  <c r="U638" i="1"/>
  <c r="U479" i="1"/>
  <c r="T479" i="1"/>
  <c r="T441" i="1"/>
  <c r="U302" i="1"/>
  <c r="T79" i="1"/>
  <c r="T2484" i="1"/>
  <c r="U2484" i="1"/>
  <c r="U2363" i="1"/>
  <c r="T2363" i="1"/>
  <c r="T1917" i="1"/>
  <c r="U1917" i="1"/>
  <c r="U1370" i="1"/>
  <c r="T1370" i="1"/>
  <c r="T2470" i="1"/>
  <c r="U2470" i="1"/>
  <c r="U1411" i="1"/>
  <c r="T1411" i="1"/>
  <c r="U1747" i="1"/>
  <c r="T1747" i="1"/>
  <c r="U463" i="1"/>
  <c r="T463" i="1"/>
  <c r="T415" i="1"/>
  <c r="U415" i="1"/>
  <c r="U101" i="1"/>
  <c r="T101" i="1"/>
  <c r="S1116" i="1"/>
  <c r="U1116" i="1" s="1"/>
  <c r="S1179" i="1"/>
  <c r="T1179" i="1" s="1"/>
  <c r="S1374" i="1"/>
  <c r="T1374" i="1" s="1"/>
  <c r="S1398" i="1"/>
  <c r="U1398" i="1" s="1"/>
  <c r="S1649" i="1"/>
  <c r="U1649" i="1" s="1"/>
  <c r="S1800" i="1"/>
  <c r="U1800" i="1" s="1"/>
  <c r="S1957" i="1"/>
  <c r="T1957" i="1" s="1"/>
  <c r="S2061" i="1"/>
  <c r="U2061" i="1" s="1"/>
  <c r="S2761" i="1"/>
  <c r="T2761" i="1" s="1"/>
  <c r="U1910" i="1"/>
  <c r="T1910" i="1"/>
  <c r="U1850" i="1"/>
  <c r="T1850" i="1"/>
  <c r="T7" i="1"/>
  <c r="U7" i="1"/>
  <c r="U2963" i="1"/>
  <c r="U2948" i="1"/>
  <c r="U2783" i="1"/>
  <c r="T2305" i="1"/>
  <c r="U2305" i="1"/>
  <c r="T2292" i="1"/>
  <c r="U2269" i="1"/>
  <c r="U2254" i="1"/>
  <c r="U2178" i="1"/>
  <c r="U2167" i="1"/>
  <c r="U2133" i="1"/>
  <c r="U2088" i="1"/>
  <c r="T2088" i="1"/>
  <c r="U1949" i="1"/>
  <c r="U1809" i="1"/>
  <c r="T1731" i="1"/>
  <c r="U1731" i="1"/>
  <c r="T1670" i="1"/>
  <c r="T1603" i="1"/>
  <c r="U1520" i="1"/>
  <c r="T1464" i="1"/>
  <c r="U1464" i="1"/>
  <c r="U1060" i="1"/>
  <c r="T601" i="1"/>
  <c r="U601" i="1"/>
  <c r="T524" i="1"/>
  <c r="U287" i="1"/>
  <c r="T241" i="1"/>
  <c r="U16" i="1"/>
  <c r="T989" i="1"/>
  <c r="U989" i="1"/>
  <c r="T2361" i="1"/>
  <c r="U2361" i="1"/>
  <c r="U1567" i="1"/>
  <c r="T1567" i="1"/>
  <c r="T920" i="1"/>
  <c r="U920" i="1"/>
  <c r="T2765" i="1"/>
  <c r="U2765" i="1"/>
  <c r="T2261" i="1"/>
  <c r="U2261" i="1"/>
  <c r="T760" i="1"/>
  <c r="U760" i="1"/>
  <c r="S2927" i="1"/>
  <c r="T2927" i="1" s="1"/>
  <c r="T329" i="1"/>
  <c r="U329" i="1"/>
  <c r="T124" i="1"/>
  <c r="U124" i="1"/>
  <c r="S136" i="1"/>
  <c r="T136" i="1" s="1"/>
  <c r="S368" i="1"/>
  <c r="T368" i="1" s="1"/>
  <c r="S1713" i="1"/>
  <c r="T1713" i="1" s="1"/>
  <c r="S2123" i="1"/>
  <c r="T2123" i="1" s="1"/>
  <c r="S2709" i="1"/>
  <c r="U2709" i="1" s="1"/>
  <c r="S2876" i="1"/>
  <c r="U2876" i="1" s="1"/>
  <c r="S2971" i="1"/>
  <c r="T2971" i="1" s="1"/>
  <c r="U1521" i="1"/>
  <c r="T1521" i="1"/>
  <c r="S117" i="1"/>
  <c r="U117" i="1" s="1"/>
  <c r="U2956" i="1"/>
  <c r="T2904" i="1"/>
  <c r="U2894" i="1"/>
  <c r="U2884" i="1"/>
  <c r="T2841" i="1"/>
  <c r="U2831" i="1"/>
  <c r="T2821" i="1"/>
  <c r="U2719" i="1"/>
  <c r="T2443" i="1"/>
  <c r="U2443" i="1"/>
  <c r="T2156" i="1"/>
  <c r="T1992" i="1"/>
  <c r="U1935" i="1"/>
  <c r="T1920" i="1"/>
  <c r="T1682" i="1"/>
  <c r="U1511" i="1"/>
  <c r="T1336" i="1"/>
  <c r="U1336" i="1"/>
  <c r="U1297" i="1"/>
  <c r="T1275" i="1"/>
  <c r="U1275" i="1"/>
  <c r="U1204" i="1"/>
  <c r="U1193" i="1"/>
  <c r="U1176" i="1"/>
  <c r="U1032" i="1"/>
  <c r="U1018" i="1"/>
  <c r="U965" i="1"/>
  <c r="T965" i="1"/>
  <c r="U952" i="1"/>
  <c r="T913" i="1"/>
  <c r="U913" i="1"/>
  <c r="U846" i="1"/>
  <c r="U833" i="1"/>
  <c r="U824" i="1"/>
  <c r="U766" i="1"/>
  <c r="U687" i="1"/>
  <c r="U650" i="1"/>
  <c r="T588" i="1"/>
  <c r="U510" i="1"/>
  <c r="U474" i="1"/>
  <c r="U374" i="1"/>
  <c r="T326" i="1"/>
  <c r="U326" i="1"/>
  <c r="T299" i="1"/>
  <c r="U170" i="1"/>
  <c r="T2128" i="1"/>
  <c r="U2128" i="1"/>
  <c r="T1559" i="1"/>
  <c r="U1559" i="1"/>
  <c r="T2095" i="1"/>
  <c r="U2095" i="1"/>
  <c r="U457" i="1"/>
  <c r="T457" i="1"/>
  <c r="U249" i="1"/>
  <c r="T249" i="1"/>
  <c r="U644" i="1"/>
  <c r="T644" i="1"/>
  <c r="S1196" i="1"/>
  <c r="U1196" i="1" s="1"/>
  <c r="T1322" i="1"/>
  <c r="U1322" i="1"/>
  <c r="S498" i="1"/>
  <c r="T498" i="1" s="1"/>
  <c r="S882" i="1"/>
  <c r="T882" i="1" s="1"/>
  <c r="S1072" i="1"/>
  <c r="U1072" i="1" s="1"/>
  <c r="S1262" i="1"/>
  <c r="U1262" i="1" s="1"/>
  <c r="S1330" i="1"/>
  <c r="T1330" i="1" s="1"/>
  <c r="S1553" i="1"/>
  <c r="U1553" i="1" s="1"/>
  <c r="S1709" i="1"/>
  <c r="T1709" i="1" s="1"/>
  <c r="S1983" i="1"/>
  <c r="T1983" i="1" s="1"/>
  <c r="S2527" i="1"/>
  <c r="T2527" i="1" s="1"/>
  <c r="U38" i="1"/>
  <c r="T38" i="1"/>
  <c r="K2977" i="1"/>
  <c r="S953" i="1"/>
  <c r="U953" i="1" s="1"/>
  <c r="S1070" i="1"/>
  <c r="U1070" i="1" s="1"/>
  <c r="S2618" i="1"/>
  <c r="T2618" i="1" s="1"/>
  <c r="S2844" i="1"/>
  <c r="T2844" i="1" s="1"/>
  <c r="S2969" i="1"/>
  <c r="T2969" i="1" s="1"/>
  <c r="U2939" i="1"/>
  <c r="U2871" i="1"/>
  <c r="U2860" i="1"/>
  <c r="U2852" i="1"/>
  <c r="T2695" i="1"/>
  <c r="T2612" i="1"/>
  <c r="U2523" i="1"/>
  <c r="T2398" i="1"/>
  <c r="T2376" i="1"/>
  <c r="U2188" i="1"/>
  <c r="U1847" i="1"/>
  <c r="T1822" i="1"/>
  <c r="U1743" i="1"/>
  <c r="U1695" i="1"/>
  <c r="U1616" i="1"/>
  <c r="T1602" i="1"/>
  <c r="T1518" i="1"/>
  <c r="T1404" i="1"/>
  <c r="U1241" i="1"/>
  <c r="T1241" i="1"/>
  <c r="T1226" i="1"/>
  <c r="T1215" i="1"/>
  <c r="T1092" i="1"/>
  <c r="U938" i="1"/>
  <c r="T870" i="1"/>
  <c r="U870" i="1"/>
  <c r="T813" i="1"/>
  <c r="U813" i="1"/>
  <c r="U788" i="1"/>
  <c r="T776" i="1"/>
  <c r="U713" i="1"/>
  <c r="U533" i="1"/>
  <c r="U459" i="1"/>
  <c r="U411" i="1"/>
  <c r="T399" i="1"/>
  <c r="T325" i="1"/>
  <c r="U206" i="1"/>
  <c r="U193" i="1"/>
  <c r="T1627" i="1"/>
  <c r="U1627" i="1"/>
  <c r="U2586" i="1"/>
  <c r="T2586" i="1"/>
  <c r="T749" i="1"/>
  <c r="U749" i="1"/>
  <c r="T225" i="1"/>
  <c r="U225" i="1"/>
  <c r="U1787" i="1"/>
  <c r="T1787" i="1"/>
  <c r="T32" i="1"/>
  <c r="U32" i="1"/>
  <c r="T947" i="1"/>
  <c r="U947" i="1"/>
  <c r="S2079" i="1"/>
  <c r="T2079" i="1" s="1"/>
  <c r="U1898" i="1"/>
  <c r="T1898" i="1"/>
  <c r="U1245" i="1"/>
  <c r="T1245" i="1"/>
  <c r="T185" i="1"/>
  <c r="U185" i="1"/>
  <c r="S686" i="1"/>
  <c r="T686" i="1" s="1"/>
  <c r="S966" i="1"/>
  <c r="T966" i="1" s="1"/>
  <c r="S1323" i="1"/>
  <c r="T1323" i="1" s="1"/>
  <c r="S1445" i="1"/>
  <c r="T1445" i="1" s="1"/>
  <c r="S1876" i="1"/>
  <c r="T1876" i="1" s="1"/>
  <c r="S2635" i="1"/>
  <c r="T2635" i="1" s="1"/>
  <c r="S2911" i="1"/>
  <c r="T2911" i="1" s="1"/>
  <c r="U1061" i="1"/>
  <c r="T1061" i="1"/>
  <c r="S317" i="1"/>
  <c r="U317" i="1" s="1"/>
  <c r="S472" i="1"/>
  <c r="T472" i="1" s="1"/>
  <c r="S642" i="1"/>
  <c r="T642" i="1" s="1"/>
  <c r="S809" i="1"/>
  <c r="T809" i="1" s="1"/>
  <c r="S943" i="1"/>
  <c r="U943" i="1" s="1"/>
  <c r="S1056" i="1"/>
  <c r="T1056" i="1" s="1"/>
  <c r="S1112" i="1"/>
  <c r="T1112" i="1" s="1"/>
  <c r="S1161" i="1"/>
  <c r="U1161" i="1" s="1"/>
  <c r="S1233" i="1"/>
  <c r="T1233" i="1" s="1"/>
  <c r="S1295" i="1"/>
  <c r="T1295" i="1" s="1"/>
  <c r="S1393" i="1"/>
  <c r="U1393" i="1" s="1"/>
  <c r="S1436" i="1"/>
  <c r="U1436" i="1" s="1"/>
  <c r="S1549" i="1"/>
  <c r="U1549" i="1" s="1"/>
  <c r="S1605" i="1"/>
  <c r="T1605" i="1" s="1"/>
  <c r="S1696" i="1"/>
  <c r="T1696" i="1" s="1"/>
  <c r="S1728" i="1"/>
  <c r="U1728" i="1" s="1"/>
  <c r="S1870" i="1"/>
  <c r="U1870" i="1" s="1"/>
  <c r="S1928" i="1"/>
  <c r="U1928" i="1" s="1"/>
  <c r="S2042" i="1"/>
  <c r="U2042" i="1" s="1"/>
  <c r="S2111" i="1"/>
  <c r="T2111" i="1" s="1"/>
  <c r="S2387" i="1"/>
  <c r="T2387" i="1" s="1"/>
  <c r="S2606" i="1"/>
  <c r="T2606" i="1" s="1"/>
  <c r="S2671" i="1"/>
  <c r="T2671" i="1" s="1"/>
  <c r="S2825" i="1"/>
  <c r="T2825" i="1" s="1"/>
  <c r="U2972" i="1"/>
  <c r="U2893" i="1"/>
  <c r="T2840" i="1"/>
  <c r="U2799" i="1"/>
  <c r="T2668" i="1"/>
  <c r="U2655" i="1"/>
  <c r="U2501" i="1"/>
  <c r="T2409" i="1"/>
  <c r="U2315" i="1"/>
  <c r="T2315" i="1"/>
  <c r="T2278" i="1"/>
  <c r="U2155" i="1"/>
  <c r="T2142" i="1"/>
  <c r="T1792" i="1"/>
  <c r="U1792" i="1"/>
  <c r="U1681" i="1"/>
  <c r="T1510" i="1"/>
  <c r="T1317" i="1"/>
  <c r="T1059" i="1"/>
  <c r="T799" i="1"/>
  <c r="U799" i="1"/>
  <c r="U724" i="1"/>
  <c r="U621" i="1"/>
  <c r="T621" i="1"/>
  <c r="U587" i="1"/>
  <c r="T373" i="1"/>
  <c r="T298" i="1"/>
  <c r="U285" i="1"/>
  <c r="T285" i="1"/>
  <c r="T261" i="1"/>
  <c r="T119" i="1"/>
  <c r="T2689" i="1"/>
  <c r="U2654" i="1"/>
  <c r="U2627" i="1"/>
  <c r="T2585" i="1"/>
  <c r="U2574" i="1"/>
  <c r="U2495" i="1"/>
  <c r="U2362" i="1"/>
  <c r="U2352" i="1"/>
  <c r="U2285" i="1"/>
  <c r="U2262" i="1"/>
  <c r="U2241" i="1"/>
  <c r="T2183" i="1"/>
  <c r="U1702" i="1"/>
  <c r="U1619" i="1"/>
  <c r="U1610" i="1"/>
  <c r="T1547" i="1"/>
  <c r="U1536" i="1"/>
  <c r="U1397" i="1"/>
  <c r="T1361" i="1"/>
  <c r="T1292" i="1"/>
  <c r="T1220" i="1"/>
  <c r="T1123" i="1"/>
  <c r="U912" i="1"/>
  <c r="U873" i="1"/>
  <c r="U838" i="1"/>
  <c r="U829" i="1"/>
  <c r="T820" i="1"/>
  <c r="T812" i="1"/>
  <c r="U801" i="1"/>
  <c r="T781" i="1"/>
  <c r="U772" i="1"/>
  <c r="U740" i="1"/>
  <c r="T562" i="1"/>
  <c r="U527" i="1"/>
  <c r="U505" i="1"/>
  <c r="U495" i="1"/>
  <c r="U487" i="1"/>
  <c r="U465" i="1"/>
  <c r="U414" i="1"/>
  <c r="U406" i="1"/>
  <c r="U369" i="1"/>
  <c r="U284" i="1"/>
  <c r="U266" i="1"/>
  <c r="T198" i="1"/>
  <c r="U153" i="1"/>
  <c r="U65" i="1"/>
  <c r="U14" i="1"/>
  <c r="T6" i="1"/>
  <c r="U2753" i="1"/>
  <c r="U2742" i="1"/>
  <c r="U2733" i="1"/>
  <c r="T2663" i="1"/>
  <c r="U2562" i="1"/>
  <c r="T2538" i="1"/>
  <c r="U2525" i="1"/>
  <c r="T2472" i="1"/>
  <c r="U2307" i="1"/>
  <c r="U2172" i="1"/>
  <c r="T2086" i="1"/>
  <c r="U2033" i="1"/>
  <c r="T1982" i="1"/>
  <c r="U1968" i="1"/>
  <c r="U1943" i="1"/>
  <c r="U1932" i="1"/>
  <c r="T1918" i="1"/>
  <c r="U1866" i="1"/>
  <c r="T1777" i="1"/>
  <c r="T1745" i="1"/>
  <c r="T1628" i="1"/>
  <c r="T1596" i="1"/>
  <c r="U1584" i="1"/>
  <c r="U1523" i="1"/>
  <c r="U1371" i="1"/>
  <c r="U1338" i="1"/>
  <c r="U1243" i="1"/>
  <c r="U1145" i="1"/>
  <c r="T1108" i="1"/>
  <c r="U1080" i="1"/>
  <c r="T1052" i="1"/>
  <c r="U1028" i="1"/>
  <c r="T1016" i="1"/>
  <c r="T1003" i="1"/>
  <c r="T991" i="1"/>
  <c r="T922" i="1"/>
  <c r="T762" i="1"/>
  <c r="U750" i="1"/>
  <c r="T716" i="1"/>
  <c r="T658" i="1"/>
  <c r="U646" i="1"/>
  <c r="U631" i="1"/>
  <c r="U553" i="1"/>
  <c r="U455" i="1"/>
  <c r="U394" i="1"/>
  <c r="T327" i="1"/>
  <c r="T277" i="1"/>
  <c r="U247" i="1"/>
  <c r="T237" i="1"/>
  <c r="U209" i="1"/>
  <c r="U187" i="1"/>
  <c r="U142" i="1"/>
  <c r="U122" i="1"/>
  <c r="U92" i="1"/>
  <c r="T74" i="1"/>
  <c r="U30" i="1"/>
  <c r="U2700" i="1"/>
  <c r="T2688" i="1"/>
  <c r="U2603" i="1"/>
  <c r="T2506" i="1"/>
  <c r="U2494" i="1"/>
  <c r="U2390" i="1"/>
  <c r="U2339" i="1"/>
  <c r="U2240" i="1"/>
  <c r="U2216" i="1"/>
  <c r="U2160" i="1"/>
  <c r="U2021" i="1"/>
  <c r="T1841" i="1"/>
  <c r="U1766" i="1"/>
  <c r="U1675" i="1"/>
  <c r="T1663" i="1"/>
  <c r="T1560" i="1"/>
  <c r="U1495" i="1"/>
  <c r="T1486" i="1"/>
  <c r="T1474" i="1"/>
  <c r="T1448" i="1"/>
  <c r="U1421" i="1"/>
  <c r="T1382" i="1"/>
  <c r="T1270" i="1"/>
  <c r="U1219" i="1"/>
  <c r="U1171" i="1"/>
  <c r="U944" i="1"/>
  <c r="U911" i="1"/>
  <c r="U819" i="1"/>
  <c r="U790" i="1"/>
  <c r="T780" i="1"/>
  <c r="U705" i="1"/>
  <c r="U622" i="1"/>
  <c r="U571" i="1"/>
  <c r="U534" i="1"/>
  <c r="U526" i="1"/>
  <c r="U514" i="1"/>
  <c r="U494" i="1"/>
  <c r="U475" i="1"/>
  <c r="T464" i="1"/>
  <c r="U444" i="1"/>
  <c r="U425" i="1"/>
  <c r="U367" i="1"/>
  <c r="U345" i="1"/>
  <c r="U335" i="1"/>
  <c r="U295" i="1"/>
  <c r="U218" i="1"/>
  <c r="T197" i="1"/>
  <c r="U162" i="1"/>
  <c r="U112" i="1"/>
  <c r="U81" i="1"/>
  <c r="U57" i="1"/>
  <c r="U48" i="1"/>
  <c r="U39" i="1"/>
  <c r="T21" i="1"/>
  <c r="T2711" i="1"/>
  <c r="T2662" i="1"/>
  <c r="T2653" i="1"/>
  <c r="U2625" i="1"/>
  <c r="T2583" i="1"/>
  <c r="T2561" i="1"/>
  <c r="U2537" i="1"/>
  <c r="T2328" i="1"/>
  <c r="T2284" i="1"/>
  <c r="U2203" i="1"/>
  <c r="U2191" i="1"/>
  <c r="T2124" i="1"/>
  <c r="U1981" i="1"/>
  <c r="U1967" i="1"/>
  <c r="U1744" i="1"/>
  <c r="T1718" i="1"/>
  <c r="U1638" i="1"/>
  <c r="U1618" i="1"/>
  <c r="U1595" i="1"/>
  <c r="U1535" i="1"/>
  <c r="U1027" i="1"/>
  <c r="U976" i="1"/>
  <c r="U932" i="1"/>
  <c r="T837" i="1"/>
  <c r="T827" i="1"/>
  <c r="U725" i="1"/>
  <c r="U690" i="1"/>
  <c r="U591" i="1"/>
  <c r="U560" i="1"/>
  <c r="T541" i="1"/>
  <c r="U378" i="1"/>
  <c r="U314" i="1"/>
  <c r="T265" i="1"/>
  <c r="T255" i="1"/>
  <c r="T141" i="1"/>
  <c r="T130" i="1"/>
  <c r="T73" i="1"/>
  <c r="U64" i="1"/>
  <c r="T29" i="1"/>
  <c r="T171" i="1"/>
  <c r="U171" i="1"/>
  <c r="T2806" i="1"/>
  <c r="U2806" i="1"/>
  <c r="T2351" i="1"/>
  <c r="U2351" i="1"/>
  <c r="T86" i="1"/>
  <c r="U86" i="1"/>
  <c r="T2970" i="1"/>
  <c r="U2970" i="1"/>
  <c r="U2454" i="1"/>
  <c r="T2454" i="1"/>
  <c r="U2006" i="1"/>
  <c r="T2006" i="1"/>
  <c r="T1760" i="1"/>
  <c r="U1760" i="1"/>
  <c r="T1683" i="1"/>
  <c r="U1683" i="1"/>
  <c r="U1084" i="1"/>
  <c r="T1084" i="1"/>
  <c r="U446" i="1"/>
  <c r="T446" i="1"/>
  <c r="T201" i="1"/>
  <c r="U201" i="1"/>
  <c r="U125" i="1"/>
  <c r="T125" i="1"/>
  <c r="U33" i="1"/>
  <c r="T33" i="1"/>
  <c r="U2901" i="1"/>
  <c r="T2901" i="1"/>
  <c r="U2788" i="1"/>
  <c r="T2727" i="1"/>
  <c r="T2683" i="1"/>
  <c r="U2408" i="1"/>
  <c r="T2408" i="1"/>
  <c r="U2195" i="1"/>
  <c r="U2067" i="1"/>
  <c r="T2067" i="1"/>
  <c r="T1430" i="1"/>
  <c r="T306" i="1"/>
  <c r="U306" i="1"/>
  <c r="U230" i="1"/>
  <c r="T230" i="1"/>
  <c r="T94" i="1"/>
  <c r="U94" i="1"/>
  <c r="U2392" i="1"/>
  <c r="T2392" i="1"/>
  <c r="T2309" i="1"/>
  <c r="U2309" i="1"/>
  <c r="U2372" i="1"/>
  <c r="T2372" i="1"/>
  <c r="U1341" i="1"/>
  <c r="T1341" i="1"/>
  <c r="T290" i="1"/>
  <c r="U290" i="1"/>
  <c r="T2770" i="1"/>
  <c r="U2770" i="1"/>
  <c r="T2570" i="1"/>
  <c r="U2570" i="1"/>
  <c r="T2399" i="1"/>
  <c r="U2399" i="1"/>
  <c r="T728" i="1"/>
  <c r="U728" i="1"/>
  <c r="T288" i="1"/>
  <c r="U288" i="1"/>
  <c r="T2707" i="1"/>
  <c r="U2707" i="1"/>
  <c r="T2043" i="1"/>
  <c r="U2043" i="1"/>
  <c r="T2814" i="1"/>
  <c r="U2814" i="1"/>
  <c r="T2379" i="1"/>
  <c r="U2379" i="1"/>
  <c r="T2317" i="1"/>
  <c r="U2317" i="1"/>
  <c r="T2930" i="1"/>
  <c r="U2930" i="1"/>
  <c r="T2756" i="1"/>
  <c r="U2756" i="1"/>
  <c r="T2556" i="1"/>
  <c r="U2556" i="1"/>
  <c r="T2505" i="1"/>
  <c r="U2505" i="1"/>
  <c r="U1858" i="1"/>
  <c r="T1858" i="1"/>
  <c r="U1778" i="1"/>
  <c r="T1778" i="1"/>
  <c r="T1724" i="1"/>
  <c r="U1724" i="1"/>
  <c r="U972" i="1"/>
  <c r="T972" i="1"/>
  <c r="T318" i="1"/>
  <c r="U318" i="1"/>
  <c r="T2809" i="1"/>
  <c r="U2809" i="1"/>
  <c r="T755" i="1"/>
  <c r="U755" i="1"/>
  <c r="U2584" i="1"/>
  <c r="T2584" i="1"/>
  <c r="T2895" i="1"/>
  <c r="U2895" i="1"/>
  <c r="U1974" i="1"/>
  <c r="T1974" i="1"/>
  <c r="T696" i="1"/>
  <c r="U696" i="1"/>
  <c r="U253" i="1"/>
  <c r="T253" i="1"/>
  <c r="T2864" i="1"/>
  <c r="U2864" i="1"/>
  <c r="F2977" i="1"/>
  <c r="U633" i="1"/>
  <c r="T633" i="1"/>
  <c r="T2880" i="1"/>
  <c r="U2880" i="1"/>
  <c r="U2271" i="1"/>
  <c r="T2271" i="1"/>
  <c r="U1454" i="1"/>
  <c r="T1454" i="1"/>
  <c r="T1441" i="1"/>
  <c r="U1441" i="1"/>
  <c r="T454" i="1"/>
  <c r="U454" i="1"/>
  <c r="T379" i="1"/>
  <c r="U379" i="1"/>
  <c r="T238" i="1"/>
  <c r="U238" i="1"/>
  <c r="T744" i="1"/>
  <c r="U744" i="1"/>
  <c r="T1936" i="1"/>
  <c r="U1936" i="1"/>
  <c r="T1688" i="1"/>
  <c r="U1688" i="1"/>
  <c r="T27" i="1"/>
  <c r="U27" i="1"/>
  <c r="U2720" i="1"/>
  <c r="T2720" i="1"/>
  <c r="U2508" i="1"/>
  <c r="T2508" i="1"/>
  <c r="T1996" i="1"/>
  <c r="U1996" i="1"/>
  <c r="T2601" i="1"/>
  <c r="U2601" i="1"/>
  <c r="S207" i="1"/>
  <c r="U207" i="1" s="1"/>
  <c r="S548" i="1"/>
  <c r="T548" i="1" s="1"/>
  <c r="S731" i="1"/>
  <c r="T731" i="1" s="1"/>
  <c r="S919" i="1"/>
  <c r="T919" i="1" s="1"/>
  <c r="S997" i="1"/>
  <c r="U997" i="1" s="1"/>
  <c r="S1086" i="1"/>
  <c r="T1086" i="1" s="1"/>
  <c r="S1131" i="1"/>
  <c r="T1131" i="1" s="1"/>
  <c r="S1187" i="1"/>
  <c r="T1187" i="1" s="1"/>
  <c r="S1267" i="1"/>
  <c r="T1267" i="1" s="1"/>
  <c r="S1419" i="1"/>
  <c r="U1419" i="1" s="1"/>
  <c r="S1451" i="1"/>
  <c r="T1451" i="1" s="1"/>
  <c r="S1557" i="1"/>
  <c r="T1557" i="1" s="1"/>
  <c r="S1669" i="1"/>
  <c r="T1669" i="1" s="1"/>
  <c r="S1811" i="1"/>
  <c r="U1811" i="1" s="1"/>
  <c r="S1880" i="1"/>
  <c r="T1880" i="1" s="1"/>
  <c r="S2072" i="1"/>
  <c r="T2072" i="1" s="1"/>
  <c r="S2532" i="1"/>
  <c r="T2532" i="1" s="1"/>
  <c r="S2643" i="1"/>
  <c r="T2643" i="1" s="1"/>
  <c r="T2938" i="1"/>
  <c r="U2938" i="1"/>
  <c r="U2820" i="1"/>
  <c r="U2754" i="1"/>
  <c r="T2692" i="1"/>
  <c r="U2692" i="1"/>
  <c r="U2669" i="1"/>
  <c r="U2648" i="1"/>
  <c r="T2648" i="1"/>
  <c r="U2481" i="1"/>
  <c r="U2425" i="1"/>
  <c r="T2283" i="1"/>
  <c r="U2283" i="1"/>
  <c r="T2013" i="1"/>
  <c r="U2013" i="1"/>
  <c r="T1883" i="1"/>
  <c r="U1883" i="1"/>
  <c r="T1836" i="1"/>
  <c r="U1836" i="1"/>
  <c r="U1574" i="1"/>
  <c r="U1172" i="1"/>
  <c r="T1097" i="1"/>
  <c r="U1097" i="1"/>
  <c r="T735" i="1"/>
  <c r="U590" i="1"/>
  <c r="U784" i="1"/>
  <c r="T784" i="1"/>
  <c r="T2905" i="1"/>
  <c r="U2905" i="1"/>
  <c r="U2592" i="1"/>
  <c r="T2592" i="1"/>
  <c r="T2539" i="1"/>
  <c r="U2539" i="1"/>
  <c r="T2467" i="1"/>
  <c r="U2467" i="1"/>
  <c r="T1318" i="1"/>
  <c r="U1318" i="1"/>
  <c r="T625" i="1"/>
  <c r="U625" i="1"/>
  <c r="U245" i="1"/>
  <c r="T245" i="1"/>
  <c r="T2698" i="1"/>
  <c r="U2698" i="1"/>
  <c r="T2708" i="1"/>
  <c r="U2708" i="1"/>
  <c r="U2926" i="1"/>
  <c r="U2878" i="1"/>
  <c r="T2647" i="1"/>
  <c r="T2432" i="1"/>
  <c r="U2432" i="1"/>
  <c r="U2414" i="1"/>
  <c r="T2125" i="1"/>
  <c r="U2125" i="1"/>
  <c r="U2087" i="1"/>
  <c r="T2053" i="1"/>
  <c r="U2053" i="1"/>
  <c r="U1882" i="1"/>
  <c r="U1823" i="1"/>
  <c r="T1242" i="1"/>
  <c r="U1242" i="1"/>
  <c r="U878" i="1"/>
  <c r="T878" i="1"/>
  <c r="T599" i="1"/>
  <c r="U599" i="1"/>
  <c r="T2701" i="1"/>
  <c r="U2701" i="1"/>
  <c r="U1640" i="1"/>
  <c r="T1640" i="1"/>
  <c r="T2075" i="1"/>
  <c r="U2075" i="1"/>
  <c r="T697" i="1"/>
  <c r="U697" i="1"/>
  <c r="T1962" i="1"/>
  <c r="U1962" i="1"/>
  <c r="E2977" i="1"/>
  <c r="U182" i="1"/>
  <c r="T182" i="1"/>
  <c r="L2977" i="1"/>
  <c r="S98" i="1"/>
  <c r="U98" i="1" s="1"/>
  <c r="T2" i="1"/>
  <c r="T2265" i="1"/>
  <c r="U2265" i="1"/>
  <c r="T2144" i="1"/>
  <c r="U2144" i="1"/>
  <c r="T54" i="1"/>
  <c r="U54" i="1"/>
  <c r="T192" i="1"/>
  <c r="U192" i="1"/>
  <c r="T25" i="1"/>
  <c r="U25" i="1"/>
  <c r="T2628" i="1"/>
  <c r="U2628" i="1"/>
  <c r="S176" i="1"/>
  <c r="T176" i="1" s="1"/>
  <c r="S371" i="1"/>
  <c r="T371" i="1" s="1"/>
  <c r="S516" i="1"/>
  <c r="T516" i="1" s="1"/>
  <c r="S710" i="1"/>
  <c r="U710" i="1" s="1"/>
  <c r="S884" i="1"/>
  <c r="T884" i="1" s="1"/>
  <c r="S979" i="1"/>
  <c r="T979" i="1" s="1"/>
  <c r="S1075" i="1"/>
  <c r="T1075" i="1" s="1"/>
  <c r="S1127" i="1"/>
  <c r="T1127" i="1" s="1"/>
  <c r="S1185" i="1"/>
  <c r="U1185" i="1" s="1"/>
  <c r="S1264" i="1"/>
  <c r="U1264" i="1" s="1"/>
  <c r="S1402" i="1"/>
  <c r="T1402" i="1" s="1"/>
  <c r="S1447" i="1"/>
  <c r="U1447" i="1" s="1"/>
  <c r="S1555" i="1"/>
  <c r="T1555" i="1" s="1"/>
  <c r="S1667" i="1"/>
  <c r="U1667" i="1" s="1"/>
  <c r="S1711" i="1"/>
  <c r="U1711" i="1" s="1"/>
  <c r="S1878" i="1"/>
  <c r="T1878" i="1" s="1"/>
  <c r="S2069" i="1"/>
  <c r="T2069" i="1" s="1"/>
  <c r="S2129" i="1"/>
  <c r="T2129" i="1" s="1"/>
  <c r="S2529" i="1"/>
  <c r="S2640" i="1"/>
  <c r="T2640" i="1" s="1"/>
  <c r="S2745" i="1"/>
  <c r="T2745" i="1" s="1"/>
  <c r="S2908" i="1"/>
  <c r="T2908" i="1" s="1"/>
  <c r="T2967" i="1"/>
  <c r="U2887" i="1"/>
  <c r="T2838" i="1"/>
  <c r="T2774" i="1"/>
  <c r="U2774" i="1"/>
  <c r="T2763" i="1"/>
  <c r="U2763" i="1"/>
  <c r="U2690" i="1"/>
  <c r="U2554" i="1"/>
  <c r="U2510" i="1"/>
  <c r="U2502" i="1"/>
  <c r="U2492" i="1"/>
  <c r="T2492" i="1"/>
  <c r="U2431" i="1"/>
  <c r="U2301" i="1"/>
  <c r="T2225" i="1"/>
  <c r="U1927" i="1"/>
  <c r="T1905" i="1"/>
  <c r="U1856" i="1"/>
  <c r="U1834" i="1"/>
  <c r="U1775" i="1"/>
  <c r="T1655" i="1"/>
  <c r="U1655" i="1"/>
  <c r="T1254" i="1"/>
  <c r="U1254" i="1"/>
  <c r="U1184" i="1"/>
  <c r="T1184" i="1"/>
  <c r="T618" i="1"/>
  <c r="T598" i="1"/>
  <c r="T1755" i="1"/>
  <c r="U1755" i="1"/>
  <c r="U597" i="1"/>
  <c r="T597" i="1"/>
  <c r="U2760" i="1"/>
  <c r="T2760" i="1"/>
  <c r="T660" i="1"/>
  <c r="U660" i="1"/>
  <c r="U2846" i="1"/>
  <c r="U2762" i="1"/>
  <c r="T2713" i="1"/>
  <c r="U2713" i="1"/>
  <c r="U2656" i="1"/>
  <c r="T2656" i="1"/>
  <c r="T2634" i="1"/>
  <c r="U2634" i="1"/>
  <c r="T2613" i="1"/>
  <c r="U2440" i="1"/>
  <c r="T2440" i="1"/>
  <c r="T2424" i="1"/>
  <c r="T2321" i="1"/>
  <c r="T2096" i="1"/>
  <c r="T1951" i="1"/>
  <c r="U1951" i="1"/>
  <c r="U1786" i="1"/>
  <c r="T1654" i="1"/>
  <c r="U1344" i="1"/>
  <c r="T1333" i="1"/>
  <c r="U1301" i="1"/>
  <c r="T1301" i="1"/>
  <c r="T581" i="1"/>
  <c r="U581" i="1"/>
  <c r="T550" i="1"/>
  <c r="U550" i="1"/>
  <c r="S321" i="1"/>
  <c r="U321" i="1" s="1"/>
  <c r="S478" i="1"/>
  <c r="T478" i="1" s="1"/>
  <c r="S667" i="1"/>
  <c r="U667" i="1" s="1"/>
  <c r="S848" i="1"/>
  <c r="T848" i="1" s="1"/>
  <c r="S1114" i="1"/>
  <c r="T1114" i="1" s="1"/>
  <c r="S1166" i="1"/>
  <c r="T1166" i="1" s="1"/>
  <c r="S1260" i="1"/>
  <c r="U1260" i="1" s="1"/>
  <c r="S1321" i="1"/>
  <c r="U1321" i="1" s="1"/>
  <c r="S1396" i="1"/>
  <c r="T1396" i="1" s="1"/>
  <c r="S1440" i="1"/>
  <c r="U1440" i="1" s="1"/>
  <c r="S1551" i="1"/>
  <c r="U1551" i="1" s="1"/>
  <c r="S1608" i="1"/>
  <c r="U1608" i="1" s="1"/>
  <c r="S1706" i="1"/>
  <c r="T1706" i="1" s="1"/>
  <c r="S1762" i="1"/>
  <c r="T1762" i="1" s="1"/>
  <c r="S1872" i="1"/>
  <c r="T1872" i="1" s="1"/>
  <c r="S1955" i="1"/>
  <c r="T1955" i="1" s="1"/>
  <c r="S2050" i="1"/>
  <c r="T2050" i="1" s="1"/>
  <c r="S2114" i="1"/>
  <c r="U2114" i="1" s="1"/>
  <c r="S2457" i="1"/>
  <c r="U2457" i="1" s="1"/>
  <c r="S2680" i="1"/>
  <c r="T2680" i="1" s="1"/>
  <c r="T2369" i="1"/>
  <c r="U2369" i="1"/>
  <c r="T2340" i="1"/>
  <c r="U2340" i="1"/>
  <c r="T2256" i="1"/>
  <c r="U2256" i="1"/>
  <c r="U2118" i="1"/>
  <c r="T2118" i="1"/>
  <c r="T2049" i="1"/>
  <c r="U2049" i="1"/>
  <c r="U1406" i="1"/>
  <c r="T1406" i="1"/>
  <c r="T707" i="1"/>
  <c r="U707" i="1"/>
  <c r="T190" i="1"/>
  <c r="U190" i="1"/>
  <c r="U69" i="1"/>
  <c r="T69" i="1"/>
  <c r="U2933" i="1"/>
  <c r="U2858" i="1"/>
  <c r="T2808" i="1"/>
  <c r="T2750" i="1"/>
  <c r="T2696" i="1"/>
  <c r="U2560" i="1"/>
  <c r="U2533" i="1"/>
  <c r="U2515" i="1"/>
  <c r="T2499" i="1"/>
  <c r="U2499" i="1"/>
  <c r="T2461" i="1"/>
  <c r="T2264" i="1"/>
  <c r="U2224" i="1"/>
  <c r="T2151" i="1"/>
  <c r="U2151" i="1"/>
  <c r="U2127" i="1"/>
  <c r="U1795" i="1"/>
  <c r="T1795" i="1"/>
  <c r="T1522" i="1"/>
  <c r="U1504" i="1"/>
  <c r="T1415" i="1"/>
  <c r="U1415" i="1"/>
  <c r="T1360" i="1"/>
  <c r="U1360" i="1"/>
  <c r="U1285" i="1"/>
  <c r="T1285" i="1"/>
  <c r="T1216" i="1"/>
  <c r="U1216" i="1"/>
  <c r="U1096" i="1"/>
  <c r="S294" i="1"/>
  <c r="T294" i="1" s="1"/>
  <c r="S423" i="1"/>
  <c r="U423" i="1" s="1"/>
  <c r="S639" i="1"/>
  <c r="T639" i="1" s="1"/>
  <c r="S786" i="1"/>
  <c r="T786" i="1" s="1"/>
  <c r="S937" i="1"/>
  <c r="T937" i="1" s="1"/>
  <c r="S1037" i="1"/>
  <c r="T1037" i="1" s="1"/>
  <c r="S1109" i="1"/>
  <c r="U1109" i="1" s="1"/>
  <c r="S1148" i="1"/>
  <c r="U1148" i="1" s="1"/>
  <c r="S1391" i="1"/>
  <c r="T1391" i="1" s="1"/>
  <c r="S1434" i="1"/>
  <c r="S1527" i="1"/>
  <c r="T1527" i="1" s="1"/>
  <c r="S1588" i="1"/>
  <c r="T1588" i="1" s="1"/>
  <c r="S1691" i="1"/>
  <c r="T1691" i="1" s="1"/>
  <c r="S1719" i="1"/>
  <c r="T1719" i="1" s="1"/>
  <c r="S1925" i="1"/>
  <c r="T1925" i="1" s="1"/>
  <c r="S2031" i="1"/>
  <c r="T2031" i="1" s="1"/>
  <c r="S2100" i="1"/>
  <c r="T2100" i="1" s="1"/>
  <c r="S2333" i="1"/>
  <c r="T2333" i="1" s="1"/>
  <c r="S2805" i="1"/>
  <c r="U2873" i="1"/>
  <c r="U2865" i="1"/>
  <c r="U2741" i="1"/>
  <c r="U2714" i="1"/>
  <c r="U2676" i="1"/>
  <c r="T2650" i="1"/>
  <c r="U2650" i="1"/>
  <c r="U2479" i="1"/>
  <c r="U2452" i="1"/>
  <c r="U2400" i="1"/>
  <c r="U2348" i="1"/>
  <c r="T2348" i="1"/>
  <c r="T2060" i="1"/>
  <c r="U2060" i="1"/>
  <c r="T2045" i="1"/>
  <c r="U2045" i="1"/>
  <c r="U2034" i="1"/>
  <c r="U1818" i="1"/>
  <c r="T1818" i="1"/>
  <c r="T885" i="1"/>
  <c r="U885" i="1"/>
  <c r="T2832" i="1"/>
  <c r="T2816" i="1"/>
  <c r="U2816" i="1"/>
  <c r="U2766" i="1"/>
  <c r="U2659" i="1"/>
  <c r="T2620" i="1"/>
  <c r="U2620" i="1"/>
  <c r="T2568" i="1"/>
  <c r="T2540" i="1"/>
  <c r="U2497" i="1"/>
  <c r="T2488" i="1"/>
  <c r="U2394" i="1"/>
  <c r="T2171" i="1"/>
  <c r="U2171" i="1"/>
  <c r="U2149" i="1"/>
  <c r="T2126" i="1"/>
  <c r="U2102" i="1"/>
  <c r="T2044" i="1"/>
  <c r="U1942" i="1"/>
  <c r="T1942" i="1"/>
  <c r="T1793" i="1"/>
  <c r="T1578" i="1"/>
  <c r="U1578" i="1"/>
  <c r="T1293" i="1"/>
  <c r="U1293" i="1"/>
  <c r="T1107" i="1"/>
  <c r="U836" i="1"/>
  <c r="T836" i="1"/>
  <c r="T429" i="1"/>
  <c r="T236" i="1"/>
  <c r="T226" i="1"/>
  <c r="S268" i="1"/>
  <c r="T268" i="1" s="1"/>
  <c r="S416" i="1"/>
  <c r="T416" i="1" s="1"/>
  <c r="S636" i="1"/>
  <c r="U636" i="1" s="1"/>
  <c r="S753" i="1"/>
  <c r="U753" i="1" s="1"/>
  <c r="S927" i="1"/>
  <c r="T927" i="1" s="1"/>
  <c r="S1026" i="1"/>
  <c r="T1026" i="1" s="1"/>
  <c r="S1091" i="1"/>
  <c r="T1091" i="1" s="1"/>
  <c r="S1146" i="1"/>
  <c r="T1146" i="1" s="1"/>
  <c r="S1192" i="1"/>
  <c r="T1192" i="1" s="1"/>
  <c r="S1389" i="1"/>
  <c r="T1389" i="1" s="1"/>
  <c r="S1432" i="1"/>
  <c r="U1432" i="1" s="1"/>
  <c r="S1519" i="1"/>
  <c r="T1519" i="1" s="1"/>
  <c r="S1580" i="1"/>
  <c r="U1580" i="1" s="1"/>
  <c r="S1689" i="1"/>
  <c r="T1689" i="1" s="1"/>
  <c r="S1717" i="1"/>
  <c r="T1717" i="1" s="1"/>
  <c r="S1923" i="1"/>
  <c r="U1923" i="1" s="1"/>
  <c r="S2014" i="1"/>
  <c r="U2014" i="1" s="1"/>
  <c r="S2090" i="1"/>
  <c r="T2090" i="1" s="1"/>
  <c r="S2279" i="1"/>
  <c r="T2279" i="1" s="1"/>
  <c r="S2652" i="1"/>
  <c r="T2652" i="1" s="1"/>
  <c r="T2757" i="1"/>
  <c r="U2757" i="1"/>
  <c r="T2549" i="1"/>
  <c r="U2549" i="1"/>
  <c r="T1930" i="1"/>
  <c r="U1930" i="1"/>
  <c r="T1840" i="1"/>
  <c r="U1840" i="1"/>
  <c r="T1656" i="1"/>
  <c r="U1656" i="1"/>
  <c r="U714" i="1"/>
  <c r="T714" i="1"/>
  <c r="T574" i="1"/>
  <c r="U574" i="1"/>
  <c r="T2952" i="1"/>
  <c r="T2872" i="1"/>
  <c r="U2740" i="1"/>
  <c r="T2721" i="1"/>
  <c r="U2721" i="1"/>
  <c r="U2675" i="1"/>
  <c r="T2593" i="1"/>
  <c r="U2593" i="1"/>
  <c r="U2548" i="1"/>
  <c r="T2496" i="1"/>
  <c r="T2468" i="1"/>
  <c r="U2468" i="1"/>
  <c r="U2451" i="1"/>
  <c r="U2416" i="1"/>
  <c r="T2384" i="1"/>
  <c r="U2136" i="1"/>
  <c r="T2136" i="1"/>
  <c r="U1751" i="1"/>
  <c r="T1751" i="1"/>
  <c r="T1531" i="1"/>
  <c r="T1424" i="1"/>
  <c r="U1424" i="1"/>
  <c r="U1413" i="1"/>
  <c r="U1247" i="1"/>
  <c r="T1130" i="1"/>
  <c r="U1130" i="1"/>
  <c r="U678" i="1"/>
  <c r="T678" i="1"/>
  <c r="T573" i="1"/>
  <c r="S215" i="1"/>
  <c r="T215" i="1" s="1"/>
  <c r="S404" i="1"/>
  <c r="T404" i="1" s="1"/>
  <c r="S602" i="1"/>
  <c r="U602" i="1" s="1"/>
  <c r="S734" i="1"/>
  <c r="T734" i="1" s="1"/>
  <c r="S1011" i="1"/>
  <c r="T1011" i="1" s="1"/>
  <c r="S1088" i="1"/>
  <c r="U1088" i="1" s="1"/>
  <c r="S1136" i="1"/>
  <c r="T1136" i="1" s="1"/>
  <c r="S1189" i="1"/>
  <c r="T1189" i="1" s="1"/>
  <c r="S1269" i="1"/>
  <c r="U1269" i="1" s="1"/>
  <c r="S1387" i="1"/>
  <c r="U1387" i="1" s="1"/>
  <c r="S1429" i="1"/>
  <c r="T1429" i="1" s="1"/>
  <c r="S1472" i="1"/>
  <c r="T1472" i="1" s="1"/>
  <c r="S1676" i="1"/>
  <c r="U1676" i="1" s="1"/>
  <c r="S1814" i="1"/>
  <c r="U1814" i="1" s="1"/>
  <c r="S1896" i="1"/>
  <c r="U1896" i="1" s="1"/>
  <c r="S2277" i="1"/>
  <c r="T2277" i="1" s="1"/>
  <c r="S2646" i="1"/>
  <c r="U2646" i="1" s="1"/>
  <c r="S2764" i="1"/>
  <c r="U2764" i="1" s="1"/>
  <c r="T2921" i="1"/>
  <c r="U2921" i="1"/>
  <c r="U2888" i="1"/>
  <c r="T2888" i="1"/>
  <c r="T2512" i="1"/>
  <c r="U2512" i="1"/>
  <c r="T2426" i="1"/>
  <c r="U2426" i="1"/>
  <c r="T1906" i="1"/>
  <c r="U1906" i="1"/>
  <c r="T1400" i="1"/>
  <c r="U1400" i="1"/>
  <c r="U517" i="1"/>
  <c r="T517" i="1"/>
  <c r="U477" i="1"/>
  <c r="T477" i="1"/>
  <c r="T1746" i="1"/>
  <c r="U1746" i="1"/>
  <c r="T1431" i="1"/>
  <c r="U1431" i="1"/>
  <c r="T921" i="1"/>
  <c r="U921" i="1"/>
  <c r="T271" i="1"/>
  <c r="U271" i="1"/>
  <c r="U51" i="1"/>
  <c r="T51" i="1"/>
  <c r="U2929" i="1"/>
  <c r="U2863" i="1"/>
  <c r="U2849" i="1"/>
  <c r="T2824" i="1"/>
  <c r="U2798" i="1"/>
  <c r="U2785" i="1"/>
  <c r="U2779" i="1"/>
  <c r="U2739" i="1"/>
  <c r="U2710" i="1"/>
  <c r="U2686" i="1"/>
  <c r="U2672" i="1"/>
  <c r="U2665" i="1"/>
  <c r="U2658" i="1"/>
  <c r="U2638" i="1"/>
  <c r="T2615" i="1"/>
  <c r="U2543" i="1"/>
  <c r="U2485" i="1"/>
  <c r="U2449" i="1"/>
  <c r="U2404" i="1"/>
  <c r="U2383" i="1"/>
  <c r="T2250" i="1"/>
  <c r="U2250" i="1"/>
  <c r="U2202" i="1"/>
  <c r="U2101" i="1"/>
  <c r="T1914" i="1"/>
  <c r="U1914" i="1"/>
  <c r="U1904" i="1"/>
  <c r="T1541" i="1"/>
  <c r="U1541" i="1"/>
  <c r="T1473" i="1"/>
  <c r="U1473" i="1"/>
  <c r="T980" i="1"/>
  <c r="U980" i="1"/>
  <c r="T830" i="1"/>
  <c r="U830" i="1"/>
  <c r="T645" i="1"/>
  <c r="U645" i="1"/>
  <c r="T511" i="1"/>
  <c r="U511" i="1"/>
  <c r="T2936" i="1"/>
  <c r="U2916" i="1"/>
  <c r="U2909" i="1"/>
  <c r="U2817" i="1"/>
  <c r="U2811" i="1"/>
  <c r="U2772" i="1"/>
  <c r="U2758" i="1"/>
  <c r="U2752" i="1"/>
  <c r="U2746" i="1"/>
  <c r="U2723" i="1"/>
  <c r="U2630" i="1"/>
  <c r="U2608" i="1"/>
  <c r="U2602" i="1"/>
  <c r="U2595" i="1"/>
  <c r="U2588" i="1"/>
  <c r="U2573" i="1"/>
  <c r="U2557" i="1"/>
  <c r="U2550" i="1"/>
  <c r="T2420" i="1"/>
  <c r="T2412" i="1"/>
  <c r="U2239" i="1"/>
  <c r="T2182" i="1"/>
  <c r="T2110" i="1"/>
  <c r="T2051" i="1"/>
  <c r="T2022" i="1"/>
  <c r="U2022" i="1"/>
  <c r="T1852" i="1"/>
  <c r="U1852" i="1"/>
  <c r="T1832" i="1"/>
  <c r="T1679" i="1"/>
  <c r="U1461" i="1"/>
  <c r="T1232" i="1"/>
  <c r="U1232" i="1"/>
  <c r="T883" i="1"/>
  <c r="U883" i="1"/>
  <c r="T792" i="1"/>
  <c r="U792" i="1"/>
  <c r="T606" i="1"/>
  <c r="U606" i="1"/>
  <c r="T315" i="1"/>
  <c r="U315" i="1"/>
  <c r="T174" i="1"/>
  <c r="U174" i="1"/>
  <c r="T113" i="1"/>
  <c r="U113" i="1"/>
  <c r="U2922" i="1"/>
  <c r="T2896" i="1"/>
  <c r="U2889" i="1"/>
  <c r="U2875" i="1"/>
  <c r="U2862" i="1"/>
  <c r="U2855" i="1"/>
  <c r="U2842" i="1"/>
  <c r="U2836" i="1"/>
  <c r="U2823" i="1"/>
  <c r="U2716" i="1"/>
  <c r="U2657" i="1"/>
  <c r="U2644" i="1"/>
  <c r="U2621" i="1"/>
  <c r="U2614" i="1"/>
  <c r="U2580" i="1"/>
  <c r="U2564" i="1"/>
  <c r="U2500" i="1"/>
  <c r="U2493" i="1"/>
  <c r="U2477" i="1"/>
  <c r="U2469" i="1"/>
  <c r="U2462" i="1"/>
  <c r="U2389" i="1"/>
  <c r="U2314" i="1"/>
  <c r="U2219" i="1"/>
  <c r="U2209" i="1"/>
  <c r="U1407" i="1"/>
  <c r="U1324" i="1"/>
  <c r="U1315" i="1"/>
  <c r="U1255" i="1"/>
  <c r="U1221" i="1"/>
  <c r="U895" i="1"/>
  <c r="T895" i="1"/>
  <c r="T856" i="1"/>
  <c r="U856" i="1"/>
  <c r="U847" i="1"/>
  <c r="T556" i="1"/>
  <c r="U556" i="1"/>
  <c r="T377" i="1"/>
  <c r="U377" i="1"/>
  <c r="U2928" i="1"/>
  <c r="T2902" i="1"/>
  <c r="U2869" i="1"/>
  <c r="U2848" i="1"/>
  <c r="U2784" i="1"/>
  <c r="U2778" i="1"/>
  <c r="U2737" i="1"/>
  <c r="U2730" i="1"/>
  <c r="U2685" i="1"/>
  <c r="U2678" i="1"/>
  <c r="U2670" i="1"/>
  <c r="U2637" i="1"/>
  <c r="U2542" i="1"/>
  <c r="U2419" i="1"/>
  <c r="U2374" i="1"/>
  <c r="U2323" i="1"/>
  <c r="U2181" i="1"/>
  <c r="T2109" i="1"/>
  <c r="U1975" i="1"/>
  <c r="T1548" i="1"/>
  <c r="U1416" i="1"/>
  <c r="T1416" i="1"/>
  <c r="T1346" i="1"/>
  <c r="T1156" i="1"/>
  <c r="U1051" i="1"/>
  <c r="T1051" i="1"/>
  <c r="T916" i="1"/>
  <c r="U916" i="1"/>
  <c r="U894" i="1"/>
  <c r="U869" i="1"/>
  <c r="T869" i="1"/>
  <c r="T718" i="1"/>
  <c r="U718" i="1"/>
  <c r="T654" i="1"/>
  <c r="U654" i="1"/>
  <c r="U421" i="1"/>
  <c r="T421" i="1"/>
  <c r="T203" i="1"/>
  <c r="T183" i="1"/>
  <c r="T121" i="1"/>
  <c r="T2861" i="1"/>
  <c r="U2829" i="1"/>
  <c r="U2607" i="1"/>
  <c r="U2579" i="1"/>
  <c r="U2563" i="1"/>
  <c r="T2119" i="1"/>
  <c r="U2119" i="1"/>
  <c r="T2029" i="1"/>
  <c r="U2029" i="1"/>
  <c r="T1986" i="1"/>
  <c r="U1986" i="1"/>
  <c r="U1073" i="1"/>
  <c r="T1073" i="1"/>
  <c r="T538" i="1"/>
  <c r="U538" i="1"/>
  <c r="T222" i="1"/>
  <c r="U222" i="1"/>
  <c r="T2227" i="1"/>
  <c r="U2227" i="1"/>
  <c r="T1893" i="1"/>
  <c r="U1893" i="1"/>
  <c r="T1664" i="1"/>
  <c r="U1664" i="1"/>
  <c r="T1490" i="1"/>
  <c r="U1490" i="1"/>
  <c r="T1354" i="1"/>
  <c r="U1354" i="1"/>
  <c r="T1334" i="1"/>
  <c r="U1334" i="1"/>
  <c r="T925" i="1"/>
  <c r="U925" i="1"/>
  <c r="T867" i="1"/>
  <c r="U867" i="1"/>
  <c r="T430" i="1"/>
  <c r="U430" i="1"/>
  <c r="T364" i="1"/>
  <c r="U364" i="1"/>
  <c r="U2350" i="1"/>
  <c r="U2334" i="1"/>
  <c r="U2304" i="1"/>
  <c r="U2267" i="1"/>
  <c r="U2245" i="1"/>
  <c r="U2215" i="1"/>
  <c r="U2194" i="1"/>
  <c r="U2170" i="1"/>
  <c r="U2154" i="1"/>
  <c r="U2139" i="1"/>
  <c r="T2131" i="1"/>
  <c r="U2085" i="1"/>
  <c r="U2077" i="1"/>
  <c r="U2047" i="1"/>
  <c r="U2016" i="1"/>
  <c r="T1948" i="1"/>
  <c r="T1902" i="1"/>
  <c r="U1895" i="1"/>
  <c r="U1830" i="1"/>
  <c r="U1821" i="1"/>
  <c r="U1790" i="1"/>
  <c r="T1790" i="1"/>
  <c r="U1773" i="1"/>
  <c r="U1712" i="1"/>
  <c r="U1677" i="1"/>
  <c r="T1653" i="1"/>
  <c r="U1653" i="1"/>
  <c r="T1643" i="1"/>
  <c r="U1626" i="1"/>
  <c r="T1599" i="1"/>
  <c r="U1525" i="1"/>
  <c r="U1494" i="1"/>
  <c r="U1115" i="1"/>
  <c r="T1115" i="1"/>
  <c r="T158" i="1"/>
  <c r="U158" i="1"/>
  <c r="U2365" i="1"/>
  <c r="U2342" i="1"/>
  <c r="U2326" i="1"/>
  <c r="T2312" i="1"/>
  <c r="T2296" i="1"/>
  <c r="U2287" i="1"/>
  <c r="U2237" i="1"/>
  <c r="U2229" i="1"/>
  <c r="U2222" i="1"/>
  <c r="U2207" i="1"/>
  <c r="U2200" i="1"/>
  <c r="U2186" i="1"/>
  <c r="U2161" i="1"/>
  <c r="U2122" i="1"/>
  <c r="T2098" i="1"/>
  <c r="U2091" i="1"/>
  <c r="U2063" i="1"/>
  <c r="U1999" i="1"/>
  <c r="U1990" i="1"/>
  <c r="U1970" i="1"/>
  <c r="U1879" i="1"/>
  <c r="U1789" i="1"/>
  <c r="T1730" i="1"/>
  <c r="U1722" i="1"/>
  <c r="U1686" i="1"/>
  <c r="T1686" i="1"/>
  <c r="U1633" i="1"/>
  <c r="U1590" i="1"/>
  <c r="T1582" i="1"/>
  <c r="U1467" i="1"/>
  <c r="U1458" i="1"/>
  <c r="U1386" i="1"/>
  <c r="U1305" i="1"/>
  <c r="T1305" i="1"/>
  <c r="T1200" i="1"/>
  <c r="U1200" i="1"/>
  <c r="T1180" i="1"/>
  <c r="T1033" i="1"/>
  <c r="T900" i="1"/>
  <c r="U900" i="1"/>
  <c r="T888" i="1"/>
  <c r="T771" i="1"/>
  <c r="U771" i="1"/>
  <c r="U742" i="1"/>
  <c r="U662" i="1"/>
  <c r="T662" i="1"/>
  <c r="T640" i="1"/>
  <c r="T521" i="1"/>
  <c r="U521" i="1"/>
  <c r="T462" i="1"/>
  <c r="U462" i="1"/>
  <c r="U304" i="1"/>
  <c r="T286" i="1"/>
  <c r="U286" i="1"/>
  <c r="T157" i="1"/>
  <c r="T138" i="1"/>
  <c r="U138" i="1"/>
  <c r="U91" i="1"/>
  <c r="T49" i="1"/>
  <c r="T41" i="1"/>
  <c r="U41" i="1"/>
  <c r="U2318" i="1"/>
  <c r="U2281" i="1"/>
  <c r="U2273" i="1"/>
  <c r="U2251" i="1"/>
  <c r="U2193" i="1"/>
  <c r="U2145" i="1"/>
  <c r="U2138" i="1"/>
  <c r="T2130" i="1"/>
  <c r="U2113" i="1"/>
  <c r="U2076" i="1"/>
  <c r="U2054" i="1"/>
  <c r="U1963" i="1"/>
  <c r="T1938" i="1"/>
  <c r="U1931" i="1"/>
  <c r="U1915" i="1"/>
  <c r="U1887" i="1"/>
  <c r="T1854" i="1"/>
  <c r="U1845" i="1"/>
  <c r="T1838" i="1"/>
  <c r="T1806" i="1"/>
  <c r="U1765" i="1"/>
  <c r="U1685" i="1"/>
  <c r="U1642" i="1"/>
  <c r="U1328" i="1"/>
  <c r="T1250" i="1"/>
  <c r="U1250" i="1"/>
  <c r="U1199" i="1"/>
  <c r="T1104" i="1"/>
  <c r="T1021" i="1"/>
  <c r="U1021" i="1"/>
  <c r="U977" i="1"/>
  <c r="T977" i="1"/>
  <c r="T910" i="1"/>
  <c r="U910" i="1"/>
  <c r="T899" i="1"/>
  <c r="U899" i="1"/>
  <c r="T863" i="1"/>
  <c r="U770" i="1"/>
  <c r="T751" i="1"/>
  <c r="T558" i="1"/>
  <c r="U558" i="1"/>
  <c r="U543" i="1"/>
  <c r="T508" i="1"/>
  <c r="T461" i="1"/>
  <c r="T434" i="1"/>
  <c r="U434" i="1"/>
  <c r="T382" i="1"/>
  <c r="T362" i="1"/>
  <c r="U362" i="1"/>
  <c r="U352" i="1"/>
  <c r="T166" i="1"/>
  <c r="T99" i="1"/>
  <c r="U2357" i="1"/>
  <c r="U2349" i="1"/>
  <c r="T2266" i="1"/>
  <c r="U2244" i="1"/>
  <c r="U2228" i="1"/>
  <c r="T2214" i="1"/>
  <c r="T2206" i="1"/>
  <c r="U2097" i="1"/>
  <c r="T2046" i="1"/>
  <c r="U2023" i="1"/>
  <c r="U2015" i="1"/>
  <c r="U2007" i="1"/>
  <c r="T1998" i="1"/>
  <c r="U1946" i="1"/>
  <c r="U1907" i="1"/>
  <c r="U1894" i="1"/>
  <c r="U1871" i="1"/>
  <c r="T1820" i="1"/>
  <c r="U1797" i="1"/>
  <c r="U1729" i="1"/>
  <c r="T1650" i="1"/>
  <c r="U1650" i="1"/>
  <c r="U1597" i="1"/>
  <c r="T1311" i="1"/>
  <c r="U1311" i="1"/>
  <c r="T1150" i="1"/>
  <c r="U1150" i="1"/>
  <c r="T1055" i="1"/>
  <c r="U1055" i="1"/>
  <c r="U844" i="1"/>
  <c r="T844" i="1"/>
  <c r="T797" i="1"/>
  <c r="U797" i="1"/>
  <c r="T681" i="1"/>
  <c r="U681" i="1"/>
  <c r="U405" i="1"/>
  <c r="T405" i="1"/>
  <c r="U333" i="1"/>
  <c r="T333" i="1"/>
  <c r="T186" i="1"/>
  <c r="U186" i="1"/>
  <c r="T156" i="1"/>
  <c r="U156" i="1"/>
  <c r="U109" i="1"/>
  <c r="T109" i="1"/>
  <c r="T2364" i="1"/>
  <c r="U2325" i="1"/>
  <c r="U2310" i="1"/>
  <c r="U2302" i="1"/>
  <c r="U2286" i="1"/>
  <c r="U2257" i="1"/>
  <c r="T2236" i="1"/>
  <c r="U2221" i="1"/>
  <c r="U2199" i="1"/>
  <c r="U2192" i="1"/>
  <c r="U2168" i="1"/>
  <c r="U2152" i="1"/>
  <c r="U2082" i="1"/>
  <c r="U2039" i="1"/>
  <c r="U1978" i="1"/>
  <c r="U1969" i="1"/>
  <c r="U1921" i="1"/>
  <c r="U1900" i="1"/>
  <c r="T1853" i="1"/>
  <c r="T1805" i="1"/>
  <c r="U1805" i="1"/>
  <c r="T1788" i="1"/>
  <c r="U1779" i="1"/>
  <c r="U1738" i="1"/>
  <c r="U1632" i="1"/>
  <c r="T1606" i="1"/>
  <c r="U1606" i="1"/>
  <c r="U1589" i="1"/>
  <c r="U1568" i="1"/>
  <c r="T1533" i="1"/>
  <c r="U1533" i="1"/>
  <c r="U1483" i="1"/>
  <c r="U1466" i="1"/>
  <c r="U1392" i="1"/>
  <c r="U1310" i="1"/>
  <c r="T1208" i="1"/>
  <c r="U1208" i="1"/>
  <c r="T1198" i="1"/>
  <c r="U1113" i="1"/>
  <c r="U1054" i="1"/>
  <c r="U1019" i="1"/>
  <c r="U769" i="1"/>
  <c r="T670" i="1"/>
  <c r="U670" i="1"/>
  <c r="U567" i="1"/>
  <c r="U542" i="1"/>
  <c r="T507" i="1"/>
  <c r="T499" i="1"/>
  <c r="T412" i="1"/>
  <c r="U412" i="1"/>
  <c r="T393" i="1"/>
  <c r="U393" i="1"/>
  <c r="U351" i="1"/>
  <c r="T175" i="1"/>
  <c r="T165" i="1"/>
  <c r="T90" i="1"/>
  <c r="U90" i="1"/>
  <c r="U2293" i="1"/>
  <c r="U2213" i="1"/>
  <c r="U2205" i="1"/>
  <c r="U2175" i="1"/>
  <c r="U2159" i="1"/>
  <c r="T2112" i="1"/>
  <c r="T2104" i="1"/>
  <c r="U1843" i="1"/>
  <c r="T1804" i="1"/>
  <c r="U1720" i="1"/>
  <c r="T1692" i="1"/>
  <c r="T1408" i="1"/>
  <c r="U1366" i="1"/>
  <c r="T1366" i="1"/>
  <c r="T1286" i="1"/>
  <c r="T1257" i="1"/>
  <c r="U1248" i="1"/>
  <c r="T1237" i="1"/>
  <c r="T1157" i="1"/>
  <c r="T1121" i="1"/>
  <c r="T1064" i="1"/>
  <c r="U1064" i="1"/>
  <c r="T1043" i="1"/>
  <c r="U1043" i="1"/>
  <c r="T896" i="1"/>
  <c r="U896" i="1"/>
  <c r="T805" i="1"/>
  <c r="T761" i="1"/>
  <c r="U761" i="1"/>
  <c r="T701" i="1"/>
  <c r="T528" i="1"/>
  <c r="U528" i="1"/>
  <c r="T402" i="1"/>
  <c r="U341" i="1"/>
  <c r="T341" i="1"/>
  <c r="U144" i="1"/>
  <c r="U1710" i="1"/>
  <c r="T1710" i="1"/>
  <c r="T1658" i="1"/>
  <c r="U1658" i="1"/>
  <c r="T1087" i="1"/>
  <c r="U1087" i="1"/>
  <c r="T1076" i="1"/>
  <c r="U1076" i="1"/>
  <c r="T331" i="1"/>
  <c r="U331" i="1"/>
  <c r="T239" i="1"/>
  <c r="U239" i="1"/>
  <c r="T154" i="1"/>
  <c r="U154" i="1"/>
  <c r="U1587" i="1"/>
  <c r="U1573" i="1"/>
  <c r="T1558" i="1"/>
  <c r="U1493" i="1"/>
  <c r="U1478" i="1"/>
  <c r="U1359" i="1"/>
  <c r="U1343" i="1"/>
  <c r="T1253" i="1"/>
  <c r="T872" i="1"/>
  <c r="U872" i="1"/>
  <c r="T767" i="1"/>
  <c r="U767" i="1"/>
  <c r="T722" i="1"/>
  <c r="U722" i="1"/>
  <c r="T561" i="1"/>
  <c r="U561" i="1"/>
  <c r="T471" i="1"/>
  <c r="U471" i="1"/>
  <c r="U349" i="1"/>
  <c r="T349" i="1"/>
  <c r="U133" i="1"/>
  <c r="T133" i="1"/>
  <c r="T31" i="1"/>
  <c r="U31" i="1"/>
  <c r="T656" i="1"/>
  <c r="U656" i="1"/>
  <c r="U525" i="1"/>
  <c r="T525" i="1"/>
  <c r="T358" i="1"/>
  <c r="U358" i="1"/>
  <c r="T123" i="1"/>
  <c r="U123" i="1"/>
  <c r="U1791" i="1"/>
  <c r="U1749" i="1"/>
  <c r="U1687" i="1"/>
  <c r="U1680" i="1"/>
  <c r="U1644" i="1"/>
  <c r="U1637" i="1"/>
  <c r="U1600" i="1"/>
  <c r="U1594" i="1"/>
  <c r="U1586" i="1"/>
  <c r="T1534" i="1"/>
  <c r="T1507" i="1"/>
  <c r="U1477" i="1"/>
  <c r="T1470" i="1"/>
  <c r="U1455" i="1"/>
  <c r="U1418" i="1"/>
  <c r="U1403" i="1"/>
  <c r="U1376" i="1"/>
  <c r="U1342" i="1"/>
  <c r="T1335" i="1"/>
  <c r="U1326" i="1"/>
  <c r="U1266" i="1"/>
  <c r="T1217" i="1"/>
  <c r="U1209" i="1"/>
  <c r="U1201" i="1"/>
  <c r="U1167" i="1"/>
  <c r="T1089" i="1"/>
  <c r="U1089" i="1"/>
  <c r="T1067" i="1"/>
  <c r="U1067" i="1"/>
  <c r="T1036" i="1"/>
  <c r="T918" i="1"/>
  <c r="U918" i="1"/>
  <c r="U757" i="1"/>
  <c r="T739" i="1"/>
  <c r="T704" i="1"/>
  <c r="U692" i="1"/>
  <c r="U655" i="1"/>
  <c r="U469" i="1"/>
  <c r="U366" i="1"/>
  <c r="T169" i="1"/>
  <c r="U169" i="1"/>
  <c r="T47" i="1"/>
  <c r="U47" i="1"/>
  <c r="U1798" i="1"/>
  <c r="U1784" i="1"/>
  <c r="U1776" i="1"/>
  <c r="U1770" i="1"/>
  <c r="U1756" i="1"/>
  <c r="U1708" i="1"/>
  <c r="U1701" i="1"/>
  <c r="U1693" i="1"/>
  <c r="U1629" i="1"/>
  <c r="U1622" i="1"/>
  <c r="U1615" i="1"/>
  <c r="U1579" i="1"/>
  <c r="U1563" i="1"/>
  <c r="U1491" i="1"/>
  <c r="U1462" i="1"/>
  <c r="T1446" i="1"/>
  <c r="U1395" i="1"/>
  <c r="U1383" i="1"/>
  <c r="U1312" i="1"/>
  <c r="T1282" i="1"/>
  <c r="U1258" i="1"/>
  <c r="U1224" i="1"/>
  <c r="U1158" i="1"/>
  <c r="U954" i="1"/>
  <c r="T890" i="1"/>
  <c r="T879" i="1"/>
  <c r="U840" i="1"/>
  <c r="T806" i="1"/>
  <c r="U789" i="1"/>
  <c r="T773" i="1"/>
  <c r="U773" i="1"/>
  <c r="U729" i="1"/>
  <c r="T619" i="1"/>
  <c r="U612" i="1"/>
  <c r="U603" i="1"/>
  <c r="U577" i="1"/>
  <c r="T496" i="1"/>
  <c r="U496" i="1"/>
  <c r="T449" i="1"/>
  <c r="U449" i="1"/>
  <c r="T431" i="1"/>
  <c r="U431" i="1"/>
  <c r="T311" i="1"/>
  <c r="U311" i="1"/>
  <c r="T1506" i="1"/>
  <c r="U1484" i="1"/>
  <c r="T1438" i="1"/>
  <c r="U1375" i="1"/>
  <c r="T1349" i="1"/>
  <c r="T1319" i="1"/>
  <c r="U1174" i="1"/>
  <c r="U1142" i="1"/>
  <c r="U1118" i="1"/>
  <c r="T1078" i="1"/>
  <c r="T1046" i="1"/>
  <c r="T858" i="1"/>
  <c r="T764" i="1"/>
  <c r="T683" i="1"/>
  <c r="T545" i="1"/>
  <c r="T523" i="1"/>
  <c r="T395" i="1"/>
  <c r="U395" i="1"/>
  <c r="T383" i="1"/>
  <c r="U383" i="1"/>
  <c r="T365" i="1"/>
  <c r="T346" i="1"/>
  <c r="T140" i="1"/>
  <c r="U140" i="1"/>
  <c r="U78" i="1"/>
  <c r="T37" i="1"/>
  <c r="T626" i="1"/>
  <c r="U626" i="1"/>
  <c r="T300" i="1"/>
  <c r="U300" i="1"/>
  <c r="T105" i="1"/>
  <c r="U105" i="1"/>
  <c r="U418" i="1"/>
  <c r="T1099" i="1"/>
  <c r="U1006" i="1"/>
  <c r="T988" i="1"/>
  <c r="U949" i="1"/>
  <c r="U926" i="1"/>
  <c r="T897" i="1"/>
  <c r="T881" i="1"/>
  <c r="U865" i="1"/>
  <c r="T857" i="1"/>
  <c r="U835" i="1"/>
  <c r="U821" i="1"/>
  <c r="U738" i="1"/>
  <c r="U723" i="1"/>
  <c r="U715" i="1"/>
  <c r="U679" i="1"/>
  <c r="T657" i="1"/>
  <c r="U634" i="1"/>
  <c r="U576" i="1"/>
  <c r="T401" i="1"/>
  <c r="U384" i="1"/>
  <c r="T309" i="1"/>
  <c r="T301" i="1"/>
  <c r="U250" i="1"/>
  <c r="U235" i="1"/>
  <c r="U199" i="1"/>
  <c r="U191" i="1"/>
  <c r="T161" i="1"/>
  <c r="U103" i="1"/>
  <c r="U95" i="1"/>
  <c r="T67" i="1"/>
  <c r="T5" i="1"/>
  <c r="U1082" i="1"/>
  <c r="U1065" i="1"/>
  <c r="T1040" i="1"/>
  <c r="U1022" i="1"/>
  <c r="U970" i="1"/>
  <c r="U963" i="1"/>
  <c r="U955" i="1"/>
  <c r="U942" i="1"/>
  <c r="U905" i="1"/>
  <c r="U841" i="1"/>
  <c r="T828" i="1"/>
  <c r="U814" i="1"/>
  <c r="U800" i="1"/>
  <c r="U778" i="1"/>
  <c r="U765" i="1"/>
  <c r="U702" i="1"/>
  <c r="U693" i="1"/>
  <c r="T671" i="1"/>
  <c r="T663" i="1"/>
  <c r="U649" i="1"/>
  <c r="U592" i="1"/>
  <c r="U256" i="1"/>
  <c r="T213" i="1"/>
  <c r="T205" i="1"/>
  <c r="T146" i="1"/>
  <c r="U110" i="1"/>
  <c r="T45" i="1"/>
  <c r="U11" i="1"/>
  <c r="U1098" i="1"/>
  <c r="T1049" i="1"/>
  <c r="U1013" i="1"/>
  <c r="U1005" i="1"/>
  <c r="T849" i="1"/>
  <c r="U752" i="1"/>
  <c r="U737" i="1"/>
  <c r="U730" i="1"/>
  <c r="T708" i="1"/>
  <c r="T66" i="1"/>
  <c r="T2767" i="1"/>
  <c r="U2767" i="1"/>
  <c r="T1827" i="1"/>
  <c r="U1827" i="1"/>
  <c r="T512" i="1"/>
  <c r="U512" i="1"/>
  <c r="T2883" i="1"/>
  <c r="U2883" i="1"/>
  <c r="U964" i="1"/>
  <c r="T964" i="1"/>
  <c r="T651" i="1"/>
  <c r="U651" i="1"/>
  <c r="T2417" i="1"/>
  <c r="U2417" i="1"/>
  <c r="T1989" i="1"/>
  <c r="U1989" i="1"/>
  <c r="T1645" i="1"/>
  <c r="U1645" i="1"/>
  <c r="T386" i="1"/>
  <c r="U386" i="1"/>
  <c r="T2410" i="1"/>
  <c r="U2410" i="1"/>
  <c r="T1609" i="1"/>
  <c r="U1609" i="1"/>
  <c r="T1350" i="1"/>
  <c r="U1350" i="1"/>
  <c r="T2037" i="1"/>
  <c r="U2037" i="1"/>
  <c r="T1543" i="1"/>
  <c r="U1543" i="1"/>
  <c r="T2771" i="1"/>
  <c r="U2771" i="1"/>
  <c r="T2726" i="1"/>
  <c r="U2706" i="1"/>
  <c r="T2679" i="1"/>
  <c r="U2626" i="1"/>
  <c r="T2581" i="1"/>
  <c r="U2581" i="1"/>
  <c r="T2567" i="1"/>
  <c r="T2353" i="1"/>
  <c r="U2353" i="1"/>
  <c r="T2332" i="1"/>
  <c r="T2220" i="1"/>
  <c r="T2092" i="1"/>
  <c r="U2059" i="1"/>
  <c r="T1864" i="1"/>
  <c r="U1864" i="1"/>
  <c r="T1848" i="1"/>
  <c r="U1848" i="1"/>
  <c r="T1782" i="1"/>
  <c r="T1723" i="1"/>
  <c r="U1723" i="1"/>
  <c r="U1714" i="1"/>
  <c r="T1635" i="1"/>
  <c r="T1571" i="1"/>
  <c r="U1571" i="1"/>
  <c r="T1500" i="1"/>
  <c r="T1442" i="1"/>
  <c r="U1442" i="1"/>
  <c r="T1422" i="1"/>
  <c r="T1401" i="1"/>
  <c r="U1401" i="1"/>
  <c r="T1372" i="1"/>
  <c r="T1365" i="1"/>
  <c r="T1348" i="1"/>
  <c r="U1348" i="1"/>
  <c r="T1281" i="1"/>
  <c r="U1281" i="1"/>
  <c r="T993" i="1"/>
  <c r="T777" i="1"/>
  <c r="U221" i="1"/>
  <c r="T221" i="1"/>
  <c r="T200" i="1"/>
  <c r="U200" i="1"/>
  <c r="T148" i="1"/>
  <c r="U148" i="1"/>
  <c r="T61" i="1"/>
  <c r="U13" i="1"/>
  <c r="T13" i="1"/>
  <c r="T2571" i="1"/>
  <c r="U2571" i="1"/>
  <c r="T1497" i="1"/>
  <c r="U1497" i="1"/>
  <c r="T481" i="1"/>
  <c r="U481" i="1"/>
  <c r="T2947" i="1"/>
  <c r="U2947" i="1"/>
  <c r="T2629" i="1"/>
  <c r="U2629" i="1"/>
  <c r="T2327" i="1"/>
  <c r="U2327" i="1"/>
  <c r="T1826" i="1"/>
  <c r="U1826" i="1"/>
  <c r="T1169" i="1"/>
  <c r="U1169" i="1"/>
  <c r="T578" i="1"/>
  <c r="U578" i="1"/>
  <c r="U2536" i="1"/>
  <c r="T2536" i="1"/>
  <c r="T2147" i="1"/>
  <c r="U2147" i="1"/>
  <c r="T1409" i="1"/>
  <c r="U1409" i="1"/>
  <c r="T2487" i="1"/>
  <c r="U2487" i="1"/>
  <c r="T1313" i="1"/>
  <c r="U1313" i="1"/>
  <c r="T635" i="1"/>
  <c r="U635" i="1"/>
  <c r="T8" i="1"/>
  <c r="U8" i="1"/>
  <c r="T1817" i="1"/>
  <c r="U1817" i="1"/>
  <c r="T1769" i="1"/>
  <c r="U1769" i="1"/>
  <c r="T694" i="1"/>
  <c r="U694" i="1"/>
  <c r="T2835" i="1"/>
  <c r="U2835" i="1"/>
  <c r="T1937" i="1"/>
  <c r="U1937" i="1"/>
  <c r="T1768" i="1"/>
  <c r="U1768" i="1"/>
  <c r="T1151" i="1"/>
  <c r="U1151" i="1"/>
  <c r="U149" i="1"/>
  <c r="T149" i="1"/>
  <c r="T2311" i="1"/>
  <c r="U2311" i="1"/>
  <c r="T2169" i="1"/>
  <c r="U2169" i="1"/>
  <c r="T2035" i="1"/>
  <c r="U2035" i="1"/>
  <c r="T1977" i="1"/>
  <c r="U1977" i="1"/>
  <c r="T1945" i="1"/>
  <c r="U1945" i="1"/>
  <c r="U1774" i="1"/>
  <c r="T1774" i="1"/>
  <c r="T1607" i="1"/>
  <c r="U1607" i="1"/>
  <c r="T1465" i="1"/>
  <c r="U1465" i="1"/>
  <c r="T1340" i="1"/>
  <c r="U1340" i="1"/>
  <c r="T1093" i="1"/>
  <c r="U1093" i="1"/>
  <c r="T1035" i="1"/>
  <c r="U1035" i="1"/>
  <c r="U1001" i="1"/>
  <c r="T1001" i="1"/>
  <c r="U940" i="1"/>
  <c r="T940" i="1"/>
  <c r="T791" i="1"/>
  <c r="U791" i="1"/>
  <c r="T518" i="1"/>
  <c r="U518" i="1"/>
  <c r="T228" i="1"/>
  <c r="U228" i="1"/>
  <c r="T68" i="1"/>
  <c r="U68" i="1"/>
  <c r="T1735" i="1"/>
  <c r="U1735" i="1"/>
  <c r="U381" i="1"/>
  <c r="T381" i="1"/>
  <c r="U2664" i="1"/>
  <c r="T2664" i="1"/>
  <c r="T2755" i="1"/>
  <c r="U2755" i="1"/>
  <c r="T2165" i="1"/>
  <c r="U2165" i="1"/>
  <c r="T1703" i="1"/>
  <c r="U1703" i="1"/>
  <c r="T1575" i="1"/>
  <c r="U1575" i="1"/>
  <c r="T1377" i="1"/>
  <c r="U1377" i="1"/>
  <c r="T629" i="1"/>
  <c r="U629" i="1"/>
  <c r="T2715" i="1"/>
  <c r="U2715" i="1"/>
  <c r="T1980" i="1"/>
  <c r="U1980" i="1"/>
  <c r="U1617" i="1"/>
  <c r="T1617" i="1"/>
  <c r="T1481" i="1"/>
  <c r="U1481" i="1"/>
  <c r="T1299" i="1"/>
  <c r="U1299" i="1"/>
  <c r="T1244" i="1"/>
  <c r="U1244" i="1"/>
  <c r="T746" i="1"/>
  <c r="U746" i="1"/>
  <c r="T2341" i="1"/>
  <c r="U2341" i="1"/>
  <c r="T1581" i="1"/>
  <c r="U1581" i="1"/>
  <c r="T1529" i="1"/>
  <c r="U1529" i="1"/>
  <c r="U1020" i="1"/>
  <c r="T1020" i="1"/>
  <c r="T56" i="1"/>
  <c r="U56" i="1"/>
  <c r="T2073" i="1"/>
  <c r="U2073" i="1"/>
  <c r="T2235" i="1"/>
  <c r="U2235" i="1"/>
  <c r="T1739" i="1"/>
  <c r="U1739" i="1"/>
  <c r="T1175" i="1"/>
  <c r="U1175" i="1"/>
  <c r="T82" i="1"/>
  <c r="U82" i="1"/>
  <c r="T2776" i="1"/>
  <c r="T2732" i="1"/>
  <c r="T2699" i="1"/>
  <c r="U2699" i="1"/>
  <c r="U2691" i="1"/>
  <c r="T2587" i="1"/>
  <c r="U2587" i="1"/>
  <c r="T2559" i="1"/>
  <c r="U2559" i="1"/>
  <c r="T2519" i="1"/>
  <c r="U2519" i="1"/>
  <c r="T2422" i="1"/>
  <c r="U2422" i="1"/>
  <c r="U2380" i="1"/>
  <c r="T2380" i="1"/>
  <c r="T2324" i="1"/>
  <c r="U2324" i="1"/>
  <c r="T2303" i="1"/>
  <c r="U2071" i="1"/>
  <c r="T2019" i="1"/>
  <c r="T1985" i="1"/>
  <c r="U1985" i="1"/>
  <c r="U1976" i="1"/>
  <c r="T1944" i="1"/>
  <c r="U1944" i="1"/>
  <c r="U1678" i="1"/>
  <c r="T1678" i="1"/>
  <c r="T1593" i="1"/>
  <c r="U1593" i="1"/>
  <c r="T1288" i="1"/>
  <c r="U1288" i="1"/>
  <c r="U1273" i="1"/>
  <c r="T1273" i="1"/>
  <c r="T903" i="1"/>
  <c r="U903" i="1"/>
  <c r="T783" i="1"/>
  <c r="U783" i="1"/>
  <c r="T552" i="1"/>
  <c r="U552" i="1"/>
  <c r="T486" i="1"/>
  <c r="U486" i="1"/>
  <c r="T40" i="1"/>
  <c r="U40" i="1"/>
  <c r="T2931" i="1"/>
  <c r="U2931" i="1"/>
  <c r="T2867" i="1"/>
  <c r="U2867" i="1"/>
  <c r="T2405" i="1"/>
  <c r="U2405" i="1"/>
  <c r="T2055" i="1"/>
  <c r="U2055" i="1"/>
  <c r="T1869" i="1"/>
  <c r="U1869" i="1"/>
  <c r="T1041" i="1"/>
  <c r="U1041" i="1"/>
  <c r="T167" i="1"/>
  <c r="U167" i="1"/>
  <c r="T2150" i="1"/>
  <c r="U2150" i="1"/>
  <c r="U2032" i="1"/>
  <c r="T2032" i="1"/>
  <c r="T2009" i="1"/>
  <c r="U2009" i="1"/>
  <c r="T859" i="1"/>
  <c r="U859" i="1"/>
  <c r="T2272" i="1"/>
  <c r="U2272" i="1"/>
  <c r="T2230" i="1"/>
  <c r="U2230" i="1"/>
  <c r="U1891" i="1"/>
  <c r="T1891" i="1"/>
  <c r="T1785" i="1"/>
  <c r="U1785" i="1"/>
  <c r="T2163" i="1"/>
  <c r="U2163" i="1"/>
  <c r="T1851" i="1"/>
  <c r="U1851" i="1"/>
  <c r="T1178" i="1"/>
  <c r="U1178" i="1"/>
  <c r="T1030" i="1"/>
  <c r="U1030" i="1"/>
  <c r="T289" i="1"/>
  <c r="U289" i="1"/>
  <c r="T36" i="1"/>
  <c r="U36" i="1"/>
  <c r="T2108" i="1"/>
  <c r="U2108" i="1"/>
  <c r="T1453" i="1"/>
  <c r="U1453" i="1"/>
  <c r="T1452" i="1"/>
  <c r="U1452" i="1"/>
  <c r="T2486" i="1"/>
  <c r="U2486" i="1"/>
  <c r="T1987" i="1"/>
  <c r="U1987" i="1"/>
  <c r="T2255" i="1"/>
  <c r="U2255" i="1"/>
  <c r="T1909" i="1"/>
  <c r="U1909" i="1"/>
  <c r="T1881" i="1"/>
  <c r="U1881" i="1"/>
  <c r="T1479" i="1"/>
  <c r="U1479" i="1"/>
  <c r="T1143" i="1"/>
  <c r="U1143" i="1"/>
  <c r="T2915" i="1"/>
  <c r="U2915" i="1"/>
  <c r="T2851" i="1"/>
  <c r="U2851" i="1"/>
  <c r="T2751" i="1"/>
  <c r="U2751" i="1"/>
  <c r="U2600" i="1"/>
  <c r="T2600" i="1"/>
  <c r="T2511" i="1"/>
  <c r="U2511" i="1"/>
  <c r="T2407" i="1"/>
  <c r="U2407" i="1"/>
  <c r="T2247" i="1"/>
  <c r="U2247" i="1"/>
  <c r="T2211" i="1"/>
  <c r="U2211" i="1"/>
  <c r="T2137" i="1"/>
  <c r="U2137" i="1"/>
  <c r="T2120" i="1"/>
  <c r="U2120" i="1"/>
  <c r="T1861" i="1"/>
  <c r="U1861" i="1"/>
  <c r="T1737" i="1"/>
  <c r="U1737" i="1"/>
  <c r="U1614" i="1"/>
  <c r="T1614" i="1"/>
  <c r="T1592" i="1"/>
  <c r="U1592" i="1"/>
  <c r="T1485" i="1"/>
  <c r="U1485" i="1"/>
  <c r="T1457" i="1"/>
  <c r="U1457" i="1"/>
  <c r="T983" i="1"/>
  <c r="U983" i="1"/>
  <c r="T902" i="1"/>
  <c r="U902" i="1"/>
  <c r="T470" i="1"/>
  <c r="U470" i="1"/>
  <c r="T2336" i="1"/>
  <c r="U2336" i="1"/>
  <c r="T1385" i="1"/>
  <c r="U1385" i="1"/>
  <c r="T564" i="1"/>
  <c r="U564" i="1"/>
  <c r="T360" i="1"/>
  <c r="U360" i="1"/>
  <c r="T2703" i="1"/>
  <c r="U2703" i="1"/>
  <c r="T2651" i="1"/>
  <c r="U2651" i="1"/>
  <c r="U1337" i="1"/>
  <c r="T1337" i="1"/>
  <c r="T1261" i="1"/>
  <c r="U1261" i="1"/>
  <c r="T958" i="1"/>
  <c r="U958" i="1"/>
  <c r="T1639" i="1"/>
  <c r="U1639" i="1"/>
  <c r="U2616" i="1"/>
  <c r="T2616" i="1"/>
  <c r="T2141" i="1"/>
  <c r="U2141" i="1"/>
  <c r="T1819" i="1"/>
  <c r="U1819" i="1"/>
  <c r="T2201" i="1"/>
  <c r="U2201" i="1"/>
  <c r="T2528" i="1"/>
  <c r="U2528" i="1"/>
  <c r="T2575" i="1"/>
  <c r="U2575" i="1"/>
  <c r="T2471" i="1"/>
  <c r="U2471" i="1"/>
  <c r="T2005" i="1"/>
  <c r="U2005" i="1"/>
  <c r="T1954" i="1"/>
  <c r="U1954" i="1"/>
  <c r="U2955" i="1"/>
  <c r="U2932" i="1"/>
  <c r="U2914" i="1"/>
  <c r="U2891" i="1"/>
  <c r="U2868" i="1"/>
  <c r="U2850" i="1"/>
  <c r="U2810" i="1"/>
  <c r="T2787" i="1"/>
  <c r="U2787" i="1"/>
  <c r="U2775" i="1"/>
  <c r="U2769" i="1"/>
  <c r="U2731" i="1"/>
  <c r="T2639" i="1"/>
  <c r="U2639" i="1"/>
  <c r="T2491" i="1"/>
  <c r="U2491" i="1"/>
  <c r="T2393" i="1"/>
  <c r="U2393" i="1"/>
  <c r="T2359" i="1"/>
  <c r="U2359" i="1"/>
  <c r="T2295" i="1"/>
  <c r="U2295" i="1"/>
  <c r="T2018" i="1"/>
  <c r="U2018" i="1"/>
  <c r="T1753" i="1"/>
  <c r="U1753" i="1"/>
  <c r="T1721" i="1"/>
  <c r="U1721" i="1"/>
  <c r="T1613" i="1"/>
  <c r="U1613" i="1"/>
  <c r="U1526" i="1"/>
  <c r="T1526" i="1"/>
  <c r="T1513" i="1"/>
  <c r="U1513" i="1"/>
  <c r="T1017" i="1"/>
  <c r="U1017" i="1"/>
  <c r="T544" i="1"/>
  <c r="U544" i="1"/>
  <c r="T263" i="1"/>
  <c r="U263" i="1"/>
  <c r="T212" i="1"/>
  <c r="U212" i="1"/>
  <c r="T145" i="1"/>
  <c r="U145" i="1"/>
  <c r="T2503" i="1"/>
  <c r="U2503" i="1"/>
  <c r="T2447" i="1"/>
  <c r="U2447" i="1"/>
  <c r="T1537" i="1"/>
  <c r="U1537" i="1"/>
  <c r="T2474" i="1"/>
  <c r="U2474" i="1"/>
  <c r="T616" i="1"/>
  <c r="U616" i="1"/>
  <c r="U2030" i="1"/>
  <c r="T2030" i="1"/>
  <c r="T276" i="1"/>
  <c r="U276" i="1"/>
  <c r="T2819" i="1"/>
  <c r="U2819" i="1"/>
  <c r="T1358" i="1"/>
  <c r="U1358" i="1"/>
  <c r="U2728" i="1"/>
  <c r="T2728" i="1"/>
  <c r="T2375" i="1"/>
  <c r="U2375" i="1"/>
  <c r="T1947" i="1"/>
  <c r="U1947" i="1"/>
  <c r="T1835" i="1"/>
  <c r="U1835" i="1"/>
  <c r="T680" i="1"/>
  <c r="U680" i="1"/>
  <c r="T2355" i="1"/>
  <c r="U2355" i="1"/>
  <c r="T2899" i="1"/>
  <c r="U2899" i="1"/>
  <c r="U2960" i="1"/>
  <c r="U2949" i="1"/>
  <c r="U2943" i="1"/>
  <c r="T2920" i="1"/>
  <c r="U2885" i="1"/>
  <c r="U2879" i="1"/>
  <c r="T2856" i="1"/>
  <c r="U2827" i="1"/>
  <c r="U2786" i="1"/>
  <c r="U2744" i="1"/>
  <c r="T2744" i="1"/>
  <c r="U2724" i="1"/>
  <c r="U2697" i="1"/>
  <c r="U2677" i="1"/>
  <c r="U2624" i="1"/>
  <c r="U2572" i="1"/>
  <c r="T2565" i="1"/>
  <c r="U2565" i="1"/>
  <c r="T2551" i="1"/>
  <c r="U2544" i="1"/>
  <c r="U2490" i="1"/>
  <c r="T2476" i="1"/>
  <c r="T2441" i="1"/>
  <c r="U2433" i="1"/>
  <c r="U2378" i="1"/>
  <c r="U2371" i="1"/>
  <c r="U2358" i="1"/>
  <c r="U2316" i="1"/>
  <c r="T2316" i="1"/>
  <c r="U2294" i="1"/>
  <c r="T2260" i="1"/>
  <c r="U2260" i="1"/>
  <c r="T2218" i="1"/>
  <c r="U2218" i="1"/>
  <c r="U2189" i="1"/>
  <c r="T2083" i="1"/>
  <c r="T2048" i="1"/>
  <c r="U2048" i="1"/>
  <c r="T1993" i="1"/>
  <c r="U1993" i="1"/>
  <c r="U1859" i="1"/>
  <c r="U1598" i="1"/>
  <c r="T1598" i="1"/>
  <c r="T1532" i="1"/>
  <c r="T1505" i="1"/>
  <c r="U1505" i="1"/>
  <c r="T1475" i="1"/>
  <c r="U1469" i="1"/>
  <c r="U1463" i="1"/>
  <c r="U1420" i="1"/>
  <c r="U1100" i="1"/>
  <c r="T1100" i="1"/>
  <c r="T1008" i="1"/>
  <c r="U1008" i="1"/>
  <c r="T999" i="1"/>
  <c r="U999" i="1"/>
  <c r="T974" i="1"/>
  <c r="T804" i="1"/>
  <c r="U804" i="1"/>
  <c r="T460" i="1"/>
  <c r="U460" i="1"/>
  <c r="T422" i="1"/>
  <c r="U422" i="1"/>
  <c r="T413" i="1"/>
  <c r="U262" i="1"/>
  <c r="U102" i="1"/>
  <c r="T102" i="1"/>
  <c r="T2025" i="1"/>
  <c r="U2025" i="1"/>
  <c r="T2803" i="1"/>
  <c r="U2803" i="1"/>
  <c r="T2623" i="1"/>
  <c r="U2623" i="1"/>
  <c r="T2329" i="1"/>
  <c r="U2329" i="1"/>
  <c r="T2231" i="1"/>
  <c r="U2231" i="1"/>
  <c r="T2024" i="1"/>
  <c r="U2024" i="1"/>
  <c r="T1829" i="1"/>
  <c r="U1829" i="1"/>
  <c r="T1538" i="1"/>
  <c r="U1538" i="1"/>
  <c r="U428" i="1"/>
  <c r="T428" i="1"/>
  <c r="T2516" i="1"/>
  <c r="U2516" i="1"/>
  <c r="T2439" i="1"/>
  <c r="U2439" i="1"/>
  <c r="T2117" i="1"/>
  <c r="U2117" i="1"/>
  <c r="T1014" i="1"/>
  <c r="U1014" i="1"/>
  <c r="U389" i="1"/>
  <c r="T389" i="1"/>
  <c r="T1971" i="1"/>
  <c r="U1971" i="1"/>
  <c r="U1276" i="1"/>
  <c r="T1276" i="1"/>
  <c r="T2687" i="1"/>
  <c r="U2687" i="1"/>
  <c r="T2299" i="1"/>
  <c r="U2299" i="1"/>
  <c r="T1725" i="1"/>
  <c r="U1725" i="1"/>
  <c r="T2291" i="1"/>
  <c r="U2291" i="1"/>
  <c r="T1979" i="1"/>
  <c r="U1979" i="1"/>
  <c r="T1741" i="1"/>
  <c r="U1741" i="1"/>
  <c r="T1062" i="1"/>
  <c r="U1062" i="1"/>
  <c r="T2263" i="1"/>
  <c r="U2263" i="1"/>
  <c r="T1651" i="1"/>
  <c r="U1651" i="1"/>
  <c r="T703" i="1"/>
  <c r="U703" i="1"/>
  <c r="T2693" i="1"/>
  <c r="U2693" i="1"/>
  <c r="T2177" i="1"/>
  <c r="U2177" i="1"/>
  <c r="U1873" i="1"/>
  <c r="T1873" i="1"/>
  <c r="T2792" i="1"/>
  <c r="T2743" i="1"/>
  <c r="T2645" i="1"/>
  <c r="U2645" i="1"/>
  <c r="T2631" i="1"/>
  <c r="T2598" i="1"/>
  <c r="U2578" i="1"/>
  <c r="U2259" i="1"/>
  <c r="T2252" i="1"/>
  <c r="U2103" i="1"/>
  <c r="T2041" i="1"/>
  <c r="U2041" i="1"/>
  <c r="T1959" i="1"/>
  <c r="U1959" i="1"/>
  <c r="T1934" i="1"/>
  <c r="T1913" i="1"/>
  <c r="U1913" i="1"/>
  <c r="T1885" i="1"/>
  <c r="U1885" i="1"/>
  <c r="T1641" i="1"/>
  <c r="U1641" i="1"/>
  <c r="T1561" i="1"/>
  <c r="U1561" i="1"/>
  <c r="T1433" i="1"/>
  <c r="U1433" i="1"/>
  <c r="T1316" i="1"/>
  <c r="U1316" i="1"/>
  <c r="T1182" i="1"/>
  <c r="U1182" i="1"/>
  <c r="U876" i="1"/>
  <c r="T876" i="1"/>
  <c r="T868" i="1"/>
  <c r="U868" i="1"/>
  <c r="T860" i="1"/>
  <c r="T565" i="1"/>
  <c r="U565" i="1"/>
  <c r="T248" i="1"/>
  <c r="U248" i="1"/>
  <c r="T108" i="1"/>
  <c r="T2153" i="1"/>
  <c r="U2153" i="1"/>
  <c r="T1991" i="1"/>
  <c r="U1991" i="1"/>
  <c r="T1831" i="1"/>
  <c r="U1831" i="1"/>
  <c r="T1666" i="1"/>
  <c r="U1666" i="1"/>
  <c r="T1300" i="1"/>
  <c r="U1300" i="1"/>
  <c r="T990" i="1"/>
  <c r="U990" i="1"/>
  <c r="T798" i="1"/>
  <c r="U798" i="1"/>
  <c r="T336" i="1"/>
  <c r="U336" i="1"/>
  <c r="U269" i="1"/>
  <c r="T269" i="1"/>
  <c r="T88" i="1"/>
  <c r="U88" i="1"/>
  <c r="T20" i="1"/>
  <c r="U20" i="1"/>
  <c r="U2722" i="1"/>
  <c r="U2594" i="1"/>
  <c r="T2524" i="1"/>
  <c r="T2343" i="1"/>
  <c r="U2343" i="1"/>
  <c r="T2268" i="1"/>
  <c r="U2243" i="1"/>
  <c r="U2179" i="1"/>
  <c r="T2089" i="1"/>
  <c r="U2089" i="1"/>
  <c r="T1997" i="1"/>
  <c r="U1997" i="1"/>
  <c r="T1837" i="1"/>
  <c r="U1837" i="1"/>
  <c r="T1794" i="1"/>
  <c r="U1794" i="1"/>
  <c r="U1781" i="1"/>
  <c r="T1742" i="1"/>
  <c r="U1733" i="1"/>
  <c r="T1672" i="1"/>
  <c r="T1364" i="1"/>
  <c r="U1364" i="1"/>
  <c r="T1268" i="1"/>
  <c r="U1268" i="1"/>
  <c r="T1240" i="1"/>
  <c r="U1240" i="1"/>
  <c r="T1191" i="1"/>
  <c r="U1191" i="1"/>
  <c r="T1134" i="1"/>
  <c r="U1134" i="1"/>
  <c r="T928" i="1"/>
  <c r="U928" i="1"/>
  <c r="T907" i="1"/>
  <c r="U907" i="1"/>
  <c r="T775" i="1"/>
  <c r="U775" i="1"/>
  <c r="T720" i="1"/>
  <c r="U720" i="1"/>
  <c r="U700" i="1"/>
  <c r="T700" i="1"/>
  <c r="U396" i="1"/>
  <c r="T396" i="1"/>
  <c r="T388" i="1"/>
  <c r="U388" i="1"/>
  <c r="T2455" i="1"/>
  <c r="U2455" i="1"/>
  <c r="T1698" i="1"/>
  <c r="U1698" i="1"/>
  <c r="T1239" i="1"/>
  <c r="U1239" i="1"/>
  <c r="T1214" i="1"/>
  <c r="U1214" i="1"/>
  <c r="T874" i="1"/>
  <c r="U874" i="1"/>
  <c r="T810" i="1"/>
  <c r="U810" i="1"/>
  <c r="U583" i="1"/>
  <c r="T583" i="1"/>
  <c r="T504" i="1"/>
  <c r="U504" i="1"/>
  <c r="T2423" i="1"/>
  <c r="U2423" i="1"/>
  <c r="T2217" i="1"/>
  <c r="U2217" i="1"/>
  <c r="T2121" i="1"/>
  <c r="U2121" i="1"/>
  <c r="T2056" i="1"/>
  <c r="U2056" i="1"/>
  <c r="T1863" i="1"/>
  <c r="U1863" i="1"/>
  <c r="T1849" i="1"/>
  <c r="U1849" i="1"/>
  <c r="T1570" i="1"/>
  <c r="U1570" i="1"/>
  <c r="T1410" i="1"/>
  <c r="U1410" i="1"/>
  <c r="T1077" i="1"/>
  <c r="U1077" i="1"/>
  <c r="T986" i="1"/>
  <c r="U986" i="1"/>
  <c r="T816" i="1"/>
  <c r="U816" i="1"/>
  <c r="T566" i="1"/>
  <c r="U566" i="1"/>
  <c r="U2738" i="1"/>
  <c r="U2674" i="1"/>
  <c r="U2610" i="1"/>
  <c r="U2546" i="1"/>
  <c r="T2460" i="1"/>
  <c r="U2435" i="1"/>
  <c r="T2185" i="1"/>
  <c r="U2185" i="1"/>
  <c r="T2003" i="1"/>
  <c r="U2003" i="1"/>
  <c r="T1950" i="1"/>
  <c r="T1916" i="1"/>
  <c r="T1897" i="1"/>
  <c r="U1897" i="1"/>
  <c r="U1877" i="1"/>
  <c r="T1657" i="1"/>
  <c r="U1657" i="1"/>
  <c r="T1625" i="1"/>
  <c r="U1625" i="1"/>
  <c r="T1304" i="1"/>
  <c r="U1304" i="1"/>
  <c r="T934" i="1"/>
  <c r="U934" i="1"/>
  <c r="T880" i="1"/>
  <c r="U880" i="1"/>
  <c r="T727" i="1"/>
  <c r="U727" i="1"/>
  <c r="T674" i="1"/>
  <c r="U674" i="1"/>
  <c r="U653" i="1"/>
  <c r="T653" i="1"/>
  <c r="U610" i="1"/>
  <c r="T610" i="1"/>
  <c r="T596" i="1"/>
  <c r="U596" i="1"/>
  <c r="T532" i="1"/>
  <c r="U532" i="1"/>
  <c r="T2391" i="1"/>
  <c r="U2391" i="1"/>
  <c r="T2135" i="1"/>
  <c r="U2135" i="1"/>
  <c r="U2062" i="1"/>
  <c r="T2062" i="1"/>
  <c r="T1973" i="1"/>
  <c r="U1973" i="1"/>
  <c r="T1965" i="1"/>
  <c r="U1965" i="1"/>
  <c r="T1922" i="1"/>
  <c r="U1922" i="1"/>
  <c r="T1236" i="1"/>
  <c r="U1236" i="1"/>
  <c r="T1211" i="1"/>
  <c r="U1211" i="1"/>
  <c r="T1163" i="1"/>
  <c r="U1163" i="1"/>
  <c r="T711" i="1"/>
  <c r="U711" i="1"/>
  <c r="T623" i="1"/>
  <c r="U623" i="1"/>
  <c r="T572" i="1"/>
  <c r="U572" i="1"/>
  <c r="T1961" i="1"/>
  <c r="U1961" i="1"/>
  <c r="T1833" i="1"/>
  <c r="U1833" i="1"/>
  <c r="T1705" i="1"/>
  <c r="U1705" i="1"/>
  <c r="T1577" i="1"/>
  <c r="U1577" i="1"/>
  <c r="T1449" i="1"/>
  <c r="U1449" i="1"/>
  <c r="T822" i="1"/>
  <c r="U822" i="1"/>
  <c r="T492" i="1"/>
  <c r="U492" i="1"/>
  <c r="T1368" i="1"/>
  <c r="U1368" i="1"/>
  <c r="T1325" i="1"/>
  <c r="U1325" i="1"/>
  <c r="T1223" i="1"/>
  <c r="U1223" i="1"/>
  <c r="U2530" i="1"/>
  <c r="U2514" i="1"/>
  <c r="U2498" i="1"/>
  <c r="U2482" i="1"/>
  <c r="U2466" i="1"/>
  <c r="U2450" i="1"/>
  <c r="U2434" i="1"/>
  <c r="U2418" i="1"/>
  <c r="U2402" i="1"/>
  <c r="U2386" i="1"/>
  <c r="U2370" i="1"/>
  <c r="U2354" i="1"/>
  <c r="U2338" i="1"/>
  <c r="U2322" i="1"/>
  <c r="U2306" i="1"/>
  <c r="U2290" i="1"/>
  <c r="U2274" i="1"/>
  <c r="U2258" i="1"/>
  <c r="U2242" i="1"/>
  <c r="U2226" i="1"/>
  <c r="U2184" i="1"/>
  <c r="T2057" i="1"/>
  <c r="U2057" i="1"/>
  <c r="U2008" i="1"/>
  <c r="U1953" i="1"/>
  <c r="U1868" i="1"/>
  <c r="U1862" i="1"/>
  <c r="U1825" i="1"/>
  <c r="U1752" i="1"/>
  <c r="U1740" i="1"/>
  <c r="U1734" i="1"/>
  <c r="U1697" i="1"/>
  <c r="U1624" i="1"/>
  <c r="U1569" i="1"/>
  <c r="U1373" i="1"/>
  <c r="T1331" i="1"/>
  <c r="U1331" i="1"/>
  <c r="U1298" i="1"/>
  <c r="U1251" i="1"/>
  <c r="U1238" i="1"/>
  <c r="U1230" i="1"/>
  <c r="U1177" i="1"/>
  <c r="U1140" i="1"/>
  <c r="T1094" i="1"/>
  <c r="U1094" i="1"/>
  <c r="T1071" i="1"/>
  <c r="U1071" i="1"/>
  <c r="T1063" i="1"/>
  <c r="U1063" i="1"/>
  <c r="T987" i="1"/>
  <c r="U987" i="1"/>
  <c r="U945" i="1"/>
  <c r="U939" i="1"/>
  <c r="U933" i="1"/>
  <c r="U901" i="1"/>
  <c r="U747" i="1"/>
  <c r="T747" i="1"/>
  <c r="U726" i="1"/>
  <c r="U699" i="1"/>
  <c r="T2190" i="1"/>
  <c r="T2105" i="1"/>
  <c r="U2105" i="1"/>
  <c r="U1941" i="1"/>
  <c r="T1929" i="1"/>
  <c r="U1929" i="1"/>
  <c r="T1886" i="1"/>
  <c r="U1813" i="1"/>
  <c r="T1801" i="1"/>
  <c r="U1801" i="1"/>
  <c r="T1758" i="1"/>
  <c r="T1673" i="1"/>
  <c r="U1673" i="1"/>
  <c r="T1630" i="1"/>
  <c r="T1545" i="1"/>
  <c r="U1545" i="1"/>
  <c r="T1502" i="1"/>
  <c r="T1417" i="1"/>
  <c r="U1417" i="1"/>
  <c r="T1147" i="1"/>
  <c r="U1147" i="1"/>
  <c r="T1079" i="1"/>
  <c r="U1079" i="1"/>
  <c r="T971" i="1"/>
  <c r="T785" i="1"/>
  <c r="U785" i="1"/>
  <c r="T466" i="1"/>
  <c r="U437" i="1"/>
  <c r="T437" i="1"/>
  <c r="T408" i="1"/>
  <c r="U408" i="1"/>
  <c r="U400" i="1"/>
  <c r="T1102" i="1"/>
  <c r="U1102" i="1"/>
  <c r="T951" i="1"/>
  <c r="U951" i="1"/>
  <c r="T759" i="1"/>
  <c r="U759" i="1"/>
  <c r="T520" i="1"/>
  <c r="U520" i="1"/>
  <c r="T436" i="1"/>
  <c r="U436" i="1"/>
  <c r="U1363" i="1"/>
  <c r="U1357" i="1"/>
  <c r="U1345" i="1"/>
  <c r="T1229" i="1"/>
  <c r="U1229" i="1"/>
  <c r="U1125" i="1"/>
  <c r="U1025" i="1"/>
  <c r="U982" i="1"/>
  <c r="T886" i="1"/>
  <c r="U886" i="1"/>
  <c r="U793" i="1"/>
  <c r="U698" i="1"/>
  <c r="U501" i="1"/>
  <c r="T501" i="1"/>
  <c r="T488" i="1"/>
  <c r="U488" i="1"/>
  <c r="T296" i="1"/>
  <c r="U296" i="1"/>
  <c r="U274" i="1"/>
  <c r="T260" i="1"/>
  <c r="U260" i="1"/>
  <c r="T232" i="1"/>
  <c r="U232" i="1"/>
  <c r="U173" i="1"/>
  <c r="T173" i="1"/>
  <c r="T152" i="1"/>
  <c r="U152" i="1"/>
  <c r="T128" i="1"/>
  <c r="U128" i="1"/>
  <c r="U1296" i="1"/>
  <c r="T1284" i="1"/>
  <c r="U1284" i="1"/>
  <c r="T1228" i="1"/>
  <c r="T1159" i="1"/>
  <c r="U1159" i="1"/>
  <c r="T1047" i="1"/>
  <c r="U1047" i="1"/>
  <c r="T1039" i="1"/>
  <c r="U1039" i="1"/>
  <c r="T1004" i="1"/>
  <c r="T956" i="1"/>
  <c r="T871" i="1"/>
  <c r="U871" i="1"/>
  <c r="T843" i="1"/>
  <c r="T669" i="1"/>
  <c r="T641" i="1"/>
  <c r="U641" i="1"/>
  <c r="T500" i="1"/>
  <c r="U500" i="1"/>
  <c r="T420" i="1"/>
  <c r="U420" i="1"/>
  <c r="T348" i="1"/>
  <c r="U348" i="1"/>
  <c r="T340" i="1"/>
  <c r="U340" i="1"/>
  <c r="T310" i="1"/>
  <c r="U310" i="1"/>
  <c r="T180" i="1"/>
  <c r="U180" i="1"/>
  <c r="T135" i="1"/>
  <c r="T100" i="1"/>
  <c r="U100" i="1"/>
  <c r="T996" i="1"/>
  <c r="U996" i="1"/>
  <c r="U892" i="1"/>
  <c r="T892" i="1"/>
  <c r="T676" i="1"/>
  <c r="U676" i="1"/>
  <c r="T194" i="1"/>
  <c r="U194" i="1"/>
  <c r="U2212" i="1"/>
  <c r="U2196" i="1"/>
  <c r="U2180" i="1"/>
  <c r="U2164" i="1"/>
  <c r="U2148" i="1"/>
  <c r="U2132" i="1"/>
  <c r="U2116" i="1"/>
  <c r="U2084" i="1"/>
  <c r="U2068" i="1"/>
  <c r="U2052" i="1"/>
  <c r="U2036" i="1"/>
  <c r="U2020" i="1"/>
  <c r="U2004" i="1"/>
  <c r="U1988" i="1"/>
  <c r="U1972" i="1"/>
  <c r="U1956" i="1"/>
  <c r="U1940" i="1"/>
  <c r="U1924" i="1"/>
  <c r="U1908" i="1"/>
  <c r="U1892" i="1"/>
  <c r="U1860" i="1"/>
  <c r="U1844" i="1"/>
  <c r="U1828" i="1"/>
  <c r="U1812" i="1"/>
  <c r="U1796" i="1"/>
  <c r="U1780" i="1"/>
  <c r="U1764" i="1"/>
  <c r="U1748" i="1"/>
  <c r="U1732" i="1"/>
  <c r="U1716" i="1"/>
  <c r="U1700" i="1"/>
  <c r="U1684" i="1"/>
  <c r="U1668" i="1"/>
  <c r="U1652" i="1"/>
  <c r="U1636" i="1"/>
  <c r="U1620" i="1"/>
  <c r="U1604" i="1"/>
  <c r="U1572" i="1"/>
  <c r="U1556" i="1"/>
  <c r="U1540" i="1"/>
  <c r="U1524" i="1"/>
  <c r="U1508" i="1"/>
  <c r="U1492" i="1"/>
  <c r="U1476" i="1"/>
  <c r="U1460" i="1"/>
  <c r="U1444" i="1"/>
  <c r="U1428" i="1"/>
  <c r="U1412" i="1"/>
  <c r="U1380" i="1"/>
  <c r="U1362" i="1"/>
  <c r="U1356" i="1"/>
  <c r="T1332" i="1"/>
  <c r="U1332" i="1"/>
  <c r="U1271" i="1"/>
  <c r="U1246" i="1"/>
  <c r="U1234" i="1"/>
  <c r="U1227" i="1"/>
  <c r="T1207" i="1"/>
  <c r="U1207" i="1"/>
  <c r="U1137" i="1"/>
  <c r="U1124" i="1"/>
  <c r="T1111" i="1"/>
  <c r="U1111" i="1"/>
  <c r="T1103" i="1"/>
  <c r="U1103" i="1"/>
  <c r="T1095" i="1"/>
  <c r="U1095" i="1"/>
  <c r="T1031" i="1"/>
  <c r="U1031" i="1"/>
  <c r="U1024" i="1"/>
  <c r="U981" i="1"/>
  <c r="U891" i="1"/>
  <c r="U842" i="1"/>
  <c r="T823" i="1"/>
  <c r="U823" i="1"/>
  <c r="U721" i="1"/>
  <c r="U668" i="1"/>
  <c r="T456" i="1"/>
  <c r="U456" i="1"/>
  <c r="T316" i="1"/>
  <c r="U316" i="1"/>
  <c r="T1289" i="1"/>
  <c r="U1206" i="1"/>
  <c r="T1164" i="1"/>
  <c r="T1045" i="1"/>
  <c r="U1045" i="1"/>
  <c r="T862" i="1"/>
  <c r="U862" i="1"/>
  <c r="T855" i="1"/>
  <c r="U855" i="1"/>
  <c r="T741" i="1"/>
  <c r="T647" i="1"/>
  <c r="U647" i="1"/>
  <c r="T513" i="1"/>
  <c r="T308" i="1"/>
  <c r="U308" i="1"/>
  <c r="T120" i="1"/>
  <c r="U120" i="1"/>
  <c r="T1252" i="1"/>
  <c r="U1252" i="1"/>
  <c r="T1002" i="1"/>
  <c r="U1002" i="1"/>
  <c r="T682" i="1"/>
  <c r="U682" i="1"/>
  <c r="T280" i="1"/>
  <c r="U280" i="1"/>
  <c r="T967" i="1"/>
  <c r="U967" i="1"/>
  <c r="T924" i="1"/>
  <c r="T839" i="1"/>
  <c r="U839" i="1"/>
  <c r="T796" i="1"/>
  <c r="T743" i="1"/>
  <c r="U743" i="1"/>
  <c r="T689" i="1"/>
  <c r="T632" i="1"/>
  <c r="U632" i="1"/>
  <c r="T476" i="1"/>
  <c r="U476" i="1"/>
  <c r="T343" i="1"/>
  <c r="U272" i="1"/>
  <c r="T72" i="1"/>
  <c r="U72" i="1"/>
  <c r="T52" i="1"/>
  <c r="U52" i="1"/>
  <c r="U357" i="1"/>
  <c r="T357" i="1"/>
  <c r="T1015" i="1"/>
  <c r="U1015" i="1"/>
  <c r="T887" i="1"/>
  <c r="U887" i="1"/>
  <c r="T695" i="1"/>
  <c r="U695" i="1"/>
  <c r="T536" i="1"/>
  <c r="U536" i="1"/>
  <c r="T482" i="1"/>
  <c r="U482" i="1"/>
  <c r="T468" i="1"/>
  <c r="U468" i="1"/>
  <c r="T356" i="1"/>
  <c r="U356" i="1"/>
  <c r="T168" i="1"/>
  <c r="U168" i="1"/>
  <c r="T664" i="1"/>
  <c r="U664" i="1"/>
  <c r="T604" i="1"/>
  <c r="T584" i="1"/>
  <c r="U584" i="1"/>
  <c r="T440" i="1"/>
  <c r="U440" i="1"/>
  <c r="T390" i="1"/>
  <c r="T328" i="1"/>
  <c r="U328" i="1"/>
  <c r="U320" i="1"/>
  <c r="T292" i="1"/>
  <c r="U292" i="1"/>
  <c r="T242" i="1"/>
  <c r="U242" i="1"/>
  <c r="T229" i="1"/>
  <c r="U208" i="1"/>
  <c r="T181" i="1"/>
  <c r="T132" i="1"/>
  <c r="U132" i="1"/>
  <c r="T935" i="1"/>
  <c r="U935" i="1"/>
  <c r="T807" i="1"/>
  <c r="U807" i="1"/>
  <c r="T376" i="1"/>
  <c r="U376" i="1"/>
  <c r="T691" i="1"/>
  <c r="T568" i="1"/>
  <c r="U568" i="1"/>
  <c r="T509" i="1"/>
  <c r="T445" i="1"/>
  <c r="T312" i="1"/>
  <c r="U312" i="1"/>
  <c r="T164" i="1"/>
  <c r="U164" i="1"/>
  <c r="T600" i="1"/>
  <c r="U600" i="1"/>
  <c r="T484" i="1"/>
  <c r="U484" i="1"/>
  <c r="T452" i="1"/>
  <c r="U452" i="1"/>
  <c r="T392" i="1"/>
  <c r="U392" i="1"/>
  <c r="T372" i="1"/>
  <c r="U372" i="1"/>
  <c r="T184" i="1"/>
  <c r="U184" i="1"/>
  <c r="T104" i="1"/>
  <c r="U104" i="1"/>
  <c r="T84" i="1"/>
  <c r="U84" i="1"/>
  <c r="U1213" i="1"/>
  <c r="U1197" i="1"/>
  <c r="U1181" i="1"/>
  <c r="U1165" i="1"/>
  <c r="U1149" i="1"/>
  <c r="U1133" i="1"/>
  <c r="U1101" i="1"/>
  <c r="U1085" i="1"/>
  <c r="U1069" i="1"/>
  <c r="U1053" i="1"/>
  <c r="T580" i="1"/>
  <c r="U580" i="1"/>
  <c r="T244" i="1"/>
  <c r="U244" i="1"/>
  <c r="U1218" i="1"/>
  <c r="U1202" i="1"/>
  <c r="U1186" i="1"/>
  <c r="U1170" i="1"/>
  <c r="U1154" i="1"/>
  <c r="U1138" i="1"/>
  <c r="U1122" i="1"/>
  <c r="U1106" i="1"/>
  <c r="U1090" i="1"/>
  <c r="U1074" i="1"/>
  <c r="U1058" i="1"/>
  <c r="U1042" i="1"/>
  <c r="U1010" i="1"/>
  <c r="U994" i="1"/>
  <c r="U978" i="1"/>
  <c r="U962" i="1"/>
  <c r="U946" i="1"/>
  <c r="U930" i="1"/>
  <c r="U914" i="1"/>
  <c r="U898" i="1"/>
  <c r="U866" i="1"/>
  <c r="U850" i="1"/>
  <c r="U834" i="1"/>
  <c r="U818" i="1"/>
  <c r="U802" i="1"/>
  <c r="T648" i="1"/>
  <c r="U648" i="1"/>
  <c r="T324" i="1"/>
  <c r="U324" i="1"/>
  <c r="T264" i="1"/>
  <c r="U264" i="1"/>
  <c r="T116" i="1"/>
  <c r="U116" i="1"/>
  <c r="T424" i="1"/>
  <c r="U424" i="1"/>
  <c r="T344" i="1"/>
  <c r="U344" i="1"/>
  <c r="T196" i="1"/>
  <c r="U196" i="1"/>
  <c r="T24" i="1"/>
  <c r="U24" i="1"/>
  <c r="T4" i="1"/>
  <c r="U4" i="1"/>
  <c r="T216" i="1"/>
  <c r="U216" i="1"/>
  <c r="U675" i="1"/>
  <c r="U659" i="1"/>
  <c r="U643" i="1"/>
  <c r="U627" i="1"/>
  <c r="U611" i="1"/>
  <c r="U595" i="1"/>
  <c r="U579" i="1"/>
  <c r="U563" i="1"/>
  <c r="U547" i="1"/>
  <c r="U531" i="1"/>
  <c r="U515" i="1"/>
  <c r="U467" i="1"/>
  <c r="U451" i="1"/>
  <c r="U435" i="1"/>
  <c r="U419" i="1"/>
  <c r="U403" i="1"/>
  <c r="U387" i="1"/>
  <c r="U355" i="1"/>
  <c r="U339" i="1"/>
  <c r="U323" i="1"/>
  <c r="U307" i="1"/>
  <c r="U291" i="1"/>
  <c r="U275" i="1"/>
  <c r="U259" i="1"/>
  <c r="U243" i="1"/>
  <c r="U227" i="1"/>
  <c r="U211" i="1"/>
  <c r="U195" i="1"/>
  <c r="U179" i="1"/>
  <c r="U163" i="1"/>
  <c r="U147" i="1"/>
  <c r="U131" i="1"/>
  <c r="U3" i="1"/>
  <c r="H2977" i="1"/>
  <c r="O2977" i="1"/>
  <c r="Q2977" i="1"/>
  <c r="R2977" i="1"/>
  <c r="G2977" i="1"/>
  <c r="P2977" i="1"/>
  <c r="I2977" i="1"/>
  <c r="M2977" i="1"/>
  <c r="N2977" i="1"/>
  <c r="J2977" i="1"/>
  <c r="U884" i="1" l="1"/>
  <c r="U2576" i="1"/>
  <c r="T1715" i="1"/>
  <c r="T1161" i="1"/>
  <c r="T1576" i="1"/>
  <c r="T1196" i="1"/>
  <c r="U371" i="1"/>
  <c r="U2918" i="1"/>
  <c r="U1867" i="1"/>
  <c r="T1274" i="1"/>
  <c r="U2745" i="1"/>
  <c r="U2844" i="1"/>
  <c r="U2123" i="1"/>
  <c r="T923" i="1"/>
  <c r="U966" i="1"/>
  <c r="U1957" i="1"/>
  <c r="T2876" i="1"/>
  <c r="T2552" i="1"/>
  <c r="U1865" i="1"/>
  <c r="U1272" i="1"/>
  <c r="U1233" i="1"/>
  <c r="T1387" i="1"/>
  <c r="T1549" i="1"/>
  <c r="U2666" i="1"/>
  <c r="U809" i="1"/>
  <c r="T1264" i="1"/>
  <c r="U2908" i="1"/>
  <c r="U2944" i="1"/>
  <c r="U1983" i="1"/>
  <c r="T1447" i="1"/>
  <c r="T2604" i="1"/>
  <c r="U2782" i="1"/>
  <c r="T2014" i="1"/>
  <c r="U1179" i="1"/>
  <c r="T1070" i="1"/>
  <c r="U1086" i="1"/>
  <c r="T2764" i="1"/>
  <c r="T1260" i="1"/>
  <c r="U1445" i="1"/>
  <c r="T1814" i="1"/>
  <c r="T1436" i="1"/>
  <c r="U2606" i="1"/>
  <c r="U2618" i="1"/>
  <c r="T1803" i="1"/>
  <c r="T1269" i="1"/>
  <c r="U2671" i="1"/>
  <c r="U498" i="1"/>
  <c r="T2709" i="1"/>
  <c r="T1393" i="1"/>
  <c r="U2825" i="1"/>
  <c r="U1323" i="1"/>
  <c r="U2761" i="1"/>
  <c r="T2204" i="1"/>
  <c r="U1295" i="1"/>
  <c r="T1116" i="1"/>
  <c r="T2114" i="1"/>
  <c r="T753" i="1"/>
  <c r="T2061" i="1"/>
  <c r="U380" i="1"/>
  <c r="U882" i="1"/>
  <c r="T1072" i="1"/>
  <c r="U1872" i="1"/>
  <c r="U1091" i="1"/>
  <c r="U2680" i="1"/>
  <c r="T1728" i="1"/>
  <c r="U1709" i="1"/>
  <c r="T117" i="1"/>
  <c r="T953" i="1"/>
  <c r="T667" i="1"/>
  <c r="U1762" i="1"/>
  <c r="U2969" i="1"/>
  <c r="U2971" i="1"/>
  <c r="U1112" i="1"/>
  <c r="U1391" i="1"/>
  <c r="U2911" i="1"/>
  <c r="T2457" i="1"/>
  <c r="U1146" i="1"/>
  <c r="U1396" i="1"/>
  <c r="T1649" i="1"/>
  <c r="U1402" i="1"/>
  <c r="T321" i="1"/>
  <c r="U1876" i="1"/>
  <c r="T1800" i="1"/>
  <c r="U1605" i="1"/>
  <c r="T1088" i="1"/>
  <c r="T207" i="1"/>
  <c r="U2031" i="1"/>
  <c r="U2069" i="1"/>
  <c r="U1994" i="1"/>
  <c r="U2050" i="1"/>
  <c r="T2042" i="1"/>
  <c r="U686" i="1"/>
  <c r="U1519" i="1"/>
  <c r="U1075" i="1"/>
  <c r="T2646" i="1"/>
  <c r="T317" i="1"/>
  <c r="U2927" i="1"/>
  <c r="U2079" i="1"/>
  <c r="U1056" i="1"/>
  <c r="U642" i="1"/>
  <c r="T1398" i="1"/>
  <c r="U1037" i="1"/>
  <c r="U472" i="1"/>
  <c r="U2100" i="1"/>
  <c r="U1330" i="1"/>
  <c r="U1114" i="1"/>
  <c r="T1553" i="1"/>
  <c r="U1187" i="1"/>
  <c r="U1472" i="1"/>
  <c r="T2925" i="1"/>
  <c r="T1185" i="1"/>
  <c r="T1923" i="1"/>
  <c r="U2333" i="1"/>
  <c r="T1262" i="1"/>
  <c r="U2635" i="1"/>
  <c r="U937" i="1"/>
  <c r="U1925" i="1"/>
  <c r="U136" i="1"/>
  <c r="U2002" i="1"/>
  <c r="U2129" i="1"/>
  <c r="T1432" i="1"/>
  <c r="T1109" i="1"/>
  <c r="T943" i="1"/>
  <c r="T1928" i="1"/>
  <c r="U516" i="1"/>
  <c r="U368" i="1"/>
  <c r="U1374" i="1"/>
  <c r="U416" i="1"/>
  <c r="U1696" i="1"/>
  <c r="U1955" i="1"/>
  <c r="U2527" i="1"/>
  <c r="U1131" i="1"/>
  <c r="U1527" i="1"/>
  <c r="T1676" i="1"/>
  <c r="T710" i="1"/>
  <c r="U2387" i="1"/>
  <c r="U2111" i="1"/>
  <c r="U1713" i="1"/>
  <c r="T1870" i="1"/>
  <c r="T1580" i="1"/>
  <c r="U734" i="1"/>
  <c r="U1557" i="1"/>
  <c r="U1588" i="1"/>
  <c r="U1689" i="1"/>
  <c r="T1896" i="1"/>
  <c r="U1434" i="1"/>
  <c r="T1434" i="1"/>
  <c r="U2643" i="1"/>
  <c r="T1419" i="1"/>
  <c r="U731" i="1"/>
  <c r="T423" i="1"/>
  <c r="U1878" i="1"/>
  <c r="U548" i="1"/>
  <c r="U215" i="1"/>
  <c r="U1127" i="1"/>
  <c r="U2532" i="1"/>
  <c r="T1551" i="1"/>
  <c r="U294" i="1"/>
  <c r="U1669" i="1"/>
  <c r="U1717" i="1"/>
  <c r="U1706" i="1"/>
  <c r="T602" i="1"/>
  <c r="T98" i="1"/>
  <c r="U2652" i="1"/>
  <c r="U639" i="1"/>
  <c r="T1608" i="1"/>
  <c r="U2805" i="1"/>
  <c r="T2805" i="1"/>
  <c r="U919" i="1"/>
  <c r="U2279" i="1"/>
  <c r="U478" i="1"/>
  <c r="U2072" i="1"/>
  <c r="U1267" i="1"/>
  <c r="U2529" i="1"/>
  <c r="T2529" i="1"/>
  <c r="T636" i="1"/>
  <c r="U1451" i="1"/>
  <c r="U1136" i="1"/>
  <c r="T1711" i="1"/>
  <c r="U848" i="1"/>
  <c r="U1880" i="1"/>
  <c r="U1555" i="1"/>
  <c r="T1440" i="1"/>
  <c r="T1667" i="1"/>
  <c r="U1389" i="1"/>
  <c r="U1719" i="1"/>
  <c r="U1011" i="1"/>
  <c r="U404" i="1"/>
  <c r="U927" i="1"/>
  <c r="U1189" i="1"/>
  <c r="U979" i="1"/>
  <c r="U2090" i="1"/>
  <c r="T1148" i="1"/>
  <c r="U2640" i="1"/>
  <c r="U786" i="1"/>
  <c r="U268" i="1"/>
  <c r="U1691" i="1"/>
  <c r="U1166" i="1"/>
  <c r="U1429" i="1"/>
  <c r="U176" i="1"/>
  <c r="U2277" i="1"/>
  <c r="T997" i="1"/>
  <c r="U1026" i="1"/>
  <c r="T1321" i="1"/>
  <c r="T1811" i="1"/>
  <c r="U1192" i="1"/>
</calcChain>
</file>

<file path=xl/sharedStrings.xml><?xml version="1.0" encoding="utf-8"?>
<sst xmlns="http://schemas.openxmlformats.org/spreadsheetml/2006/main" count="11580" uniqueCount="898">
  <si>
    <t>Cost Center</t>
  </si>
  <si>
    <t>Cost Center Name</t>
  </si>
  <si>
    <t>GL Account</t>
  </si>
  <si>
    <t>GL Account Name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</si>
  <si>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</si>
  <si>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</si>
  <si>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</si>
  <si>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</si>
  <si>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</si>
  <si>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</si>
  <si>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</si>
  <si>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</si>
  <si>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</si>
  <si>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</si>
  <si>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</si>
  <si>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</si>
  <si>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</si>
  <si>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</si>
  <si>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/>
  </si>
  <si>
    <t>61002000</t>
  </si>
  <si>
    <t>3rd party material</t>
  </si>
  <si>
    <t>61004000</t>
  </si>
  <si>
    <t>Trav.Expense Meals</t>
  </si>
  <si>
    <t>61005000</t>
  </si>
  <si>
    <t>Travel Exp Grd Trnsp</t>
  </si>
  <si>
    <t>61005500</t>
  </si>
  <si>
    <t>Fully Deductible - L</t>
  </si>
  <si>
    <t>61007000</t>
  </si>
  <si>
    <t>Trav.Exp Air,Rl,Mile</t>
  </si>
  <si>
    <t>61023000</t>
  </si>
  <si>
    <t>Payrol-Overtime Wage</t>
  </si>
  <si>
    <t>61024000</t>
  </si>
  <si>
    <t>Capitalized Labor -</t>
  </si>
  <si>
    <t>61400000</t>
  </si>
  <si>
    <t>Training Education</t>
  </si>
  <si>
    <t>61402000</t>
  </si>
  <si>
    <t>Travel - Educ., Trai</t>
  </si>
  <si>
    <t>61407000</t>
  </si>
  <si>
    <t>Uniform Expense</t>
  </si>
  <si>
    <t>63001000</t>
  </si>
  <si>
    <t>Electricity&amp;Utilitie</t>
  </si>
  <si>
    <t>63002000</t>
  </si>
  <si>
    <t>Water</t>
  </si>
  <si>
    <t>63003300</t>
  </si>
  <si>
    <t>ChemicalExpense</t>
  </si>
  <si>
    <t>63004600</t>
  </si>
  <si>
    <t>Catalyst</t>
  </si>
  <si>
    <t>63005000</t>
  </si>
  <si>
    <t>Lease Expense</t>
  </si>
  <si>
    <t>63005200</t>
  </si>
  <si>
    <t>ST Lease Expense</t>
  </si>
  <si>
    <t>63006000</t>
  </si>
  <si>
    <t>License &amp; Permits</t>
  </si>
  <si>
    <t>63006400</t>
  </si>
  <si>
    <t>Telephone&amp;otherComm</t>
  </si>
  <si>
    <t>65000000</t>
  </si>
  <si>
    <t>Postage and Shipping</t>
  </si>
  <si>
    <t>65000500</t>
  </si>
  <si>
    <t>Non Prod Mat Consptn</t>
  </si>
  <si>
    <t>65000600</t>
  </si>
  <si>
    <t>Materials - Internal</t>
  </si>
  <si>
    <t>65001000</t>
  </si>
  <si>
    <t>Purchased Services</t>
  </si>
  <si>
    <t>65003000</t>
  </si>
  <si>
    <t>Repairs&amp;Maint-cost</t>
  </si>
  <si>
    <t>65003200</t>
  </si>
  <si>
    <t>Repairs &amp; Maint - Ot</t>
  </si>
  <si>
    <t>65004000</t>
  </si>
  <si>
    <t>COS - Waste Disposal</t>
  </si>
  <si>
    <t>65004100</t>
  </si>
  <si>
    <t>COS - Environmental</t>
  </si>
  <si>
    <t>65005000</t>
  </si>
  <si>
    <t>Tank Maintenance</t>
  </si>
  <si>
    <t>65005200</t>
  </si>
  <si>
    <t>653 Tank Maintenance</t>
  </si>
  <si>
    <t>65006000</t>
  </si>
  <si>
    <t>Repairs &amp; Maintenanc</t>
  </si>
  <si>
    <t>65006010</t>
  </si>
  <si>
    <t>Repairs/MaintTractor</t>
  </si>
  <si>
    <t>65006500</t>
  </si>
  <si>
    <t>Extraordinary Mainte</t>
  </si>
  <si>
    <t>65007000</t>
  </si>
  <si>
    <t>Contract Services -</t>
  </si>
  <si>
    <t>65100000</t>
  </si>
  <si>
    <t>Office Supplies</t>
  </si>
  <si>
    <t>65101000</t>
  </si>
  <si>
    <t>Supplies - Storehous</t>
  </si>
  <si>
    <t>65150000</t>
  </si>
  <si>
    <t>Computer Supplies</t>
  </si>
  <si>
    <t>65200000</t>
  </si>
  <si>
    <t>Other Supplies</t>
  </si>
  <si>
    <t>65230000</t>
  </si>
  <si>
    <t>SuppliesSmallTools</t>
  </si>
  <si>
    <t>65240000</t>
  </si>
  <si>
    <t>Supplies - Operating</t>
  </si>
  <si>
    <t>65250000</t>
  </si>
  <si>
    <t>Supplies - Environme</t>
  </si>
  <si>
    <t>65270000</t>
  </si>
  <si>
    <t>Supplies - Miscellan</t>
  </si>
  <si>
    <t>65301200</t>
  </si>
  <si>
    <t>CS - Professional Co</t>
  </si>
  <si>
    <t>65301300</t>
  </si>
  <si>
    <t>CS - Outside Service</t>
  </si>
  <si>
    <t>65301400</t>
  </si>
  <si>
    <t>CS - Contractors</t>
  </si>
  <si>
    <t>65301500</t>
  </si>
  <si>
    <t>CS - Accounting Serv</t>
  </si>
  <si>
    <t>65301600</t>
  </si>
  <si>
    <t>CS - Inspection Fee</t>
  </si>
  <si>
    <t>65301700</t>
  </si>
  <si>
    <t>CS - Mechanical</t>
  </si>
  <si>
    <t>65302200</t>
  </si>
  <si>
    <t>CS - Other</t>
  </si>
  <si>
    <t>65302400</t>
  </si>
  <si>
    <t>CS - Allocated</t>
  </si>
  <si>
    <t>65302500</t>
  </si>
  <si>
    <t>CS - Reimbursement</t>
  </si>
  <si>
    <t>65302600</t>
  </si>
  <si>
    <t>CS - Contingent Labr</t>
  </si>
  <si>
    <t>66000000</t>
  </si>
  <si>
    <t>Other Expenses</t>
  </si>
  <si>
    <t>66000100</t>
  </si>
  <si>
    <t>Lube Oil, Greases &amp;</t>
  </si>
  <si>
    <t>66000400</t>
  </si>
  <si>
    <t>Third Party Trucking</t>
  </si>
  <si>
    <t>66000900</t>
  </si>
  <si>
    <t>OutboundExpense</t>
  </si>
  <si>
    <t>67000500</t>
  </si>
  <si>
    <t>67000800</t>
  </si>
  <si>
    <t>Right of Way Expense</t>
  </si>
  <si>
    <t>71000000</t>
  </si>
  <si>
    <t>Bank Charges</t>
  </si>
  <si>
    <t>94311000</t>
  </si>
  <si>
    <t>Pers hrs</t>
  </si>
  <si>
    <t>1002000001</t>
  </si>
  <si>
    <t>COMMERCIAL ADMIN</t>
  </si>
  <si>
    <t>61010000</t>
  </si>
  <si>
    <t>PayrollSalariedLabor</t>
  </si>
  <si>
    <t>61021100</t>
  </si>
  <si>
    <t>Payroll Hourly Labor</t>
  </si>
  <si>
    <t>61024100</t>
  </si>
  <si>
    <t>Labor COSt</t>
  </si>
  <si>
    <t>61026000</t>
  </si>
  <si>
    <t>Bonus - Other</t>
  </si>
  <si>
    <t>61052000</t>
  </si>
  <si>
    <t>Group Insurance</t>
  </si>
  <si>
    <t>61060000</t>
  </si>
  <si>
    <t>401K/NQDF Match Exp</t>
  </si>
  <si>
    <t>61063000</t>
  </si>
  <si>
    <t>Dues to Associations</t>
  </si>
  <si>
    <t>61065000</t>
  </si>
  <si>
    <t>Incentive Plan Expen</t>
  </si>
  <si>
    <t>61200000</t>
  </si>
  <si>
    <t>Pay Exp Tax&amp;SS Wages</t>
  </si>
  <si>
    <t>61202000</t>
  </si>
  <si>
    <t>Payroll Taxes - Unem</t>
  </si>
  <si>
    <t>61403000</t>
  </si>
  <si>
    <t>Meals &amp; Ent - Educ.,</t>
  </si>
  <si>
    <t>61510000</t>
  </si>
  <si>
    <t>Stock Based Compensa</t>
  </si>
  <si>
    <t>61512000</t>
  </si>
  <si>
    <t>ESSP Expense</t>
  </si>
  <si>
    <t>63006100</t>
  </si>
  <si>
    <t>InspectionFees</t>
  </si>
  <si>
    <t>63006300</t>
  </si>
  <si>
    <t>Cellular Telephone</t>
  </si>
  <si>
    <t>65210000</t>
  </si>
  <si>
    <t>Supplies - Associati</t>
  </si>
  <si>
    <t>65301100</t>
  </si>
  <si>
    <t>ContrctServicesLegal</t>
  </si>
  <si>
    <t>65900000</t>
  </si>
  <si>
    <t>WrkFrmHomReimbursmt</t>
  </si>
  <si>
    <t>69000400</t>
  </si>
  <si>
    <t>Franchise Tax Expens</t>
  </si>
  <si>
    <t>1002000002</t>
  </si>
  <si>
    <t>ECONOMICS &amp; PLANNING</t>
  </si>
  <si>
    <t>1002000003</t>
  </si>
  <si>
    <t>PROD. SUPPLY &amp; DIST.</t>
  </si>
  <si>
    <t>1002000004</t>
  </si>
  <si>
    <t>TRADING &amp; SUPPLY</t>
  </si>
  <si>
    <t>61408000</t>
  </si>
  <si>
    <t>Protective Clothing</t>
  </si>
  <si>
    <t>65220000</t>
  </si>
  <si>
    <t>Supplies - Janitoria</t>
  </si>
  <si>
    <t>65301000</t>
  </si>
  <si>
    <t>Marketing Expenses</t>
  </si>
  <si>
    <t>67000000</t>
  </si>
  <si>
    <t>Bank Expense</t>
  </si>
  <si>
    <t>67000310</t>
  </si>
  <si>
    <t>Service Fees</t>
  </si>
  <si>
    <t>67000940</t>
  </si>
  <si>
    <t>Restructuring Cost</t>
  </si>
  <si>
    <t>1002000005</t>
  </si>
  <si>
    <t>FACILITIES</t>
  </si>
  <si>
    <t>61008000</t>
  </si>
  <si>
    <t>Trav.Expense Misc.</t>
  </si>
  <si>
    <t>65002200</t>
  </si>
  <si>
    <t>Employee&amp;Community</t>
  </si>
  <si>
    <t>65301900</t>
  </si>
  <si>
    <t>CS - Security</t>
  </si>
  <si>
    <t>1002000006</t>
  </si>
  <si>
    <t>BOARD OF DIRECTORS</t>
  </si>
  <si>
    <t>1002000007</t>
  </si>
  <si>
    <t>EXECUTIVE</t>
  </si>
  <si>
    <t>61022000</t>
  </si>
  <si>
    <t>Payroll Vacatn Pay S</t>
  </si>
  <si>
    <t>61027000</t>
  </si>
  <si>
    <t>Payroll - Severance</t>
  </si>
  <si>
    <t>61101000</t>
  </si>
  <si>
    <t>Pay Othr salary exp</t>
  </si>
  <si>
    <t>61107000</t>
  </si>
  <si>
    <t>Indirect Costs - CCP</t>
  </si>
  <si>
    <t>61401000</t>
  </si>
  <si>
    <t>HR Recruitment</t>
  </si>
  <si>
    <t>61404000</t>
  </si>
  <si>
    <t>Equipment Outfitting</t>
  </si>
  <si>
    <t>61409000</t>
  </si>
  <si>
    <t>Relocation Expense</t>
  </si>
  <si>
    <t>63004300</t>
  </si>
  <si>
    <t>Insurance-Property</t>
  </si>
  <si>
    <t>63007000</t>
  </si>
  <si>
    <t>Fax and Internet</t>
  </si>
  <si>
    <t>65300000</t>
  </si>
  <si>
    <t>ContrctServicesAudit</t>
  </si>
  <si>
    <t>65301050</t>
  </si>
  <si>
    <t>BusinessPromotion-ND</t>
  </si>
  <si>
    <t>66000500</t>
  </si>
  <si>
    <t>ChritbleContribtions</t>
  </si>
  <si>
    <t>1002000008</t>
  </si>
  <si>
    <t>GENERAL ADMIN</t>
  </si>
  <si>
    <t>63004000</t>
  </si>
  <si>
    <t>InsuExpCsulty&amp;Plutin</t>
  </si>
  <si>
    <t>63004100</t>
  </si>
  <si>
    <t>Insurance- Network</t>
  </si>
  <si>
    <t>63004500</t>
  </si>
  <si>
    <t>Insurance - Bonds</t>
  </si>
  <si>
    <t>66000700</t>
  </si>
  <si>
    <t>Management Fee</t>
  </si>
  <si>
    <t>67001000</t>
  </si>
  <si>
    <t>Fines&amp;Assessments</t>
  </si>
  <si>
    <t>69000200</t>
  </si>
  <si>
    <t>Property Tax Expense</t>
  </si>
  <si>
    <t>1002000009</t>
  </si>
  <si>
    <t>INTERNAL AUDIT</t>
  </si>
  <si>
    <t>1002000010</t>
  </si>
  <si>
    <t>INVESTOR RELATIONS</t>
  </si>
  <si>
    <t>1002000011</t>
  </si>
  <si>
    <t>ACCOUNTING</t>
  </si>
  <si>
    <t>61021110</t>
  </si>
  <si>
    <t>Payroll-HrlyTempHelp</t>
  </si>
  <si>
    <t>1002000012</t>
  </si>
  <si>
    <t>ACQUIS. &amp; INTEGRA.</t>
  </si>
  <si>
    <t>1002000013</t>
  </si>
  <si>
    <t>CREDIT</t>
  </si>
  <si>
    <t>1002000014</t>
  </si>
  <si>
    <t>FP&amp;A</t>
  </si>
  <si>
    <t>1002000015</t>
  </si>
  <si>
    <t>Cybersecurity</t>
  </si>
  <si>
    <t>1002000017</t>
  </si>
  <si>
    <t>EIM</t>
  </si>
  <si>
    <t>1002000018</t>
  </si>
  <si>
    <t>IT</t>
  </si>
  <si>
    <t>1002000019</t>
  </si>
  <si>
    <t>PORTFOLIO MANAGEMENT</t>
  </si>
  <si>
    <t>1002000020</t>
  </si>
  <si>
    <t>MIDDLE OFFICE</t>
  </si>
  <si>
    <t>1002000021</t>
  </si>
  <si>
    <t>SUPPLY CHAIN</t>
  </si>
  <si>
    <t>1002000022</t>
  </si>
  <si>
    <t>TREASURY</t>
  </si>
  <si>
    <t>67000001</t>
  </si>
  <si>
    <t>Bank Charges -V Card</t>
  </si>
  <si>
    <t>1002000023</t>
  </si>
  <si>
    <t>HUMAN RESOURCES</t>
  </si>
  <si>
    <t>65002000</t>
  </si>
  <si>
    <t>AdvrtsngandSalsCosts</t>
  </si>
  <si>
    <t>65302100</t>
  </si>
  <si>
    <t>CS - Payroll Process</t>
  </si>
  <si>
    <t>1002000024</t>
  </si>
  <si>
    <t>LEGAL</t>
  </si>
  <si>
    <t>1002000025</t>
  </si>
  <si>
    <t>PUBLIC AFFAIRS</t>
  </si>
  <si>
    <t>1002000026</t>
  </si>
  <si>
    <t>RISK MANAGEMENT</t>
  </si>
  <si>
    <t>1002000027</t>
  </si>
  <si>
    <t>STRATEGIC PLANNING</t>
  </si>
  <si>
    <t>61106000</t>
  </si>
  <si>
    <t>Fringe Costs - CCP</t>
  </si>
  <si>
    <t>1002000028</t>
  </si>
  <si>
    <t>BUS. TRANSFORMATION</t>
  </si>
  <si>
    <t>1002000029</t>
  </si>
  <si>
    <t>CAPITAL PROJECTS</t>
  </si>
  <si>
    <t>1002000030</t>
  </si>
  <si>
    <t>ENVIRONMENTAL  H&amp;S</t>
  </si>
  <si>
    <t>1002000031</t>
  </si>
  <si>
    <t>REFINING SPLIT</t>
  </si>
  <si>
    <t>90091000</t>
  </si>
  <si>
    <t>Ref.split non labour</t>
  </si>
  <si>
    <t>1002000032</t>
  </si>
  <si>
    <t>DK PERMIAN GATHERING</t>
  </si>
  <si>
    <t>67000510</t>
  </si>
  <si>
    <t>IC Mgmt Fees</t>
  </si>
  <si>
    <t>1002000033</t>
  </si>
  <si>
    <t>HYD. LOSS CONTROL</t>
  </si>
  <si>
    <t>61405000</t>
  </si>
  <si>
    <t>Medical Expense</t>
  </si>
  <si>
    <t>1002000034</t>
  </si>
  <si>
    <t>RAIL</t>
  </si>
  <si>
    <t>1002000035</t>
  </si>
  <si>
    <t>TRUCKING</t>
  </si>
  <si>
    <t>65105000</t>
  </si>
  <si>
    <t>Supplie-Tractortires</t>
  </si>
  <si>
    <t>65302000</t>
  </si>
  <si>
    <t>CS - Medical Tests &amp;</t>
  </si>
  <si>
    <t>1002000036</t>
  </si>
  <si>
    <t>BRANDED WHOLESALE</t>
  </si>
  <si>
    <t>1002000037</t>
  </si>
  <si>
    <t>RETAIL ADMIN</t>
  </si>
  <si>
    <t>1002000038</t>
  </si>
  <si>
    <t>DKL PAYROLL</t>
  </si>
  <si>
    <t>1002000039</t>
  </si>
  <si>
    <t>Brentwood Office Mov</t>
  </si>
  <si>
    <t>1002000041</t>
  </si>
  <si>
    <t>CONSORTIUM COST - DK</t>
  </si>
  <si>
    <t>1002000042</t>
  </si>
  <si>
    <t>SUM OF THE PARTS</t>
  </si>
  <si>
    <t>1002000043</t>
  </si>
  <si>
    <t>Data &amp; Analytics</t>
  </si>
  <si>
    <t>1002000044</t>
  </si>
  <si>
    <t>Office of the CTO</t>
  </si>
  <si>
    <t>1002000050</t>
  </si>
  <si>
    <t>UNBRANDED WHOLESALE</t>
  </si>
  <si>
    <t>1002000051</t>
  </si>
  <si>
    <t>SOCIAL MEDIA</t>
  </si>
  <si>
    <t>1002000052</t>
  </si>
  <si>
    <t>PROJECT GATEWAY G&amp;A</t>
  </si>
  <si>
    <t>1002000053</t>
  </si>
  <si>
    <t>RETAIL TSA</t>
  </si>
  <si>
    <t>1002000060</t>
  </si>
  <si>
    <t>TYR SUPPLY CHAIN OP</t>
  </si>
  <si>
    <t>1002000061</t>
  </si>
  <si>
    <t>EDR SUPPLY CHAIN OP</t>
  </si>
  <si>
    <t>1002000062</t>
  </si>
  <si>
    <t>KSR SUPPLY CHAIN OP</t>
  </si>
  <si>
    <t>63005300</t>
  </si>
  <si>
    <t>Variable Lease Exp</t>
  </si>
  <si>
    <t>1002000063</t>
  </si>
  <si>
    <t>BSR SUPPLY CHAIN OP</t>
  </si>
  <si>
    <t>1005000001</t>
  </si>
  <si>
    <t>NATURAL GAS</t>
  </si>
  <si>
    <t>1005000002</t>
  </si>
  <si>
    <t>DK CANADA</t>
  </si>
  <si>
    <t>1005000004</t>
  </si>
  <si>
    <t>CRUDE SUPPLY &amp; TRADI</t>
  </si>
  <si>
    <t>1005000015</t>
  </si>
  <si>
    <t>SHARED SERVICE ALLOC</t>
  </si>
  <si>
    <t>1005000016</t>
  </si>
  <si>
    <t>COMMOD. INVES. TRADE</t>
  </si>
  <si>
    <t>1005000020</t>
  </si>
  <si>
    <t>DKTS - ADMIN</t>
  </si>
  <si>
    <t>67000100</t>
  </si>
  <si>
    <t>Credit Card Expense</t>
  </si>
  <si>
    <t>67000200</t>
  </si>
  <si>
    <t>Losses - Credit Card</t>
  </si>
  <si>
    <t>1005000021</t>
  </si>
  <si>
    <t>REFINED PROD -WS GEN</t>
  </si>
  <si>
    <t>1005000025</t>
  </si>
  <si>
    <t>BSR ASPHALT-DKTS</t>
  </si>
  <si>
    <t>1005000026</t>
  </si>
  <si>
    <t>CRUDE WHOLESALE-DEPR</t>
  </si>
  <si>
    <t>1006000001</t>
  </si>
  <si>
    <t>SHARED SERVICES</t>
  </si>
  <si>
    <t>61061000</t>
  </si>
  <si>
    <t>Casualty</t>
  </si>
  <si>
    <t>1007000004</t>
  </si>
  <si>
    <t>DELEK LOGISTICS PART</t>
  </si>
  <si>
    <t>1007000005</t>
  </si>
  <si>
    <t>1009000001</t>
  </si>
  <si>
    <t>DK Innovation (US)</t>
  </si>
  <si>
    <t>1009000003</t>
  </si>
  <si>
    <t>DKI-US SOCIAL MEDIA</t>
  </si>
  <si>
    <t>1010000001</t>
  </si>
  <si>
    <t>DK INNOVATION (IL)</t>
  </si>
  <si>
    <t>1010000003</t>
  </si>
  <si>
    <t>DKI-ISR SOCIAL MEDIA</t>
  </si>
  <si>
    <t>1010000004</t>
  </si>
  <si>
    <t>CYBERSECURITY (IL)</t>
  </si>
  <si>
    <t>61021000</t>
  </si>
  <si>
    <t>Payroll Overtime Sal</t>
  </si>
  <si>
    <t>1012000001</t>
  </si>
  <si>
    <t>SHD SVC ALLOCATIONS</t>
  </si>
  <si>
    <t>1012000002</t>
  </si>
  <si>
    <t>1012000005</t>
  </si>
  <si>
    <t>1015000002</t>
  </si>
  <si>
    <t>PARAMOUNT PETRO-OVHD</t>
  </si>
  <si>
    <t>1016000001</t>
  </si>
  <si>
    <t>1018000001</t>
  </si>
  <si>
    <t>DK Logistics Servc.</t>
  </si>
  <si>
    <t>65301800</t>
  </si>
  <si>
    <t>CS - Safety</t>
  </si>
  <si>
    <t>1018000003</t>
  </si>
  <si>
    <t>DK Logi serv- 3 Bear</t>
  </si>
  <si>
    <t>1028000001</t>
  </si>
  <si>
    <t>Alon USA GP II, LLC</t>
  </si>
  <si>
    <t>2000000002</t>
  </si>
  <si>
    <t>ALON USA DEL.</t>
  </si>
  <si>
    <t>2000000003</t>
  </si>
  <si>
    <t>ALON USA PART.</t>
  </si>
  <si>
    <t>2000000015</t>
  </si>
  <si>
    <t>Delek U.S. Refining</t>
  </si>
  <si>
    <t>2001000032</t>
  </si>
  <si>
    <t>2001000034</t>
  </si>
  <si>
    <t>PLANT SAFETY SUPERVI</t>
  </si>
  <si>
    <t>2001000039</t>
  </si>
  <si>
    <t>OFFICE SERVICES</t>
  </si>
  <si>
    <t>65003100</t>
  </si>
  <si>
    <t>Repairs &amp; Maint - In</t>
  </si>
  <si>
    <t>2001000040</t>
  </si>
  <si>
    <t>WAREHOUSE</t>
  </si>
  <si>
    <t>2001000042</t>
  </si>
  <si>
    <t>MAINTENANCE OVERHEAD</t>
  </si>
  <si>
    <t>2001000045</t>
  </si>
  <si>
    <t>OFFICE ADMINISTRATIO</t>
  </si>
  <si>
    <t>2001000046</t>
  </si>
  <si>
    <t>REFINING OVERHEAD</t>
  </si>
  <si>
    <t>65260000</t>
  </si>
  <si>
    <t>Supplies - Laborator</t>
  </si>
  <si>
    <t>2001000061</t>
  </si>
  <si>
    <t>TRAINING</t>
  </si>
  <si>
    <t>2001000062</t>
  </si>
  <si>
    <t>BSR - IT G&amp;A</t>
  </si>
  <si>
    <t>2001000073</t>
  </si>
  <si>
    <t>GROUNDWATER REMEDIAT</t>
  </si>
  <si>
    <t>2001000235</t>
  </si>
  <si>
    <t>2001000250</t>
  </si>
  <si>
    <t>2001001008</t>
  </si>
  <si>
    <t>BIG SPRING REFINERY</t>
  </si>
  <si>
    <t>2001001012</t>
  </si>
  <si>
    <t>ASPHALT</t>
  </si>
  <si>
    <t>2001002010</t>
  </si>
  <si>
    <t>ALON USA, LP</t>
  </si>
  <si>
    <t>62000000</t>
  </si>
  <si>
    <t>Bad Debt Expense</t>
  </si>
  <si>
    <t>2001010507</t>
  </si>
  <si>
    <t>MARKETING</t>
  </si>
  <si>
    <t>2001068110</t>
  </si>
  <si>
    <t>CRUDE</t>
  </si>
  <si>
    <t>2002000001</t>
  </si>
  <si>
    <t>PRODUCT</t>
  </si>
  <si>
    <t>2002000002</t>
  </si>
  <si>
    <t>LO WHOLESALE SALES</t>
  </si>
  <si>
    <t>2002000003</t>
  </si>
  <si>
    <t>2002000004</t>
  </si>
  <si>
    <t>ASPHALT TERMINALS</t>
  </si>
  <si>
    <t>2002000005</t>
  </si>
  <si>
    <t>LO PLANT DIST &amp; TRAF</t>
  </si>
  <si>
    <t>2002000006</t>
  </si>
  <si>
    <t>HENDERSON RAIL</t>
  </si>
  <si>
    <t>63001100</t>
  </si>
  <si>
    <t>Natural Gas</t>
  </si>
  <si>
    <t>2002000062</t>
  </si>
  <si>
    <t>LO TRAINING</t>
  </si>
  <si>
    <t>65160000</t>
  </si>
  <si>
    <t>Supplies-Royalties</t>
  </si>
  <si>
    <t>66000200</t>
  </si>
  <si>
    <t>FuelOwnUse</t>
  </si>
  <si>
    <t>2002000074</t>
  </si>
  <si>
    <t>LO PLANT ADMIN</t>
  </si>
  <si>
    <t>2002000076</t>
  </si>
  <si>
    <t>LO GENERAL SERVICES</t>
  </si>
  <si>
    <t>2002000078</t>
  </si>
  <si>
    <t>LO ADMINISTRATIVE</t>
  </si>
  <si>
    <t>67000400</t>
  </si>
  <si>
    <t>Accretion Expense</t>
  </si>
  <si>
    <t>2002000081</t>
  </si>
  <si>
    <t>LO MAINT GEN EXPEN</t>
  </si>
  <si>
    <t>2002000086</t>
  </si>
  <si>
    <t>MAINT -RELIABILITY</t>
  </si>
  <si>
    <t>2002000090</t>
  </si>
  <si>
    <t>2002000091</t>
  </si>
  <si>
    <t>2002000092</t>
  </si>
  <si>
    <t>2002000094</t>
  </si>
  <si>
    <t>2002000095</t>
  </si>
  <si>
    <t>HR</t>
  </si>
  <si>
    <t>2002000096</t>
  </si>
  <si>
    <t>LO ASPHALT SALES</t>
  </si>
  <si>
    <t>2002000097</t>
  </si>
  <si>
    <t>LO PROD SUP &amp; DISTR</t>
  </si>
  <si>
    <t>2002000099</t>
  </si>
  <si>
    <t>LION OIL TRUCKING</t>
  </si>
  <si>
    <t>63003500</t>
  </si>
  <si>
    <t>SulfuricAcid</t>
  </si>
  <si>
    <t>2002000115</t>
  </si>
  <si>
    <t>LO PLANT SP PART WHE</t>
  </si>
  <si>
    <t>2002000117</t>
  </si>
  <si>
    <t>CC J. CHRISTY CONSTR</t>
  </si>
  <si>
    <t>2002000118</t>
  </si>
  <si>
    <t>TT DIV OR/CR OIL ACT</t>
  </si>
  <si>
    <t>2002000119</t>
  </si>
  <si>
    <t>TT DOM CRUDE SUPPLY</t>
  </si>
  <si>
    <t>2002000120</t>
  </si>
  <si>
    <t>TT ADMINISTRATIVE</t>
  </si>
  <si>
    <t>2003000001</t>
  </si>
  <si>
    <t>65005100</t>
  </si>
  <si>
    <t>Materials - Freight</t>
  </si>
  <si>
    <t>2003000029</t>
  </si>
  <si>
    <t>ALON REFINING KS</t>
  </si>
  <si>
    <t>2003000033</t>
  </si>
  <si>
    <t>KSR, LA REFINERY</t>
  </si>
  <si>
    <t>2003000036</t>
  </si>
  <si>
    <t>2003000047</t>
  </si>
  <si>
    <t>ALKYLATION UNIT</t>
  </si>
  <si>
    <t>2003000048</t>
  </si>
  <si>
    <t>2003000090</t>
  </si>
  <si>
    <t>PUMPING &amp; MARINE</t>
  </si>
  <si>
    <t>2003000222</t>
  </si>
  <si>
    <t>2003000585</t>
  </si>
  <si>
    <t>2003000590</t>
  </si>
  <si>
    <t>2003000598</t>
  </si>
  <si>
    <t>GENERAL &amp; ADMIN</t>
  </si>
  <si>
    <t>65005300</t>
  </si>
  <si>
    <t>Maintenance - Preven</t>
  </si>
  <si>
    <t>66000600</t>
  </si>
  <si>
    <t>Charitable Contribut</t>
  </si>
  <si>
    <t>2004000001</t>
  </si>
  <si>
    <t>2004000002</t>
  </si>
  <si>
    <t>2004000003</t>
  </si>
  <si>
    <t>2004000006</t>
  </si>
  <si>
    <t>REFINERY ADMIN</t>
  </si>
  <si>
    <t>2004000015</t>
  </si>
  <si>
    <t>#2 COKER</t>
  </si>
  <si>
    <t>2004000044</t>
  </si>
  <si>
    <t>SAFETY OPS</t>
  </si>
  <si>
    <t>2004000046</t>
  </si>
  <si>
    <t>MAINTENANCE</t>
  </si>
  <si>
    <t>2004000066</t>
  </si>
  <si>
    <t>PROCESS ENG</t>
  </si>
  <si>
    <t>2004000069</t>
  </si>
  <si>
    <t>2004000070</t>
  </si>
  <si>
    <t>2004000072</t>
  </si>
  <si>
    <t>PURCHASING - TYR</t>
  </si>
  <si>
    <t>2004000073</t>
  </si>
  <si>
    <t>WAREHOUSE - TYR</t>
  </si>
  <si>
    <t>2004000075</t>
  </si>
  <si>
    <t>2004000076</t>
  </si>
  <si>
    <t>2004000077</t>
  </si>
  <si>
    <t>TYLER TRUCKING</t>
  </si>
  <si>
    <t>2008000003</t>
  </si>
  <si>
    <t>JV INTEGRATION</t>
  </si>
  <si>
    <t>2008000004</t>
  </si>
  <si>
    <t>DELEK RENEWABLES ADM</t>
  </si>
  <si>
    <t>3000000011</t>
  </si>
  <si>
    <t>MOBS-Maintenance</t>
  </si>
  <si>
    <t>3000000012</t>
  </si>
  <si>
    <t>Albuquerque-Maintain</t>
  </si>
  <si>
    <t>3000000013</t>
  </si>
  <si>
    <t>Corporate-G&amp;A</t>
  </si>
  <si>
    <t>3000000014</t>
  </si>
  <si>
    <t>CORP - SCS Transport</t>
  </si>
  <si>
    <t>3000000015</t>
  </si>
  <si>
    <t>CORP - Retail Operat</t>
  </si>
  <si>
    <t>3000000018</t>
  </si>
  <si>
    <t>Lubbock-G&amp;A</t>
  </si>
  <si>
    <t>3000000019</t>
  </si>
  <si>
    <t>CORP - Odessa-G&amp;A</t>
  </si>
  <si>
    <t>3000000022</t>
  </si>
  <si>
    <t>Retail Fuel</t>
  </si>
  <si>
    <t>3000000024</t>
  </si>
  <si>
    <t>Retail Advertising</t>
  </si>
  <si>
    <t>3000000025</t>
  </si>
  <si>
    <t>Finance&amp;Bus Intell</t>
  </si>
  <si>
    <t>3000000030</t>
  </si>
  <si>
    <t>Category Mgmt</t>
  </si>
  <si>
    <t>3000000044</t>
  </si>
  <si>
    <t>SCS</t>
  </si>
  <si>
    <t>61050000</t>
  </si>
  <si>
    <t>Cash Discount</t>
  </si>
  <si>
    <t>3000000045</t>
  </si>
  <si>
    <t>El Paso-Maintenance</t>
  </si>
  <si>
    <t>3000000047</t>
  </si>
  <si>
    <t>Big Spring-Maint</t>
  </si>
  <si>
    <t>3000000048</t>
  </si>
  <si>
    <t>Midland-Maintenance</t>
  </si>
  <si>
    <t>3000000058</t>
  </si>
  <si>
    <t>CORP - MIDLAND-G&amp;A</t>
  </si>
  <si>
    <t>4010100001</t>
  </si>
  <si>
    <t>DKL TRANSPORTATION</t>
  </si>
  <si>
    <t>61406000</t>
  </si>
  <si>
    <t>Drug Testing</t>
  </si>
  <si>
    <t>63003000</t>
  </si>
  <si>
    <t>Other PerSer</t>
  </si>
  <si>
    <t>65006100</t>
  </si>
  <si>
    <t>Supplies - Tractor T</t>
  </si>
  <si>
    <t>65006200</t>
  </si>
  <si>
    <t>Supplies - Trailer T</t>
  </si>
  <si>
    <t>65006300</t>
  </si>
  <si>
    <t>Towing Expenses</t>
  </si>
  <si>
    <t>65006400</t>
  </si>
  <si>
    <t>Truck Wash</t>
  </si>
  <si>
    <t>65104000</t>
  </si>
  <si>
    <t>67000910</t>
  </si>
  <si>
    <t>G&amp;A Clearing</t>
  </si>
  <si>
    <t>69000500</t>
  </si>
  <si>
    <t>Fuel Tax Expense</t>
  </si>
  <si>
    <t>4010100002</t>
  </si>
  <si>
    <t>DKL TRANS CONTRA</t>
  </si>
  <si>
    <t>4010100003</t>
  </si>
  <si>
    <t>DKL TRANS HELL CREEK</t>
  </si>
  <si>
    <t>4010100004</t>
  </si>
  <si>
    <t>DKL TYR TRANS</t>
  </si>
  <si>
    <t>4010100005</t>
  </si>
  <si>
    <t>DKL TYR TRANS CONTRA</t>
  </si>
  <si>
    <t>4010100006</t>
  </si>
  <si>
    <t>DKL ELD TRANS</t>
  </si>
  <si>
    <t>63001300</t>
  </si>
  <si>
    <t>Process Fuel Gas</t>
  </si>
  <si>
    <t>67000700</t>
  </si>
  <si>
    <t>OpEx Clearing Acct</t>
  </si>
  <si>
    <t>4010100007</t>
  </si>
  <si>
    <t>DKL ELD TRANS CONTRA</t>
  </si>
  <si>
    <t>4010100060</t>
  </si>
  <si>
    <t>DKL 3B GAS</t>
  </si>
  <si>
    <t>4010100065</t>
  </si>
  <si>
    <t>DKL DELAWARE HOLDING</t>
  </si>
  <si>
    <t>4010100083</t>
  </si>
  <si>
    <t>H2O - Corporate</t>
  </si>
  <si>
    <t>4010100093</t>
  </si>
  <si>
    <t>GRAVITY - Corporate</t>
  </si>
  <si>
    <t>69000100</t>
  </si>
  <si>
    <t>Sales &amp; Use Taxes</t>
  </si>
  <si>
    <t>4010100100</t>
  </si>
  <si>
    <t>DEP - Corporate</t>
  </si>
  <si>
    <t>4020100004</t>
  </si>
  <si>
    <t>DKL - IT G&amp;A</t>
  </si>
  <si>
    <t>4020100005</t>
  </si>
  <si>
    <t>4020100006</t>
  </si>
  <si>
    <t>ACQUISITION &amp; INTEGR</t>
  </si>
  <si>
    <t>4020100007</t>
  </si>
  <si>
    <t>DIRECTORS</t>
  </si>
  <si>
    <t>4020100008</t>
  </si>
  <si>
    <t>4020100009</t>
  </si>
  <si>
    <t>4020100012</t>
  </si>
  <si>
    <t>4020100013</t>
  </si>
  <si>
    <t>DALLAS OFFICE</t>
  </si>
  <si>
    <t>4020100015</t>
  </si>
  <si>
    <t>4020100017</t>
  </si>
  <si>
    <t>PLANNING &amp; RELIAB</t>
  </si>
  <si>
    <t>4020100018</t>
  </si>
  <si>
    <t>ASSET INTEGRITY</t>
  </si>
  <si>
    <t>4020100019</t>
  </si>
  <si>
    <t>CORP ADMIN</t>
  </si>
  <si>
    <t>4020100020</t>
  </si>
  <si>
    <t>COMPLIANCE &amp; REG</t>
  </si>
  <si>
    <t>4020100021</t>
  </si>
  <si>
    <t>4020100022</t>
  </si>
  <si>
    <t>STRATEGIC DEVELOP</t>
  </si>
  <si>
    <t>63003600</t>
  </si>
  <si>
    <t>Drag Reduc Agent Exp</t>
  </si>
  <si>
    <t>4020100024</t>
  </si>
  <si>
    <t>PIPE INSPECT &amp; MAINT</t>
  </si>
  <si>
    <t>4020100025</t>
  </si>
  <si>
    <t>ENGINEERING</t>
  </si>
  <si>
    <t>4020100026</t>
  </si>
  <si>
    <t>HYDROCARBON LOSS CON</t>
  </si>
  <si>
    <t>4020100027</t>
  </si>
  <si>
    <t>EH&amp;S</t>
  </si>
  <si>
    <t>4020100028</t>
  </si>
  <si>
    <t>DKL OPERATING</t>
  </si>
  <si>
    <t>69000300</t>
  </si>
  <si>
    <t>Business Tax Expense</t>
  </si>
  <si>
    <t>4020100050</t>
  </si>
  <si>
    <t>BSR MARKETING</t>
  </si>
  <si>
    <t>4020100052</t>
  </si>
  <si>
    <t>WHOLESALE MARKETING</t>
  </si>
  <si>
    <t>4020100056</t>
  </si>
  <si>
    <t>4020100059</t>
  </si>
  <si>
    <t>DDG-EHS</t>
  </si>
  <si>
    <t>4040100001</t>
  </si>
  <si>
    <t>DKL PARTNER</t>
  </si>
  <si>
    <t>5000000001</t>
  </si>
  <si>
    <t>NLR Energy Logistics</t>
  </si>
  <si>
    <t>6000000001</t>
  </si>
  <si>
    <t>DK-PAC</t>
  </si>
  <si>
    <t>Total</t>
  </si>
  <si>
    <t>Applied filters:
OpEx vs G&amp;A is G&amp;A</t>
  </si>
  <si>
    <t>1002000001 Total</t>
  </si>
  <si>
    <t>1002000002 Total</t>
  </si>
  <si>
    <t>1002000003 Total</t>
  </si>
  <si>
    <t>1002000004 Total</t>
  </si>
  <si>
    <t>1002000005 Total</t>
  </si>
  <si>
    <t>1002000006 Total</t>
  </si>
  <si>
    <t>1002000007 Total</t>
  </si>
  <si>
    <t>1002000008 Total</t>
  </si>
  <si>
    <t>1002000009 Total</t>
  </si>
  <si>
    <t>1002000010 Total</t>
  </si>
  <si>
    <t>1002000011 Total</t>
  </si>
  <si>
    <t>1002000012 Total</t>
  </si>
  <si>
    <t>1002000013 Total</t>
  </si>
  <si>
    <t>1002000014 Total</t>
  </si>
  <si>
    <t>1002000015 Total</t>
  </si>
  <si>
    <t>1002000017 Total</t>
  </si>
  <si>
    <t>1002000018 Total</t>
  </si>
  <si>
    <t>1002000019 Total</t>
  </si>
  <si>
    <t>1002000020 Total</t>
  </si>
  <si>
    <t>1002000021 Total</t>
  </si>
  <si>
    <t>1002000022 Total</t>
  </si>
  <si>
    <t>1002000023 Total</t>
  </si>
  <si>
    <t>1002000024 Total</t>
  </si>
  <si>
    <t>1002000025 Total</t>
  </si>
  <si>
    <t>1002000026 Total</t>
  </si>
  <si>
    <t>1002000027 Total</t>
  </si>
  <si>
    <t>1002000028 Total</t>
  </si>
  <si>
    <t>1002000029 Total</t>
  </si>
  <si>
    <t>1002000030 Total</t>
  </si>
  <si>
    <t>1002000031 Total</t>
  </si>
  <si>
    <t>1002000032 Total</t>
  </si>
  <si>
    <t>1002000033 Total</t>
  </si>
  <si>
    <t>1002000034 Total</t>
  </si>
  <si>
    <t>1002000035 Total</t>
  </si>
  <si>
    <t>1002000036 Total</t>
  </si>
  <si>
    <t>1002000037 Total</t>
  </si>
  <si>
    <t>1002000038 Total</t>
  </si>
  <si>
    <t>1002000039 Total</t>
  </si>
  <si>
    <t>1002000041 Total</t>
  </si>
  <si>
    <t>1002000042 Total</t>
  </si>
  <si>
    <t>1002000043 Total</t>
  </si>
  <si>
    <t>1002000044 Total</t>
  </si>
  <si>
    <t>1002000050 Total</t>
  </si>
  <si>
    <t>1002000051 Total</t>
  </si>
  <si>
    <t>1002000052 Total</t>
  </si>
  <si>
    <t>1002000053 Total</t>
  </si>
  <si>
    <t>1002000060 Total</t>
  </si>
  <si>
    <t>1002000061 Total</t>
  </si>
  <si>
    <t>1002000062 Total</t>
  </si>
  <si>
    <t>1002000063 Total</t>
  </si>
  <si>
    <t>1005000001 Total</t>
  </si>
  <si>
    <t>1005000002 Total</t>
  </si>
  <si>
    <t>1005000004 Total</t>
  </si>
  <si>
    <t>1005000015 Total</t>
  </si>
  <si>
    <t>1005000016 Total</t>
  </si>
  <si>
    <t>1005000020 Total</t>
  </si>
  <si>
    <t>1005000021 Total</t>
  </si>
  <si>
    <t>1005000025 Total</t>
  </si>
  <si>
    <t>1005000026 Total</t>
  </si>
  <si>
    <t>1006000001 Total</t>
  </si>
  <si>
    <t>1007000004 Total</t>
  </si>
  <si>
    <t>1007000005 Total</t>
  </si>
  <si>
    <t>1009000001 Total</t>
  </si>
  <si>
    <t>1009000003 Total</t>
  </si>
  <si>
    <t>1010000001 Total</t>
  </si>
  <si>
    <t>1010000003 Total</t>
  </si>
  <si>
    <t>1010000004 Total</t>
  </si>
  <si>
    <t>1012000001 Total</t>
  </si>
  <si>
    <t>1012000002 Total</t>
  </si>
  <si>
    <t>1012000005 Total</t>
  </si>
  <si>
    <t>1015000002 Total</t>
  </si>
  <si>
    <t>1016000001 Total</t>
  </si>
  <si>
    <t>1018000001 Total</t>
  </si>
  <si>
    <t>1018000003 Total</t>
  </si>
  <si>
    <t>1028000001 Total</t>
  </si>
  <si>
    <t>2000000002 Total</t>
  </si>
  <si>
    <t>2000000003 Total</t>
  </si>
  <si>
    <t>2000000015 Total</t>
  </si>
  <si>
    <t>2001000032 Total</t>
  </si>
  <si>
    <t>2001000034 Total</t>
  </si>
  <si>
    <t>2001000039 Total</t>
  </si>
  <si>
    <t>2001000040 Total</t>
  </si>
  <si>
    <t>2001000042 Total</t>
  </si>
  <si>
    <t>2001000045 Total</t>
  </si>
  <si>
    <t>2001000046 Total</t>
  </si>
  <si>
    <t>2001000061 Total</t>
  </si>
  <si>
    <t>2001000062 Total</t>
  </si>
  <si>
    <t>2001000073 Total</t>
  </si>
  <si>
    <t>2001000235 Total</t>
  </si>
  <si>
    <t>2001000250 Total</t>
  </si>
  <si>
    <t>2001001008 Total</t>
  </si>
  <si>
    <t>2001001012 Total</t>
  </si>
  <si>
    <t>2001002010 Total</t>
  </si>
  <si>
    <t>2001010507 Total</t>
  </si>
  <si>
    <t>2001068110 Total</t>
  </si>
  <si>
    <t>2002000001 Total</t>
  </si>
  <si>
    <t>2002000002 Total</t>
  </si>
  <si>
    <t>2002000003 Total</t>
  </si>
  <si>
    <t>2002000004 Total</t>
  </si>
  <si>
    <t>2002000005 Total</t>
  </si>
  <si>
    <t>2002000006 Total</t>
  </si>
  <si>
    <t>2002000062 Total</t>
  </si>
  <si>
    <t>2002000074 Total</t>
  </si>
  <si>
    <t>2002000076 Total</t>
  </si>
  <si>
    <t>2002000078 Total</t>
  </si>
  <si>
    <t>2002000081 Total</t>
  </si>
  <si>
    <t>2002000086 Total</t>
  </si>
  <si>
    <t>2002000090 Total</t>
  </si>
  <si>
    <t>2002000091 Total</t>
  </si>
  <si>
    <t>2002000092 Total</t>
  </si>
  <si>
    <t>2002000094 Total</t>
  </si>
  <si>
    <t>2002000095 Total</t>
  </si>
  <si>
    <t>2002000096 Total</t>
  </si>
  <si>
    <t>2002000097 Total</t>
  </si>
  <si>
    <t>2002000099 Total</t>
  </si>
  <si>
    <t>2002000115 Total</t>
  </si>
  <si>
    <t>2002000117 Total</t>
  </si>
  <si>
    <t>2002000118 Total</t>
  </si>
  <si>
    <t>2002000119 Total</t>
  </si>
  <si>
    <t>2002000120 Total</t>
  </si>
  <si>
    <t>2003000001 Total</t>
  </si>
  <si>
    <t>2003000029 Total</t>
  </si>
  <si>
    <t>2003000033 Total</t>
  </si>
  <si>
    <t>2003000036 Total</t>
  </si>
  <si>
    <t>2003000047 Total</t>
  </si>
  <si>
    <t>2003000048 Total</t>
  </si>
  <si>
    <t>2003000090 Total</t>
  </si>
  <si>
    <t>2003000222 Total</t>
  </si>
  <si>
    <t>2003000585 Total</t>
  </si>
  <si>
    <t>2003000590 Total</t>
  </si>
  <si>
    <t>2003000598 Total</t>
  </si>
  <si>
    <t>2004000001 Total</t>
  </si>
  <si>
    <t>2004000002 Total</t>
  </si>
  <si>
    <t>2004000003 Total</t>
  </si>
  <si>
    <t>2004000006 Total</t>
  </si>
  <si>
    <t>2004000015 Total</t>
  </si>
  <si>
    <t>2004000044 Total</t>
  </si>
  <si>
    <t>2004000046 Total</t>
  </si>
  <si>
    <t>2004000066 Total</t>
  </si>
  <si>
    <t>2004000069 Total</t>
  </si>
  <si>
    <t>2004000070 Total</t>
  </si>
  <si>
    <t>2004000072 Total</t>
  </si>
  <si>
    <t>2004000073 Total</t>
  </si>
  <si>
    <t>2004000075 Total</t>
  </si>
  <si>
    <t>2004000076 Total</t>
  </si>
  <si>
    <t>2004000077 Total</t>
  </si>
  <si>
    <t>2008000003 Total</t>
  </si>
  <si>
    <t>2008000004 Total</t>
  </si>
  <si>
    <t>3000000011 Total</t>
  </si>
  <si>
    <t>3000000012 Total</t>
  </si>
  <si>
    <t>3000000013 Total</t>
  </si>
  <si>
    <t>3000000014 Total</t>
  </si>
  <si>
    <t>3000000015 Total</t>
  </si>
  <si>
    <t>3000000018 Total</t>
  </si>
  <si>
    <t>3000000019 Total</t>
  </si>
  <si>
    <t>3000000022 Total</t>
  </si>
  <si>
    <t>3000000024 Total</t>
  </si>
  <si>
    <t>3000000025 Total</t>
  </si>
  <si>
    <t>3000000030 Total</t>
  </si>
  <si>
    <t>3000000044 Total</t>
  </si>
  <si>
    <t>3000000045 Total</t>
  </si>
  <si>
    <t>3000000047 Total</t>
  </si>
  <si>
    <t>3000000048 Total</t>
  </si>
  <si>
    <t>3000000058 Total</t>
  </si>
  <si>
    <t>4010100001 Total</t>
  </si>
  <si>
    <t>4010100002 Total</t>
  </si>
  <si>
    <t>4010100003 Total</t>
  </si>
  <si>
    <t>4010100004 Total</t>
  </si>
  <si>
    <t>4010100005 Total</t>
  </si>
  <si>
    <t>4010100006 Total</t>
  </si>
  <si>
    <t>4010100007 Total</t>
  </si>
  <si>
    <t>4010100060 Total</t>
  </si>
  <si>
    <t>4010100065 Total</t>
  </si>
  <si>
    <t>4010100083 Total</t>
  </si>
  <si>
    <t>4010100093 Total</t>
  </si>
  <si>
    <t>4010100100 Total</t>
  </si>
  <si>
    <t>4020100004 Total</t>
  </si>
  <si>
    <t>4020100005 Total</t>
  </si>
  <si>
    <t>4020100006 Total</t>
  </si>
  <si>
    <t>4020100007 Total</t>
  </si>
  <si>
    <t>4020100008 Total</t>
  </si>
  <si>
    <t>4020100009 Total</t>
  </si>
  <si>
    <t>4020100012 Total</t>
  </si>
  <si>
    <t>4020100013 Total</t>
  </si>
  <si>
    <t>4020100015 Total</t>
  </si>
  <si>
    <t>4020100017 Total</t>
  </si>
  <si>
    <t>4020100018 Total</t>
  </si>
  <si>
    <t>4020100019 Total</t>
  </si>
  <si>
    <t>4020100020 Total</t>
  </si>
  <si>
    <t>4020100021 Total</t>
  </si>
  <si>
    <t>4020100022 Total</t>
  </si>
  <si>
    <t>4020100024 Total</t>
  </si>
  <si>
    <t>4020100025 Total</t>
  </si>
  <si>
    <t>4020100026 Total</t>
  </si>
  <si>
    <t>4020100027 Total</t>
  </si>
  <si>
    <t>4020100028 Total</t>
  </si>
  <si>
    <t>4020100050 Total</t>
  </si>
  <si>
    <t>4020100052 Total</t>
  </si>
  <si>
    <t>4020100056 Total</t>
  </si>
  <si>
    <t>4020100059 Total</t>
  </si>
  <si>
    <t>4040100001 Total</t>
  </si>
  <si>
    <t>5000000001 Total</t>
  </si>
  <si>
    <t>6000000001 Total</t>
  </si>
  <si>
    <t>Total Total</t>
  </si>
  <si>
    <t>Applied filters:
OpEx vs G&amp;A is G&amp;A Total</t>
  </si>
  <si>
    <t>Grand Total</t>
  </si>
  <si>
    <t>Monthly Average last 6 months</t>
  </si>
  <si>
    <t>CM Variance from Average</t>
  </si>
  <si>
    <t>FLAG</t>
  </si>
  <si>
    <t>% Variance from Average</t>
  </si>
  <si>
    <t>Usually zero but there is an amount this month</t>
  </si>
  <si>
    <t>15%+/- or more change from 3 month average and &lt;&gt; $25k</t>
  </si>
  <si>
    <t>Less than ($15k)  - any missing accruals?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</si>
</sst>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>
    <font>
      <sz val="11"/>
      <name val="Aptos Narrow"/>
    </font>
    <font>
      <b/>
      <sz val="11"/>
      <name val="Aptos Narrow"/>
    </font>
    <font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43" fontId="0" fillId="0" borderId="1" xfId="1" applyFont="1" applyBorder="1"/>
    <xf numFmtId="43" fontId="0" fillId="0" borderId="0" xfId="1" applyFont="1"/>
    <xf numFmtId="43" fontId="1" fillId="0" borderId="0" xfId="1" applyFont="1"/>
    <xf numFmtId="0" fontId="1" fillId="0" borderId="0" xfId="0" applyFont="1" applyAlignment="1">
      <alignment wrapText="1"/>
    </xf>
    <xf numFmtId="43" fontId="0" fillId="2" borderId="0" xfId="1" applyFont="1" applyFill="1" applyBorder="1"/>
    <xf numFmtId="43" fontId="0" fillId="0" borderId="0" xfId="0" applyNumberFormat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77"/>
  <sheetViews>
    <sheetView tabSelected="1" topLeftCell="K1" workbookViewId="0">
      <selection activeCell="S268" sqref="S268"/>
    </sheetView>
  </sheetViews>
  <sheetFormatPr defaultRowHeight="15" outlineLevelRow="2"/>
  <cols>
    <col min="4" max="4" width="23.140625" bestFit="1" customWidth="1"/>
    <col min="5" max="18" width="14.28515625" style="4" bestFit="1" customWidth="1"/>
    <col min="19" max="19" width="29.7109375" bestFit="1" customWidth="1"/>
    <col min="20" max="20" width="25.85546875" bestFit="1" customWidth="1"/>
    <col min="21" max="21" width="26.85546875" bestFit="1" customWidth="1"/>
    <col min="22" max="22" width="59.140625" bestFit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7" t="s">
        <v>891</v>
      </c>
      <c r="T1" s="7" t="s">
        <v>892</v>
      </c>
      <c r="U1" s="7" t="s">
        <v>894</v>
      </c>
      <c r="V1" s="7" t="s">
        <v>893</v>
      </c>
    </row>
    <row r="2" spans="1:22" outlineLevel="1">
      <c r="A2" t="s">
        <v>18</v>
      </c>
      <c r="C2" t="s">
        <v>19</v>
      </c>
      <c r="D2" t="s">
        <v>20</v>
      </c>
      <c r="E2" s="4">
        <v>54.340000000000025</v>
      </c>
      <c r="F2" s="4">
        <v>-509.85999999989235</v>
      </c>
      <c r="G2" s="4">
        <v>-4.1744385725905886E-12</v>
      </c>
      <c r="H2" s="4">
        <v>21.250000000015085</v>
      </c>
      <c r="I2" s="4">
        <v>-1.7109869077103212E-11</v>
      </c>
      <c r="J2" s="4">
        <v>-165.32999999999711</v>
      </c>
      <c r="K2" s="4">
        <v>165.32999999999652</v>
      </c>
      <c r="L2" s="4">
        <v>1.3784529073745944E-12</v>
      </c>
      <c r="M2" s="4">
        <v>3.922195901395753E-12</v>
      </c>
      <c r="N2" s="4">
        <v>4.1566750041965861E-12</v>
      </c>
      <c r="O2" s="4">
        <v>50.73000000000151</v>
      </c>
      <c r="P2" s="4">
        <v>114.0499999999324</v>
      </c>
      <c r="Q2" s="4">
        <v>1.779909553079051E-12</v>
      </c>
      <c r="R2" s="4">
        <v>441.55999999999335</v>
      </c>
      <c r="S2" s="8">
        <f>AVERAGE(L2:Q2)</f>
        <v>27.46333333332419</v>
      </c>
      <c r="T2" s="8">
        <f>R2-S2</f>
        <v>414.09666666666914</v>
      </c>
      <c r="U2" s="9">
        <f>(R2-S2)/S2</f>
        <v>15.078164825833488</v>
      </c>
    </row>
    <row r="3" spans="1:22" outlineLevel="1">
      <c r="A3" t="s">
        <v>18</v>
      </c>
      <c r="C3" t="s">
        <v>21</v>
      </c>
      <c r="D3" t="s">
        <v>22</v>
      </c>
      <c r="E3" s="4">
        <v>-110.82</v>
      </c>
      <c r="F3" s="4">
        <v>-586.49</v>
      </c>
      <c r="G3" s="4">
        <v>-381.06</v>
      </c>
      <c r="H3" s="4">
        <v>-247.87</v>
      </c>
      <c r="I3" s="4">
        <v>0</v>
      </c>
      <c r="J3" s="4">
        <v>0</v>
      </c>
      <c r="K3" s="4">
        <v>-50.26</v>
      </c>
      <c r="L3" s="4">
        <v>-337.64</v>
      </c>
      <c r="M3" s="4">
        <v>0</v>
      </c>
      <c r="N3" s="4">
        <v>-465.13</v>
      </c>
      <c r="O3" s="4">
        <v>0</v>
      </c>
      <c r="P3" s="4">
        <v>0</v>
      </c>
      <c r="Q3" s="4">
        <v>0</v>
      </c>
      <c r="S3" s="8">
        <f t="shared" ref="S3:S66" si="0">AVERAGE(L3:Q3)</f>
        <v>-133.79499999999999</v>
      </c>
      <c r="T3" s="8">
        <f t="shared" ref="T3:T66" si="1">R3-S3</f>
        <v>133.79499999999999</v>
      </c>
      <c r="U3" s="9">
        <f t="shared" ref="U3:U66" si="2">(R3-S3)/S3</f>
        <v>-1</v>
      </c>
    </row>
    <row r="4" spans="1:22" outlineLevel="1">
      <c r="A4" t="s">
        <v>18</v>
      </c>
      <c r="C4" t="s">
        <v>23</v>
      </c>
      <c r="D4" t="s">
        <v>24</v>
      </c>
      <c r="E4" s="4">
        <v>-3044.32</v>
      </c>
      <c r="F4" s="4">
        <v>-1214.24</v>
      </c>
      <c r="G4" s="4">
        <v>-1627.67</v>
      </c>
      <c r="H4" s="4">
        <v>-1824.77</v>
      </c>
      <c r="I4" s="4">
        <v>0</v>
      </c>
      <c r="J4" s="4">
        <v>0</v>
      </c>
      <c r="K4" s="4">
        <v>-1880.02</v>
      </c>
      <c r="L4" s="4">
        <v>-525.66999999999996</v>
      </c>
      <c r="M4" s="4">
        <v>-62</v>
      </c>
      <c r="N4" s="4">
        <v>-256.69</v>
      </c>
      <c r="O4" s="4">
        <v>0</v>
      </c>
      <c r="P4" s="4">
        <v>0</v>
      </c>
      <c r="Q4" s="4">
        <v>0</v>
      </c>
      <c r="R4" s="4">
        <v>-828.43</v>
      </c>
      <c r="S4" s="8">
        <f t="shared" si="0"/>
        <v>-140.72666666666666</v>
      </c>
      <c r="T4" s="8">
        <f t="shared" si="1"/>
        <v>-687.70333333333326</v>
      </c>
      <c r="U4" s="9">
        <f t="shared" si="2"/>
        <v>4.8868018380785445</v>
      </c>
    </row>
    <row r="5" spans="1:22" outlineLevel="1">
      <c r="A5" t="s">
        <v>18</v>
      </c>
      <c r="C5" t="s">
        <v>25</v>
      </c>
      <c r="D5" t="s">
        <v>26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-148.35</v>
      </c>
      <c r="N5" s="4">
        <v>-448.86</v>
      </c>
      <c r="O5" s="4">
        <v>0</v>
      </c>
      <c r="P5" s="4">
        <v>0</v>
      </c>
      <c r="Q5" s="4">
        <v>0</v>
      </c>
      <c r="S5" s="8">
        <f t="shared" si="0"/>
        <v>-99.535000000000011</v>
      </c>
      <c r="T5" s="8">
        <f t="shared" si="1"/>
        <v>99.535000000000011</v>
      </c>
      <c r="U5" s="9">
        <f t="shared" si="2"/>
        <v>-1</v>
      </c>
    </row>
    <row r="6" spans="1:22" outlineLevel="1">
      <c r="A6" t="s">
        <v>18</v>
      </c>
      <c r="C6" t="s">
        <v>27</v>
      </c>
      <c r="D6" t="s">
        <v>28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-1225.33</v>
      </c>
      <c r="N6" s="4">
        <v>-571.24</v>
      </c>
      <c r="O6" s="4">
        <v>0</v>
      </c>
      <c r="P6" s="4">
        <v>0</v>
      </c>
      <c r="Q6" s="4">
        <v>0</v>
      </c>
      <c r="S6" s="8">
        <f t="shared" si="0"/>
        <v>-299.42833333333334</v>
      </c>
      <c r="T6" s="8">
        <f t="shared" si="1"/>
        <v>299.42833333333334</v>
      </c>
      <c r="U6" s="9">
        <f t="shared" si="2"/>
        <v>-1</v>
      </c>
    </row>
    <row r="7" spans="1:22" outlineLevel="1">
      <c r="A7" t="s">
        <v>18</v>
      </c>
      <c r="C7" t="s">
        <v>29</v>
      </c>
      <c r="D7" t="s">
        <v>30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8">
        <f t="shared" si="0"/>
        <v>0</v>
      </c>
      <c r="T7" s="8">
        <f t="shared" si="1"/>
        <v>0</v>
      </c>
      <c r="U7" s="9" t="e">
        <f t="shared" si="2"/>
        <v>#DIV/0!</v>
      </c>
    </row>
    <row r="8" spans="1:22" outlineLevel="1">
      <c r="A8" t="s">
        <v>18</v>
      </c>
      <c r="C8" t="s">
        <v>31</v>
      </c>
      <c r="D8" t="s">
        <v>32</v>
      </c>
      <c r="E8" s="4">
        <v>1.8189894035458565E-12</v>
      </c>
      <c r="F8" s="4">
        <v>-4.5474735088646412E-13</v>
      </c>
      <c r="G8" s="4">
        <v>559.87000000001092</v>
      </c>
      <c r="H8" s="4">
        <v>-559.86999999999944</v>
      </c>
      <c r="I8" s="4">
        <v>-2.2737367544323206E-13</v>
      </c>
      <c r="J8" s="4">
        <v>-2.7284841053187847E-12</v>
      </c>
      <c r="K8" s="4">
        <v>-4.5474735088646412E-12</v>
      </c>
      <c r="L8" s="4">
        <v>2.2737367544323206E-12</v>
      </c>
      <c r="M8" s="4">
        <v>-7.2826189523311768E-12</v>
      </c>
      <c r="N8" s="4">
        <v>-7.9580786405131221E-13</v>
      </c>
      <c r="O8" s="4">
        <v>-3.637978807091713E-12</v>
      </c>
      <c r="P8" s="4">
        <v>0</v>
      </c>
      <c r="Q8" s="4">
        <v>0</v>
      </c>
      <c r="S8" s="8">
        <f t="shared" si="0"/>
        <v>-1.5737781448403136E-12</v>
      </c>
      <c r="T8" s="8">
        <f t="shared" si="1"/>
        <v>1.5737781448403136E-12</v>
      </c>
      <c r="U8" s="9">
        <f t="shared" si="2"/>
        <v>-1</v>
      </c>
    </row>
    <row r="9" spans="1:22" outlineLevel="1">
      <c r="A9" t="s">
        <v>18</v>
      </c>
      <c r="C9" t="s">
        <v>33</v>
      </c>
      <c r="D9" t="s">
        <v>34</v>
      </c>
      <c r="E9" s="4">
        <v>-1000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-175</v>
      </c>
      <c r="O9" s="4">
        <v>0</v>
      </c>
      <c r="P9" s="4">
        <v>-175</v>
      </c>
      <c r="Q9" s="4">
        <v>0</v>
      </c>
      <c r="S9" s="8">
        <f t="shared" si="0"/>
        <v>-58.333333333333336</v>
      </c>
      <c r="T9" s="8">
        <f t="shared" si="1"/>
        <v>58.333333333333336</v>
      </c>
      <c r="U9" s="9">
        <f t="shared" si="2"/>
        <v>-1</v>
      </c>
    </row>
    <row r="10" spans="1:22" outlineLevel="1">
      <c r="A10" t="s">
        <v>18</v>
      </c>
      <c r="C10" t="s">
        <v>35</v>
      </c>
      <c r="D10" t="s">
        <v>36</v>
      </c>
      <c r="E10" s="4">
        <v>-1500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S10" s="8">
        <f t="shared" si="0"/>
        <v>0</v>
      </c>
      <c r="T10" s="8">
        <f t="shared" si="1"/>
        <v>0</v>
      </c>
      <c r="U10" s="9" t="e">
        <f t="shared" si="2"/>
        <v>#DIV/0!</v>
      </c>
    </row>
    <row r="11" spans="1:22" outlineLevel="1">
      <c r="A11" t="s">
        <v>18</v>
      </c>
      <c r="C11" t="s">
        <v>37</v>
      </c>
      <c r="D11" t="s">
        <v>38</v>
      </c>
      <c r="E11" s="4">
        <v>-5761.88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S11" s="8">
        <f t="shared" si="0"/>
        <v>0</v>
      </c>
      <c r="T11" s="8">
        <f t="shared" si="1"/>
        <v>0</v>
      </c>
      <c r="U11" s="9" t="e">
        <f t="shared" si="2"/>
        <v>#DIV/0!</v>
      </c>
    </row>
    <row r="12" spans="1:22" outlineLevel="1">
      <c r="A12" t="s">
        <v>18</v>
      </c>
      <c r="C12" t="s">
        <v>39</v>
      </c>
      <c r="D12" t="s">
        <v>40</v>
      </c>
      <c r="E12" s="4">
        <v>0</v>
      </c>
      <c r="F12" s="4">
        <v>0</v>
      </c>
      <c r="G12" s="4">
        <v>-28554.620000000003</v>
      </c>
      <c r="H12" s="4">
        <v>0</v>
      </c>
      <c r="I12" s="4">
        <v>-114.05</v>
      </c>
      <c r="J12" s="4">
        <v>0</v>
      </c>
      <c r="K12" s="4">
        <v>0</v>
      </c>
      <c r="L12" s="4">
        <v>0</v>
      </c>
      <c r="M12" s="4">
        <v>-12009.53</v>
      </c>
      <c r="N12" s="4">
        <v>-103.6</v>
      </c>
      <c r="O12" s="4">
        <v>0</v>
      </c>
      <c r="P12" s="4">
        <v>-622.78</v>
      </c>
      <c r="Q12" s="4">
        <v>0</v>
      </c>
      <c r="S12" s="8">
        <f t="shared" si="0"/>
        <v>-2122.6516666666671</v>
      </c>
      <c r="T12" s="8">
        <f t="shared" si="1"/>
        <v>2122.6516666666671</v>
      </c>
      <c r="U12" s="9">
        <f t="shared" si="2"/>
        <v>-1</v>
      </c>
    </row>
    <row r="13" spans="1:22" outlineLevel="1">
      <c r="A13" t="s">
        <v>18</v>
      </c>
      <c r="C13" t="s">
        <v>41</v>
      </c>
      <c r="D13" t="s">
        <v>42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S13" s="8">
        <f t="shared" si="0"/>
        <v>0</v>
      </c>
      <c r="T13" s="8">
        <f t="shared" si="1"/>
        <v>0</v>
      </c>
      <c r="U13" s="9" t="e">
        <f t="shared" si="2"/>
        <v>#DIV/0!</v>
      </c>
    </row>
    <row r="14" spans="1:22" outlineLevel="1">
      <c r="A14" t="s">
        <v>18</v>
      </c>
      <c r="C14" t="s">
        <v>43</v>
      </c>
      <c r="D14" t="s">
        <v>44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6.8212102632969618E-13</v>
      </c>
      <c r="S14" s="8">
        <f t="shared" si="0"/>
        <v>1.1368683772161603E-13</v>
      </c>
      <c r="T14" s="8">
        <f t="shared" si="1"/>
        <v>-1.1368683772161603E-13</v>
      </c>
      <c r="U14" s="9">
        <f t="shared" si="2"/>
        <v>-1</v>
      </c>
    </row>
    <row r="15" spans="1:22" outlineLevel="1">
      <c r="A15" t="s">
        <v>18</v>
      </c>
      <c r="C15" t="s">
        <v>45</v>
      </c>
      <c r="D15" t="s">
        <v>46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1.4551915228366852E-11</v>
      </c>
      <c r="N15" s="4">
        <v>0</v>
      </c>
      <c r="O15" s="4">
        <v>0</v>
      </c>
      <c r="P15" s="4">
        <v>0</v>
      </c>
      <c r="Q15" s="4">
        <v>0</v>
      </c>
      <c r="S15" s="8">
        <f t="shared" si="0"/>
        <v>2.4253192047278085E-12</v>
      </c>
      <c r="T15" s="8">
        <f t="shared" si="1"/>
        <v>-2.4253192047278085E-12</v>
      </c>
      <c r="U15" s="9">
        <f t="shared" si="2"/>
        <v>-1</v>
      </c>
    </row>
    <row r="16" spans="1:22" outlineLevel="1">
      <c r="A16" t="s">
        <v>18</v>
      </c>
      <c r="C16" t="s">
        <v>47</v>
      </c>
      <c r="D16" t="s">
        <v>48</v>
      </c>
      <c r="E16" s="4">
        <v>0</v>
      </c>
      <c r="F16" s="4">
        <v>0</v>
      </c>
      <c r="G16" s="4">
        <v>0</v>
      </c>
      <c r="H16" s="4">
        <v>3403.3499999999995</v>
      </c>
      <c r="I16" s="4">
        <v>0</v>
      </c>
      <c r="J16" s="4">
        <v>0</v>
      </c>
      <c r="K16" s="4">
        <v>-2.8421709430404007E-14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S16" s="8">
        <f t="shared" si="0"/>
        <v>0</v>
      </c>
      <c r="T16" s="8">
        <f t="shared" si="1"/>
        <v>0</v>
      </c>
      <c r="U16" s="9" t="e">
        <f t="shared" si="2"/>
        <v>#DIV/0!</v>
      </c>
    </row>
    <row r="17" spans="1:21" outlineLevel="1">
      <c r="A17" t="s">
        <v>18</v>
      </c>
      <c r="C17" t="s">
        <v>49</v>
      </c>
      <c r="D17" t="s">
        <v>50</v>
      </c>
      <c r="E17" s="4">
        <v>0</v>
      </c>
      <c r="F17" s="4">
        <v>0</v>
      </c>
      <c r="G17" s="4">
        <v>0</v>
      </c>
      <c r="H17" s="4">
        <v>1.1368683772161603E-13</v>
      </c>
      <c r="I17" s="4">
        <v>0</v>
      </c>
      <c r="J17" s="4">
        <v>0</v>
      </c>
      <c r="K17" s="4">
        <v>1.4210854715202004E-14</v>
      </c>
      <c r="L17" s="4">
        <v>0</v>
      </c>
      <c r="M17" s="4">
        <v>0</v>
      </c>
      <c r="N17" s="4">
        <v>0</v>
      </c>
      <c r="O17" s="4">
        <v>-1.1368683772161603E-13</v>
      </c>
      <c r="P17" s="4">
        <v>0</v>
      </c>
      <c r="Q17" s="4">
        <v>293.26</v>
      </c>
      <c r="R17" s="4">
        <v>0</v>
      </c>
      <c r="S17" s="8">
        <f t="shared" si="0"/>
        <v>48.876666666666644</v>
      </c>
      <c r="T17" s="8">
        <f t="shared" si="1"/>
        <v>-48.876666666666644</v>
      </c>
      <c r="U17" s="9">
        <f t="shared" si="2"/>
        <v>-1</v>
      </c>
    </row>
    <row r="18" spans="1:21" outlineLevel="1">
      <c r="A18" t="s">
        <v>18</v>
      </c>
      <c r="C18" t="s">
        <v>51</v>
      </c>
      <c r="D18" t="s">
        <v>52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-9.0949470177292824E-13</v>
      </c>
      <c r="N18" s="4">
        <v>0</v>
      </c>
      <c r="O18" s="4">
        <v>0</v>
      </c>
      <c r="P18" s="4">
        <v>0</v>
      </c>
      <c r="Q18" s="4">
        <v>0</v>
      </c>
      <c r="S18" s="8">
        <f t="shared" si="0"/>
        <v>-1.5158245029548803E-13</v>
      </c>
      <c r="T18" s="8">
        <f t="shared" si="1"/>
        <v>1.5158245029548803E-13</v>
      </c>
      <c r="U18" s="9">
        <f t="shared" si="2"/>
        <v>-1</v>
      </c>
    </row>
    <row r="19" spans="1:21" outlineLevel="1">
      <c r="A19" t="s">
        <v>18</v>
      </c>
      <c r="C19" t="s">
        <v>53</v>
      </c>
      <c r="D19" t="s">
        <v>54</v>
      </c>
      <c r="E19" s="4">
        <v>0</v>
      </c>
      <c r="F19" s="4">
        <v>0</v>
      </c>
      <c r="G19" s="4">
        <v>3.637978807091713E-12</v>
      </c>
      <c r="H19" s="4">
        <v>4.9453774408902973E-12</v>
      </c>
      <c r="I19" s="4">
        <v>-83.43</v>
      </c>
      <c r="J19" s="4">
        <v>-1.4551915228366852E-11</v>
      </c>
      <c r="K19" s="4">
        <v>0</v>
      </c>
      <c r="L19" s="4">
        <v>0</v>
      </c>
      <c r="M19" s="4">
        <v>0</v>
      </c>
      <c r="N19" s="4">
        <v>0</v>
      </c>
      <c r="O19" s="4">
        <v>-63.12</v>
      </c>
      <c r="P19" s="4">
        <v>0</v>
      </c>
      <c r="Q19" s="4">
        <v>0</v>
      </c>
      <c r="S19" s="8">
        <f t="shared" si="0"/>
        <v>-10.52</v>
      </c>
      <c r="T19" s="8">
        <f t="shared" si="1"/>
        <v>10.52</v>
      </c>
      <c r="U19" s="9">
        <f t="shared" si="2"/>
        <v>-1</v>
      </c>
    </row>
    <row r="20" spans="1:21" outlineLevel="1">
      <c r="A20" t="s">
        <v>18</v>
      </c>
      <c r="C20" t="s">
        <v>55</v>
      </c>
      <c r="D20" t="s">
        <v>56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S20" s="8">
        <f t="shared" si="0"/>
        <v>0</v>
      </c>
      <c r="T20" s="8">
        <f t="shared" si="1"/>
        <v>0</v>
      </c>
      <c r="U20" s="9" t="e">
        <f t="shared" si="2"/>
        <v>#DIV/0!</v>
      </c>
    </row>
    <row r="21" spans="1:21" outlineLevel="1">
      <c r="A21" t="s">
        <v>18</v>
      </c>
      <c r="C21" t="s">
        <v>57</v>
      </c>
      <c r="D21" t="s">
        <v>58</v>
      </c>
      <c r="E21" s="4">
        <v>0</v>
      </c>
      <c r="F21" s="4">
        <v>0</v>
      </c>
      <c r="G21" s="4">
        <v>0</v>
      </c>
      <c r="H21" s="4">
        <v>-4.4408920985006262E-16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1.8189894035458565E-12</v>
      </c>
      <c r="Q21" s="4">
        <v>0</v>
      </c>
      <c r="S21" s="8">
        <f t="shared" si="0"/>
        <v>3.0316490059097606E-13</v>
      </c>
      <c r="T21" s="8">
        <f t="shared" si="1"/>
        <v>-3.0316490059097606E-13</v>
      </c>
      <c r="U21" s="9">
        <f t="shared" si="2"/>
        <v>-1</v>
      </c>
    </row>
    <row r="22" spans="1:21" outlineLevel="1">
      <c r="A22" t="s">
        <v>18</v>
      </c>
      <c r="C22" t="s">
        <v>59</v>
      </c>
      <c r="D22" t="s">
        <v>60</v>
      </c>
      <c r="E22" s="4">
        <v>77079.960000000006</v>
      </c>
      <c r="F22" s="4">
        <v>141429.06999999998</v>
      </c>
      <c r="G22" s="4">
        <v>105532.92000000001</v>
      </c>
      <c r="H22" s="4">
        <v>72416.72</v>
      </c>
      <c r="I22" s="4">
        <v>125332.05999999992</v>
      </c>
      <c r="J22" s="4">
        <v>3546.2200000001035</v>
      </c>
      <c r="K22" s="4">
        <v>21347.990000000165</v>
      </c>
      <c r="L22" s="4">
        <v>25233.000000000007</v>
      </c>
      <c r="M22" s="4">
        <v>612.89000000000453</v>
      </c>
      <c r="N22" s="4">
        <v>1.6854073692229576E-10</v>
      </c>
      <c r="O22" s="4">
        <v>954.04999999988866</v>
      </c>
      <c r="P22" s="4">
        <v>1.4551915228366852E-11</v>
      </c>
      <c r="Q22" s="4">
        <v>1713.6400000000322</v>
      </c>
      <c r="R22" s="4">
        <v>3176.1099999998978</v>
      </c>
      <c r="S22" s="8">
        <f t="shared" si="0"/>
        <v>4752.2633333333524</v>
      </c>
      <c r="T22" s="8">
        <f t="shared" si="1"/>
        <v>-1576.1533333334546</v>
      </c>
      <c r="U22" s="9">
        <f t="shared" si="2"/>
        <v>-0.33166371953296253</v>
      </c>
    </row>
    <row r="23" spans="1:21" outlineLevel="1">
      <c r="A23" t="s">
        <v>18</v>
      </c>
      <c r="C23" t="s">
        <v>61</v>
      </c>
      <c r="D23" t="s">
        <v>62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S23" s="8">
        <f t="shared" si="0"/>
        <v>0</v>
      </c>
      <c r="T23" s="8">
        <f t="shared" si="1"/>
        <v>0</v>
      </c>
      <c r="U23" s="9" t="e">
        <f t="shared" si="2"/>
        <v>#DIV/0!</v>
      </c>
    </row>
    <row r="24" spans="1:21" outlineLevel="1">
      <c r="A24" t="s">
        <v>18</v>
      </c>
      <c r="C24" t="s">
        <v>63</v>
      </c>
      <c r="D24" t="s">
        <v>64</v>
      </c>
      <c r="E24" s="4">
        <v>0</v>
      </c>
      <c r="F24" s="4">
        <v>-2.4999999999997726</v>
      </c>
      <c r="G24" s="4">
        <v>1.4210854715202004E-14</v>
      </c>
      <c r="H24" s="4">
        <v>5.6843418860808015E-14</v>
      </c>
      <c r="I24" s="4">
        <v>0</v>
      </c>
      <c r="J24" s="4">
        <v>0</v>
      </c>
      <c r="K24" s="4">
        <v>0</v>
      </c>
      <c r="L24" s="4">
        <v>0</v>
      </c>
      <c r="M24" s="4">
        <v>-2300</v>
      </c>
      <c r="N24" s="4">
        <v>0</v>
      </c>
      <c r="O24" s="4">
        <v>0</v>
      </c>
      <c r="P24" s="4">
        <v>0</v>
      </c>
      <c r="Q24" s="4">
        <v>0</v>
      </c>
      <c r="S24" s="8">
        <f t="shared" si="0"/>
        <v>-383.33333333333331</v>
      </c>
      <c r="T24" s="8">
        <f t="shared" si="1"/>
        <v>383.33333333333331</v>
      </c>
      <c r="U24" s="9">
        <f t="shared" si="2"/>
        <v>-1</v>
      </c>
    </row>
    <row r="25" spans="1:21" outlineLevel="1">
      <c r="A25" t="s">
        <v>18</v>
      </c>
      <c r="C25" t="s">
        <v>65</v>
      </c>
      <c r="D25" t="s">
        <v>66</v>
      </c>
      <c r="E25" s="4">
        <v>2.8421709430404007E-14</v>
      </c>
      <c r="F25" s="4">
        <v>0</v>
      </c>
      <c r="G25" s="4">
        <v>-9.0949470177292824E-13</v>
      </c>
      <c r="H25" s="4">
        <v>0</v>
      </c>
      <c r="I25" s="4">
        <v>-1976.97</v>
      </c>
      <c r="J25" s="4">
        <v>-1487.3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-4.5474735088646412E-13</v>
      </c>
      <c r="S25" s="8">
        <f t="shared" si="0"/>
        <v>0</v>
      </c>
      <c r="T25" s="8">
        <f t="shared" si="1"/>
        <v>-4.5474735088646412E-13</v>
      </c>
      <c r="U25" s="9" t="e">
        <f t="shared" si="2"/>
        <v>#DIV/0!</v>
      </c>
    </row>
    <row r="26" spans="1:21" outlineLevel="1">
      <c r="A26" t="s">
        <v>18</v>
      </c>
      <c r="C26" t="s">
        <v>67</v>
      </c>
      <c r="D26" t="s">
        <v>68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8">
        <f t="shared" si="0"/>
        <v>0</v>
      </c>
      <c r="T26" s="8">
        <f t="shared" si="1"/>
        <v>0</v>
      </c>
      <c r="U26" s="9" t="e">
        <f t="shared" si="2"/>
        <v>#DIV/0!</v>
      </c>
    </row>
    <row r="27" spans="1:21" outlineLevel="1">
      <c r="A27" t="s">
        <v>18</v>
      </c>
      <c r="C27" t="s">
        <v>69</v>
      </c>
      <c r="D27" t="s">
        <v>70</v>
      </c>
      <c r="E27" s="4">
        <v>-5.8175686490358203E-13</v>
      </c>
      <c r="F27" s="4">
        <v>1.8189894035458565E-12</v>
      </c>
      <c r="G27" s="4">
        <v>-11200.3</v>
      </c>
      <c r="H27" s="4">
        <v>7.094047571598594E-13</v>
      </c>
      <c r="I27" s="4">
        <v>0</v>
      </c>
      <c r="J27" s="4">
        <v>0</v>
      </c>
      <c r="K27" s="4">
        <v>0</v>
      </c>
      <c r="L27" s="4">
        <v>0</v>
      </c>
      <c r="M27" s="4">
        <v>-4.5474735088646412E-13</v>
      </c>
      <c r="N27" s="4">
        <v>2.5579538487363607E-13</v>
      </c>
      <c r="O27" s="4">
        <v>1.5916157281026244E-12</v>
      </c>
      <c r="P27" s="4">
        <v>0</v>
      </c>
      <c r="Q27" s="4">
        <v>0</v>
      </c>
      <c r="R27" s="4">
        <v>0</v>
      </c>
      <c r="S27" s="8">
        <f t="shared" si="0"/>
        <v>2.3211062701496604E-13</v>
      </c>
      <c r="T27" s="8">
        <f t="shared" si="1"/>
        <v>-2.3211062701496604E-13</v>
      </c>
      <c r="U27" s="9">
        <f t="shared" si="2"/>
        <v>-1</v>
      </c>
    </row>
    <row r="28" spans="1:21" outlineLevel="1">
      <c r="A28" t="s">
        <v>18</v>
      </c>
      <c r="C28" t="s">
        <v>71</v>
      </c>
      <c r="D28" t="s">
        <v>72</v>
      </c>
      <c r="E28" s="4">
        <v>-7.2759576141834259E-12</v>
      </c>
      <c r="F28" s="4">
        <v>-9.0949470177292824E-12</v>
      </c>
      <c r="G28" s="4">
        <v>0</v>
      </c>
      <c r="H28" s="4">
        <v>0</v>
      </c>
      <c r="I28" s="4">
        <v>0</v>
      </c>
      <c r="J28" s="4">
        <v>-1.1368683772161603E-13</v>
      </c>
      <c r="K28" s="4">
        <v>0</v>
      </c>
      <c r="L28" s="4">
        <v>1.4551915228366852E-11</v>
      </c>
      <c r="M28" s="4">
        <v>0</v>
      </c>
      <c r="N28" s="4">
        <v>-1.4551915228366852E-11</v>
      </c>
      <c r="O28" s="4">
        <v>0</v>
      </c>
      <c r="P28" s="4">
        <v>0</v>
      </c>
      <c r="Q28" s="4">
        <v>0</v>
      </c>
      <c r="R28" s="4">
        <v>4.5474735088646412E-13</v>
      </c>
      <c r="S28" s="8">
        <f t="shared" si="0"/>
        <v>0</v>
      </c>
      <c r="T28" s="8">
        <f t="shared" si="1"/>
        <v>4.5474735088646412E-13</v>
      </c>
      <c r="U28" s="9" t="e">
        <f t="shared" si="2"/>
        <v>#DIV/0!</v>
      </c>
    </row>
    <row r="29" spans="1:21" outlineLevel="1">
      <c r="A29" t="s">
        <v>18</v>
      </c>
      <c r="C29" t="s">
        <v>73</v>
      </c>
      <c r="D29" t="s">
        <v>74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S29" s="8">
        <f t="shared" si="0"/>
        <v>0</v>
      </c>
      <c r="T29" s="8">
        <f t="shared" si="1"/>
        <v>0</v>
      </c>
      <c r="U29" s="9" t="e">
        <f t="shared" si="2"/>
        <v>#DIV/0!</v>
      </c>
    </row>
    <row r="30" spans="1:21" outlineLevel="1">
      <c r="A30" t="s">
        <v>18</v>
      </c>
      <c r="C30" t="s">
        <v>75</v>
      </c>
      <c r="D30" t="s">
        <v>76</v>
      </c>
      <c r="E30" s="4">
        <v>9.0949470177292824E-13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S30" s="8">
        <f t="shared" si="0"/>
        <v>0</v>
      </c>
      <c r="T30" s="8">
        <f t="shared" si="1"/>
        <v>0</v>
      </c>
      <c r="U30" s="9" t="e">
        <f t="shared" si="2"/>
        <v>#DIV/0!</v>
      </c>
    </row>
    <row r="31" spans="1:21" outlineLevel="1">
      <c r="A31" t="s">
        <v>18</v>
      </c>
      <c r="C31" t="s">
        <v>77</v>
      </c>
      <c r="D31" t="s">
        <v>78</v>
      </c>
      <c r="E31" s="4">
        <v>0</v>
      </c>
      <c r="F31" s="4">
        <v>0</v>
      </c>
      <c r="G31" s="4">
        <v>0</v>
      </c>
      <c r="H31" s="4">
        <v>0</v>
      </c>
      <c r="I31" s="4">
        <v>-617.33000000000004</v>
      </c>
      <c r="J31" s="4">
        <v>-715.07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S31" s="8">
        <f t="shared" si="0"/>
        <v>0</v>
      </c>
      <c r="T31" s="8">
        <f t="shared" si="1"/>
        <v>0</v>
      </c>
      <c r="U31" s="9" t="e">
        <f t="shared" si="2"/>
        <v>#DIV/0!</v>
      </c>
    </row>
    <row r="32" spans="1:21" outlineLevel="1">
      <c r="A32" t="s">
        <v>18</v>
      </c>
      <c r="C32" t="s">
        <v>79</v>
      </c>
      <c r="D32" t="s">
        <v>80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S32" s="8">
        <f t="shared" si="0"/>
        <v>0</v>
      </c>
      <c r="T32" s="8">
        <f t="shared" si="1"/>
        <v>0</v>
      </c>
      <c r="U32" s="9" t="e">
        <f t="shared" si="2"/>
        <v>#DIV/0!</v>
      </c>
    </row>
    <row r="33" spans="1:22" outlineLevel="1">
      <c r="A33" t="s">
        <v>18</v>
      </c>
      <c r="C33" t="s">
        <v>81</v>
      </c>
      <c r="D33" t="s">
        <v>82</v>
      </c>
      <c r="E33" s="4">
        <v>116.95</v>
      </c>
      <c r="F33" s="4">
        <v>0</v>
      </c>
      <c r="G33" s="4">
        <v>-1.8189894035458565E-12</v>
      </c>
      <c r="H33" s="4">
        <v>0</v>
      </c>
      <c r="I33" s="4">
        <v>0</v>
      </c>
      <c r="J33" s="4">
        <v>0</v>
      </c>
      <c r="K33" s="4">
        <v>0</v>
      </c>
      <c r="L33" s="4">
        <v>2.2737367544323206E-13</v>
      </c>
      <c r="M33" s="4">
        <v>0</v>
      </c>
      <c r="N33" s="4">
        <v>0</v>
      </c>
      <c r="O33" s="4">
        <v>0</v>
      </c>
      <c r="P33" s="4">
        <v>-1.8189894035458565E-12</v>
      </c>
      <c r="Q33" s="4">
        <v>0</v>
      </c>
      <c r="S33" s="8">
        <f t="shared" si="0"/>
        <v>-2.6526928801710409E-13</v>
      </c>
      <c r="T33" s="8">
        <f t="shared" si="1"/>
        <v>2.6526928801710409E-13</v>
      </c>
      <c r="U33" s="9">
        <f t="shared" si="2"/>
        <v>-1</v>
      </c>
    </row>
    <row r="34" spans="1:22" outlineLevel="1">
      <c r="A34" t="s">
        <v>18</v>
      </c>
      <c r="C34" t="s">
        <v>83</v>
      </c>
      <c r="D34" t="s">
        <v>84</v>
      </c>
      <c r="E34" s="4">
        <v>0</v>
      </c>
      <c r="F34" s="4">
        <v>-1.0658141036401503E-13</v>
      </c>
      <c r="G34" s="4">
        <v>-1.1368683772161603E-13</v>
      </c>
      <c r="H34" s="4">
        <v>7.1054273576010019E-15</v>
      </c>
      <c r="I34" s="4">
        <v>0</v>
      </c>
      <c r="J34" s="4">
        <v>-2.2737367544323206E-13</v>
      </c>
      <c r="K34" s="4">
        <v>6.3948846218409017E-14</v>
      </c>
      <c r="L34" s="4">
        <v>5.6843418860808015E-14</v>
      </c>
      <c r="M34" s="4">
        <v>-5.1514348342607263E-14</v>
      </c>
      <c r="N34" s="4">
        <v>-3.3750779948604759E-14</v>
      </c>
      <c r="O34" s="4">
        <v>-2.4336088699783431E-13</v>
      </c>
      <c r="P34" s="4">
        <v>-2.2737367544323206E-13</v>
      </c>
      <c r="Q34" s="4">
        <v>0</v>
      </c>
      <c r="S34" s="8">
        <f t="shared" si="0"/>
        <v>-8.3192711978578401E-14</v>
      </c>
      <c r="T34" s="8">
        <f t="shared" si="1"/>
        <v>8.3192711978578401E-14</v>
      </c>
      <c r="U34" s="9">
        <f t="shared" si="2"/>
        <v>-1</v>
      </c>
    </row>
    <row r="35" spans="1:22" outlineLevel="1">
      <c r="A35" t="s">
        <v>18</v>
      </c>
      <c r="C35" t="s">
        <v>85</v>
      </c>
      <c r="D35" t="s">
        <v>86</v>
      </c>
      <c r="E35" s="4">
        <v>0</v>
      </c>
      <c r="F35" s="4">
        <v>0</v>
      </c>
      <c r="G35" s="4">
        <v>0</v>
      </c>
      <c r="H35" s="4">
        <v>0</v>
      </c>
      <c r="I35" s="4">
        <v>6.8212102632969618E-13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S35" s="8">
        <f t="shared" si="0"/>
        <v>0</v>
      </c>
      <c r="T35" s="8">
        <f t="shared" si="1"/>
        <v>0</v>
      </c>
      <c r="U35" s="9" t="e">
        <f t="shared" si="2"/>
        <v>#DIV/0!</v>
      </c>
    </row>
    <row r="36" spans="1:22" outlineLevel="1">
      <c r="A36" t="s">
        <v>18</v>
      </c>
      <c r="C36" t="s">
        <v>87</v>
      </c>
      <c r="D36" t="s">
        <v>88</v>
      </c>
      <c r="E36" s="4">
        <v>1.8189894035458565E-12</v>
      </c>
      <c r="F36" s="4">
        <v>5.5422333389287814E-13</v>
      </c>
      <c r="G36" s="4">
        <v>-9.3791641120333225E-13</v>
      </c>
      <c r="H36" s="4">
        <v>2.5579538487363607E-13</v>
      </c>
      <c r="I36" s="4">
        <v>-908.06999999999971</v>
      </c>
      <c r="J36" s="4">
        <v>1.0768275160444318E-11</v>
      </c>
      <c r="K36" s="4">
        <v>2.5579538487363607E-13</v>
      </c>
      <c r="L36" s="4">
        <v>-1.8189894035458565E-12</v>
      </c>
      <c r="M36" s="4">
        <v>0</v>
      </c>
      <c r="N36" s="4">
        <v>3.637978807091713E-12</v>
      </c>
      <c r="O36" s="4">
        <v>0</v>
      </c>
      <c r="P36" s="4">
        <v>-1.2931877790833823E-11</v>
      </c>
      <c r="Q36" s="4">
        <v>1.8189894035458565E-12</v>
      </c>
      <c r="R36" s="4">
        <v>-5.8747673392645083E-11</v>
      </c>
      <c r="S36" s="8">
        <f t="shared" si="0"/>
        <v>-1.5489831639570184E-12</v>
      </c>
      <c r="T36" s="8">
        <f t="shared" si="1"/>
        <v>-5.7198690228688065E-11</v>
      </c>
      <c r="U36" s="9">
        <f t="shared" si="2"/>
        <v>36.926605504587158</v>
      </c>
    </row>
    <row r="37" spans="1:22" outlineLevel="1">
      <c r="A37" t="s">
        <v>18</v>
      </c>
      <c r="C37" t="s">
        <v>89</v>
      </c>
      <c r="D37" t="s">
        <v>90</v>
      </c>
      <c r="E37" s="4">
        <v>0</v>
      </c>
      <c r="F37" s="4">
        <v>-1855.8</v>
      </c>
      <c r="G37" s="4">
        <v>0.29999999999995453</v>
      </c>
      <c r="H37" s="4">
        <v>1855.5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-2.2737367544323206E-13</v>
      </c>
      <c r="P37" s="4">
        <v>0</v>
      </c>
      <c r="Q37" s="4">
        <v>-6.5938365878537297E-12</v>
      </c>
      <c r="R37" s="4">
        <v>45952.35</v>
      </c>
      <c r="S37" s="8">
        <f t="shared" si="0"/>
        <v>-1.1368683772161603E-12</v>
      </c>
      <c r="T37" s="8">
        <f t="shared" si="1"/>
        <v>45952.35</v>
      </c>
      <c r="U37" s="9">
        <f t="shared" si="2"/>
        <v>-4.0420114518905976E+16</v>
      </c>
      <c r="V37" t="s">
        <v>895</v>
      </c>
    </row>
    <row r="38" spans="1:22" outlineLevel="1">
      <c r="A38" t="s">
        <v>18</v>
      </c>
      <c r="C38" t="s">
        <v>91</v>
      </c>
      <c r="D38" t="s">
        <v>92</v>
      </c>
      <c r="E38" s="4">
        <v>0</v>
      </c>
      <c r="F38" s="4">
        <v>0</v>
      </c>
      <c r="G38" s="4">
        <v>0</v>
      </c>
      <c r="H38" s="4">
        <v>-9.3258734068513149E-15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S38" s="8">
        <f t="shared" si="0"/>
        <v>0</v>
      </c>
      <c r="T38" s="8">
        <f t="shared" si="1"/>
        <v>0</v>
      </c>
      <c r="U38" s="9" t="e">
        <f t="shared" si="2"/>
        <v>#DIV/0!</v>
      </c>
    </row>
    <row r="39" spans="1:22" outlineLevel="1">
      <c r="A39" t="s">
        <v>18</v>
      </c>
      <c r="C39" t="s">
        <v>93</v>
      </c>
      <c r="D39" t="s">
        <v>94</v>
      </c>
      <c r="E39" s="4">
        <v>7.1054273576010019E-15</v>
      </c>
      <c r="F39" s="4">
        <v>-4.5474735088646412E-13</v>
      </c>
      <c r="G39" s="4">
        <v>1.266209359584991E-13</v>
      </c>
      <c r="H39" s="4">
        <v>3.4106051316484809E-13</v>
      </c>
      <c r="I39" s="4">
        <v>-1.3358203432289883E-12</v>
      </c>
      <c r="J39" s="4">
        <v>0</v>
      </c>
      <c r="K39" s="4">
        <v>0</v>
      </c>
      <c r="L39" s="4">
        <v>5.6843418860808015E-14</v>
      </c>
      <c r="M39" s="4">
        <v>0</v>
      </c>
      <c r="N39" s="4">
        <v>-4.5474735088646412E-13</v>
      </c>
      <c r="O39" s="4">
        <v>-3.5926817076870066E-13</v>
      </c>
      <c r="P39" s="4">
        <v>0</v>
      </c>
      <c r="Q39" s="4">
        <v>-475</v>
      </c>
      <c r="R39" s="4">
        <v>475</v>
      </c>
      <c r="S39" s="8">
        <f t="shared" si="0"/>
        <v>-79.166666666666785</v>
      </c>
      <c r="T39" s="8">
        <f t="shared" si="1"/>
        <v>554.16666666666674</v>
      </c>
      <c r="U39" s="9">
        <f t="shared" si="2"/>
        <v>-6.9999999999999902</v>
      </c>
    </row>
    <row r="40" spans="1:22" outlineLevel="1">
      <c r="A40" t="s">
        <v>18</v>
      </c>
      <c r="C40" t="s">
        <v>95</v>
      </c>
      <c r="D40" t="s">
        <v>96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S40" s="8">
        <f t="shared" si="0"/>
        <v>0</v>
      </c>
      <c r="T40" s="8">
        <f t="shared" si="1"/>
        <v>0</v>
      </c>
      <c r="U40" s="9" t="e">
        <f t="shared" si="2"/>
        <v>#DIV/0!</v>
      </c>
    </row>
    <row r="41" spans="1:22" outlineLevel="1">
      <c r="A41" t="s">
        <v>18</v>
      </c>
      <c r="C41" t="s">
        <v>97</v>
      </c>
      <c r="D41" t="s">
        <v>98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S41" s="8">
        <f t="shared" si="0"/>
        <v>0</v>
      </c>
      <c r="T41" s="8">
        <f t="shared" si="1"/>
        <v>0</v>
      </c>
      <c r="U41" s="9" t="e">
        <f t="shared" si="2"/>
        <v>#DIV/0!</v>
      </c>
    </row>
    <row r="42" spans="1:22" outlineLevel="1">
      <c r="A42" t="s">
        <v>18</v>
      </c>
      <c r="C42" t="s">
        <v>99</v>
      </c>
      <c r="D42" t="s">
        <v>100</v>
      </c>
      <c r="E42" s="4">
        <v>0</v>
      </c>
      <c r="F42" s="4">
        <v>0</v>
      </c>
      <c r="G42" s="4">
        <v>0</v>
      </c>
      <c r="H42" s="4">
        <v>1.4551915228366852E-11</v>
      </c>
      <c r="I42" s="4">
        <v>-9.0949470177292824E-13</v>
      </c>
      <c r="J42" s="4">
        <v>7.2759576141834259E-12</v>
      </c>
      <c r="K42" s="4">
        <v>-3.979039320256561E-12</v>
      </c>
      <c r="L42" s="4">
        <v>-9.0949470177292824E-13</v>
      </c>
      <c r="M42" s="4">
        <v>0</v>
      </c>
      <c r="N42" s="4">
        <v>5.240963218966499E-11</v>
      </c>
      <c r="O42" s="4">
        <v>-1.0368239600211382E-10</v>
      </c>
      <c r="P42" s="4">
        <v>1.4551915228366852E-10</v>
      </c>
      <c r="Q42" s="4">
        <v>-408211.39999999997</v>
      </c>
      <c r="R42" s="4">
        <v>456798.6</v>
      </c>
      <c r="S42" s="8">
        <f t="shared" si="0"/>
        <v>-68035.233333333308</v>
      </c>
      <c r="T42" s="8">
        <f t="shared" si="1"/>
        <v>524833.83333333326</v>
      </c>
      <c r="U42" s="9">
        <f t="shared" si="2"/>
        <v>-7.7141476205711079</v>
      </c>
      <c r="V42" t="s">
        <v>896</v>
      </c>
    </row>
    <row r="43" spans="1:22" outlineLevel="1">
      <c r="A43" t="s">
        <v>18</v>
      </c>
      <c r="C43" t="s">
        <v>101</v>
      </c>
      <c r="D43" t="s">
        <v>102</v>
      </c>
      <c r="E43" s="4">
        <v>-1.5788259588589426E-10</v>
      </c>
      <c r="F43" s="4">
        <v>-2.3101165425032377E-10</v>
      </c>
      <c r="G43" s="4">
        <v>0</v>
      </c>
      <c r="H43" s="4">
        <v>29585.769999999851</v>
      </c>
      <c r="I43" s="4">
        <v>-38100.000000000917</v>
      </c>
      <c r="J43" s="4">
        <v>5.2750692702829838E-11</v>
      </c>
      <c r="K43" s="4">
        <v>1.7280399333685637E-11</v>
      </c>
      <c r="L43" s="4">
        <v>1.845456270438417E-10</v>
      </c>
      <c r="M43" s="4">
        <v>2603.12999999975</v>
      </c>
      <c r="N43" s="4">
        <v>-2.9035618354100734E-10</v>
      </c>
      <c r="O43" s="4">
        <v>-2.8376234695315361E-10</v>
      </c>
      <c r="P43" s="4">
        <v>-781291.88999999955</v>
      </c>
      <c r="Q43" s="4">
        <v>-27947.340000000022</v>
      </c>
      <c r="R43" s="4">
        <v>56031.259999999951</v>
      </c>
      <c r="S43" s="8">
        <f t="shared" si="0"/>
        <v>-134439.35000000003</v>
      </c>
      <c r="T43" s="8">
        <f t="shared" si="1"/>
        <v>190470.61</v>
      </c>
      <c r="U43" s="9">
        <f t="shared" si="2"/>
        <v>-1.4167772307735789</v>
      </c>
      <c r="V43" t="s">
        <v>896</v>
      </c>
    </row>
    <row r="44" spans="1:22" outlineLevel="1">
      <c r="A44" t="s">
        <v>18</v>
      </c>
      <c r="C44" t="s">
        <v>103</v>
      </c>
      <c r="D44" t="s">
        <v>104</v>
      </c>
      <c r="E44" s="4">
        <v>1.8189894035458565E-12</v>
      </c>
      <c r="F44" s="4">
        <v>3.9835912346575242E-12</v>
      </c>
      <c r="G44" s="4">
        <v>-36000</v>
      </c>
      <c r="H44" s="4">
        <v>35999.999999999993</v>
      </c>
      <c r="I44" s="4">
        <v>-10999.999999999996</v>
      </c>
      <c r="J44" s="4">
        <v>11000.000000000011</v>
      </c>
      <c r="K44" s="4">
        <v>-4.6883608106895736E-12</v>
      </c>
      <c r="L44" s="4">
        <v>2.7284841053187847E-12</v>
      </c>
      <c r="M44" s="4">
        <v>-9.7543306765146554E-11</v>
      </c>
      <c r="N44" s="4">
        <v>-9.5099039754131809E-11</v>
      </c>
      <c r="O44" s="4">
        <v>-4.5019987737759948E-11</v>
      </c>
      <c r="P44" s="4">
        <v>-1.2936640647609465E-10</v>
      </c>
      <c r="Q44" s="4">
        <v>-7.9962814147904737E-11</v>
      </c>
      <c r="R44" s="4">
        <v>-4.4768716511711659E-11</v>
      </c>
      <c r="S44" s="8">
        <f t="shared" si="0"/>
        <v>-7.4043845129286482E-11</v>
      </c>
      <c r="T44" s="8">
        <f t="shared" si="1"/>
        <v>2.9275128617574822E-11</v>
      </c>
      <c r="U44" s="9">
        <f t="shared" si="2"/>
        <v>-0.39537558545829304</v>
      </c>
    </row>
    <row r="45" spans="1:22" outlineLevel="1">
      <c r="A45" t="s">
        <v>18</v>
      </c>
      <c r="C45" t="s">
        <v>105</v>
      </c>
      <c r="D45" t="s">
        <v>106</v>
      </c>
      <c r="E45" s="4">
        <v>0</v>
      </c>
      <c r="F45" s="4">
        <v>0</v>
      </c>
      <c r="G45" s="4">
        <v>0</v>
      </c>
      <c r="H45" s="4">
        <v>2.2737367544323206E-13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S45" s="8">
        <f t="shared" si="0"/>
        <v>0</v>
      </c>
      <c r="T45" s="8">
        <f t="shared" si="1"/>
        <v>0</v>
      </c>
      <c r="U45" s="9" t="e">
        <f t="shared" si="2"/>
        <v>#DIV/0!</v>
      </c>
    </row>
    <row r="46" spans="1:22" outlineLevel="1">
      <c r="A46" t="s">
        <v>18</v>
      </c>
      <c r="C46" t="s">
        <v>107</v>
      </c>
      <c r="D46" t="s">
        <v>108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S46" s="8">
        <f t="shared" si="0"/>
        <v>0</v>
      </c>
      <c r="T46" s="8">
        <f t="shared" si="1"/>
        <v>0</v>
      </c>
      <c r="U46" s="9" t="e">
        <f t="shared" si="2"/>
        <v>#DIV/0!</v>
      </c>
    </row>
    <row r="47" spans="1:22" outlineLevel="1">
      <c r="A47" t="s">
        <v>18</v>
      </c>
      <c r="C47" t="s">
        <v>109</v>
      </c>
      <c r="D47" t="s">
        <v>110</v>
      </c>
      <c r="E47" s="4">
        <v>0</v>
      </c>
      <c r="F47" s="4">
        <v>1.4388490399142029E-13</v>
      </c>
      <c r="G47" s="4">
        <v>0</v>
      </c>
      <c r="H47" s="4">
        <v>2.7400304247748863E-13</v>
      </c>
      <c r="I47" s="4">
        <v>0</v>
      </c>
      <c r="J47" s="4">
        <v>0</v>
      </c>
      <c r="K47" s="4">
        <v>7.9580786405131221E-13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8">
        <f t="shared" si="0"/>
        <v>0</v>
      </c>
      <c r="T47" s="8">
        <f t="shared" si="1"/>
        <v>0</v>
      </c>
      <c r="U47" s="9" t="e">
        <f t="shared" si="2"/>
        <v>#DIV/0!</v>
      </c>
    </row>
    <row r="48" spans="1:22" outlineLevel="1">
      <c r="A48" t="s">
        <v>18</v>
      </c>
      <c r="C48" t="s">
        <v>111</v>
      </c>
      <c r="D48" t="s">
        <v>112</v>
      </c>
      <c r="E48" s="4">
        <v>-1.8189894035458565E-12</v>
      </c>
      <c r="F48" s="4">
        <v>0</v>
      </c>
      <c r="G48" s="4">
        <v>-29999.999999999891</v>
      </c>
      <c r="H48" s="4">
        <v>29999.999999999716</v>
      </c>
      <c r="I48" s="4">
        <v>-4.574758349917829E-10</v>
      </c>
      <c r="J48" s="4">
        <v>0</v>
      </c>
      <c r="K48" s="4">
        <v>9.0949470177292824E-12</v>
      </c>
      <c r="L48" s="4">
        <v>8.2650331023614854E-11</v>
      </c>
      <c r="M48" s="4">
        <v>4.8203219193965197E-11</v>
      </c>
      <c r="N48" s="4">
        <v>-9.0949470177292824E-12</v>
      </c>
      <c r="O48" s="4">
        <v>0</v>
      </c>
      <c r="P48" s="4">
        <v>3.7744030123576522E-11</v>
      </c>
      <c r="Q48" s="4">
        <v>18.039999999982683</v>
      </c>
      <c r="R48" s="4">
        <v>6.629999999999427</v>
      </c>
      <c r="S48" s="8">
        <f t="shared" si="0"/>
        <v>3.0066666666903643</v>
      </c>
      <c r="T48" s="8">
        <f t="shared" si="1"/>
        <v>3.6233333333090627</v>
      </c>
      <c r="U48" s="9">
        <f t="shared" si="2"/>
        <v>1.2050997782529396</v>
      </c>
    </row>
    <row r="49" spans="1:22" outlineLevel="1">
      <c r="A49" t="s">
        <v>18</v>
      </c>
      <c r="C49" t="s">
        <v>113</v>
      </c>
      <c r="D49" t="s">
        <v>114</v>
      </c>
      <c r="E49" s="4">
        <v>0</v>
      </c>
      <c r="F49" s="4">
        <v>0</v>
      </c>
      <c r="G49" s="4">
        <v>0</v>
      </c>
      <c r="H49" s="4">
        <v>0</v>
      </c>
      <c r="I49" s="4">
        <v>-5.6843418860808015E-14</v>
      </c>
      <c r="J49" s="4">
        <v>-4.5474735088646412E-13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1211.56</v>
      </c>
      <c r="S49" s="8">
        <f t="shared" si="0"/>
        <v>0</v>
      </c>
      <c r="T49" s="8">
        <f t="shared" si="1"/>
        <v>1211.56</v>
      </c>
      <c r="U49" s="9" t="e">
        <f t="shared" si="2"/>
        <v>#DIV/0!</v>
      </c>
      <c r="V49" t="s">
        <v>895</v>
      </c>
    </row>
    <row r="50" spans="1:22" outlineLevel="1">
      <c r="A50" t="s">
        <v>18</v>
      </c>
      <c r="C50" t="s">
        <v>115</v>
      </c>
      <c r="D50" t="s">
        <v>116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S50" s="8">
        <f t="shared" si="0"/>
        <v>0</v>
      </c>
      <c r="T50" s="8">
        <f t="shared" si="1"/>
        <v>0</v>
      </c>
      <c r="U50" s="9" t="e">
        <f t="shared" si="2"/>
        <v>#DIV/0!</v>
      </c>
    </row>
    <row r="51" spans="1:22" outlineLevel="1">
      <c r="A51" t="s">
        <v>18</v>
      </c>
      <c r="C51" t="s">
        <v>117</v>
      </c>
      <c r="D51" t="s">
        <v>118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S51" s="8">
        <f t="shared" si="0"/>
        <v>0</v>
      </c>
      <c r="T51" s="8">
        <f t="shared" si="1"/>
        <v>0</v>
      </c>
      <c r="U51" s="9" t="e">
        <f t="shared" si="2"/>
        <v>#DIV/0!</v>
      </c>
    </row>
    <row r="52" spans="1:22" outlineLevel="1">
      <c r="A52" t="s">
        <v>18</v>
      </c>
      <c r="C52" t="s">
        <v>119</v>
      </c>
      <c r="D52" t="s">
        <v>120</v>
      </c>
      <c r="E52" s="4">
        <v>0</v>
      </c>
      <c r="F52" s="4">
        <v>0</v>
      </c>
      <c r="G52" s="4">
        <v>0</v>
      </c>
      <c r="H52" s="4">
        <v>-2.9132252166164108E-13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-9.0949470177292824E-13</v>
      </c>
      <c r="Q52" s="4">
        <v>0</v>
      </c>
      <c r="S52" s="8">
        <f t="shared" si="0"/>
        <v>-1.5158245029548803E-13</v>
      </c>
      <c r="T52" s="8">
        <f t="shared" si="1"/>
        <v>1.5158245029548803E-13</v>
      </c>
      <c r="U52" s="9">
        <f t="shared" si="2"/>
        <v>-1</v>
      </c>
    </row>
    <row r="53" spans="1:22" outlineLevel="1">
      <c r="A53" t="s">
        <v>18</v>
      </c>
      <c r="C53" t="s">
        <v>121</v>
      </c>
      <c r="D53" t="s">
        <v>122</v>
      </c>
      <c r="E53" s="4">
        <v>-3321.75</v>
      </c>
      <c r="F53" s="4">
        <v>0</v>
      </c>
      <c r="G53" s="4">
        <v>-1154.71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-769.16</v>
      </c>
      <c r="N53" s="4">
        <v>-137.09</v>
      </c>
      <c r="O53" s="4">
        <v>0</v>
      </c>
      <c r="P53" s="4">
        <v>0</v>
      </c>
      <c r="Q53" s="4">
        <v>-397.75</v>
      </c>
      <c r="S53" s="8">
        <f t="shared" si="0"/>
        <v>-217.33333333333334</v>
      </c>
      <c r="T53" s="8">
        <f t="shared" si="1"/>
        <v>217.33333333333334</v>
      </c>
      <c r="U53" s="9">
        <f t="shared" si="2"/>
        <v>-1</v>
      </c>
    </row>
    <row r="54" spans="1:22" outlineLevel="1">
      <c r="A54" t="s">
        <v>18</v>
      </c>
      <c r="C54" t="s">
        <v>123</v>
      </c>
      <c r="D54" t="s">
        <v>124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-2.8421709430404007E-14</v>
      </c>
      <c r="R54" s="4">
        <v>-8.5265128291212022E-14</v>
      </c>
      <c r="S54" s="8">
        <f t="shared" si="0"/>
        <v>-4.736951571734001E-15</v>
      </c>
      <c r="T54" s="8">
        <f t="shared" si="1"/>
        <v>-8.0528176719478025E-14</v>
      </c>
      <c r="U54" s="9">
        <f t="shared" si="2"/>
        <v>17.000000000000004</v>
      </c>
    </row>
    <row r="55" spans="1:22" outlineLevel="1">
      <c r="A55" t="s">
        <v>18</v>
      </c>
      <c r="C55" t="s">
        <v>125</v>
      </c>
      <c r="D55" t="s">
        <v>126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S55" s="8">
        <f t="shared" si="0"/>
        <v>0</v>
      </c>
      <c r="T55" s="8">
        <f t="shared" si="1"/>
        <v>0</v>
      </c>
      <c r="U55" s="9" t="e">
        <f t="shared" si="2"/>
        <v>#DIV/0!</v>
      </c>
    </row>
    <row r="56" spans="1:22" outlineLevel="1">
      <c r="A56" t="s">
        <v>18</v>
      </c>
      <c r="C56" t="s">
        <v>127</v>
      </c>
      <c r="D56" t="s">
        <v>120</v>
      </c>
      <c r="E56" s="4">
        <v>0</v>
      </c>
      <c r="F56" s="4">
        <v>0</v>
      </c>
      <c r="G56" s="4">
        <v>-48.88</v>
      </c>
      <c r="H56" s="4">
        <v>0</v>
      </c>
      <c r="I56" s="4">
        <v>-1093.97</v>
      </c>
      <c r="J56" s="4">
        <v>-1077.83</v>
      </c>
      <c r="K56" s="4">
        <v>0</v>
      </c>
      <c r="L56" s="4">
        <v>0</v>
      </c>
      <c r="M56" s="4">
        <v>75.77</v>
      </c>
      <c r="N56" s="4">
        <v>-4019.2</v>
      </c>
      <c r="O56" s="4">
        <v>0</v>
      </c>
      <c r="P56" s="4">
        <v>0</v>
      </c>
      <c r="Q56" s="4">
        <v>0</v>
      </c>
      <c r="S56" s="8">
        <f t="shared" si="0"/>
        <v>-657.23833333333334</v>
      </c>
      <c r="T56" s="8">
        <f t="shared" si="1"/>
        <v>657.23833333333334</v>
      </c>
      <c r="U56" s="9">
        <f t="shared" si="2"/>
        <v>-1</v>
      </c>
    </row>
    <row r="57" spans="1:22" outlineLevel="1">
      <c r="A57" t="s">
        <v>18</v>
      </c>
      <c r="C57" t="s">
        <v>128</v>
      </c>
      <c r="D57" t="s">
        <v>129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S57" s="8">
        <f t="shared" si="0"/>
        <v>0</v>
      </c>
      <c r="T57" s="8">
        <f t="shared" si="1"/>
        <v>0</v>
      </c>
      <c r="U57" s="9" t="e">
        <f t="shared" si="2"/>
        <v>#DIV/0!</v>
      </c>
    </row>
    <row r="58" spans="1:22" outlineLevel="1">
      <c r="A58" t="s">
        <v>18</v>
      </c>
      <c r="C58" t="s">
        <v>130</v>
      </c>
      <c r="D58" t="s">
        <v>131</v>
      </c>
      <c r="E58" s="4">
        <v>179.09</v>
      </c>
      <c r="F58" s="4">
        <v>234.98</v>
      </c>
      <c r="G58" s="4">
        <v>306.07</v>
      </c>
      <c r="H58" s="4">
        <v>1544.0500000000002</v>
      </c>
      <c r="I58" s="4">
        <v>890.21</v>
      </c>
      <c r="J58" s="4">
        <v>1076.97</v>
      </c>
      <c r="K58" s="4">
        <v>959.21</v>
      </c>
      <c r="L58" s="4">
        <v>910.42</v>
      </c>
      <c r="M58" s="4">
        <v>761.96</v>
      </c>
      <c r="N58" s="4">
        <v>751.31</v>
      </c>
      <c r="O58" s="4">
        <v>1384.12</v>
      </c>
      <c r="P58" s="4">
        <v>1184.9099999999999</v>
      </c>
      <c r="Q58" s="4">
        <v>630</v>
      </c>
      <c r="R58" s="4">
        <v>666.49</v>
      </c>
      <c r="S58" s="8">
        <f t="shared" si="0"/>
        <v>937.11999999999989</v>
      </c>
      <c r="T58" s="8">
        <f t="shared" si="1"/>
        <v>-270.62999999999988</v>
      </c>
      <c r="U58" s="9">
        <f t="shared" si="2"/>
        <v>-0.28878905583062991</v>
      </c>
    </row>
    <row r="59" spans="1:22" outlineLevel="1">
      <c r="A59" t="s">
        <v>18</v>
      </c>
      <c r="C59" t="s">
        <v>132</v>
      </c>
      <c r="D59" t="s">
        <v>133</v>
      </c>
      <c r="E59" s="4">
        <v>2843.5200000000027</v>
      </c>
      <c r="F59" s="4">
        <v>-907.09999999999218</v>
      </c>
      <c r="G59" s="4">
        <v>1692.0000000000055</v>
      </c>
      <c r="H59" s="4">
        <v>3478</v>
      </c>
      <c r="I59" s="4">
        <v>-987</v>
      </c>
      <c r="J59" s="4">
        <v>3760</v>
      </c>
      <c r="K59" s="4">
        <v>752.0300000000002</v>
      </c>
      <c r="L59" s="4">
        <v>892.99999999999977</v>
      </c>
      <c r="M59" s="4">
        <v>1409.9999999999995</v>
      </c>
      <c r="N59" s="4">
        <v>705.00000000000045</v>
      </c>
      <c r="O59" s="4">
        <v>423.00000000000023</v>
      </c>
      <c r="P59" s="4">
        <v>0</v>
      </c>
      <c r="Q59" s="4">
        <v>1363</v>
      </c>
      <c r="R59" s="4">
        <v>470.00000000000023</v>
      </c>
      <c r="S59" s="8">
        <f t="shared" si="0"/>
        <v>799</v>
      </c>
      <c r="T59" s="8">
        <f t="shared" si="1"/>
        <v>-328.99999999999977</v>
      </c>
      <c r="U59" s="9">
        <f t="shared" si="2"/>
        <v>-0.41176470588235264</v>
      </c>
    </row>
    <row r="60" spans="1:22" outlineLevel="2">
      <c r="A60" t="s">
        <v>134</v>
      </c>
      <c r="B60" t="s">
        <v>135</v>
      </c>
      <c r="C60" t="s">
        <v>21</v>
      </c>
      <c r="D60" t="s">
        <v>22</v>
      </c>
      <c r="E60" s="4">
        <v>1072.2799999999997</v>
      </c>
      <c r="F60" s="4">
        <v>511.74</v>
      </c>
      <c r="G60" s="4">
        <v>671.62</v>
      </c>
      <c r="H60" s="4">
        <v>346.62</v>
      </c>
      <c r="I60" s="4">
        <v>282.32</v>
      </c>
      <c r="J60" s="4">
        <v>496.21999999999997</v>
      </c>
      <c r="K60" s="4">
        <v>615.64</v>
      </c>
      <c r="L60" s="4">
        <v>768.4</v>
      </c>
      <c r="M60" s="4">
        <v>1086.77</v>
      </c>
      <c r="N60" s="4">
        <v>254.09</v>
      </c>
      <c r="O60" s="4">
        <v>-2380.4100000000008</v>
      </c>
      <c r="P60" s="4">
        <v>273.64</v>
      </c>
      <c r="Q60" s="4">
        <v>618.55999999999995</v>
      </c>
      <c r="S60" s="8">
        <f t="shared" si="0"/>
        <v>103.50833333333323</v>
      </c>
      <c r="T60" s="8">
        <f t="shared" si="1"/>
        <v>-103.50833333333323</v>
      </c>
      <c r="U60" s="9">
        <f t="shared" si="2"/>
        <v>-1</v>
      </c>
    </row>
    <row r="61" spans="1:22" outlineLevel="2">
      <c r="A61" t="s">
        <v>134</v>
      </c>
      <c r="B61" t="s">
        <v>135</v>
      </c>
      <c r="C61" t="s">
        <v>23</v>
      </c>
      <c r="D61" t="s">
        <v>24</v>
      </c>
      <c r="E61" s="4">
        <v>3736.9300000000007</v>
      </c>
      <c r="F61" s="4">
        <v>2840.1700000000005</v>
      </c>
      <c r="G61" s="4">
        <v>1648.43</v>
      </c>
      <c r="H61" s="4">
        <v>7612.97</v>
      </c>
      <c r="I61" s="4">
        <v>2681.62</v>
      </c>
      <c r="J61" s="4">
        <v>5235.5700000000006</v>
      </c>
      <c r="K61" s="4">
        <v>5716.54</v>
      </c>
      <c r="L61" s="4">
        <v>1035.8900000000001</v>
      </c>
      <c r="M61" s="4">
        <v>1040.21</v>
      </c>
      <c r="N61" s="4">
        <v>437.25</v>
      </c>
      <c r="O61" s="4">
        <v>1230.4199999999996</v>
      </c>
      <c r="P61" s="4">
        <v>626.47</v>
      </c>
      <c r="Q61" s="4">
        <v>0</v>
      </c>
      <c r="S61" s="8">
        <f t="shared" si="0"/>
        <v>728.37333333333333</v>
      </c>
      <c r="T61" s="8">
        <f t="shared" si="1"/>
        <v>-728.37333333333333</v>
      </c>
      <c r="U61" s="9">
        <f t="shared" si="2"/>
        <v>-1</v>
      </c>
    </row>
    <row r="62" spans="1:22" outlineLevel="2">
      <c r="A62" t="s">
        <v>134</v>
      </c>
      <c r="B62" t="s">
        <v>135</v>
      </c>
      <c r="C62" t="s">
        <v>25</v>
      </c>
      <c r="D62" t="s">
        <v>26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230.45</v>
      </c>
      <c r="N62" s="4">
        <v>1297.46</v>
      </c>
      <c r="O62" s="4">
        <v>3095.18</v>
      </c>
      <c r="P62" s="4">
        <v>2125.1999999999998</v>
      </c>
      <c r="Q62" s="4">
        <v>0</v>
      </c>
      <c r="S62" s="8">
        <f t="shared" si="0"/>
        <v>1124.7149999999999</v>
      </c>
      <c r="T62" s="8">
        <f t="shared" si="1"/>
        <v>-1124.7149999999999</v>
      </c>
      <c r="U62" s="9">
        <f t="shared" si="2"/>
        <v>-1</v>
      </c>
    </row>
    <row r="63" spans="1:22" outlineLevel="2">
      <c r="A63" t="s">
        <v>134</v>
      </c>
      <c r="B63" t="s">
        <v>135</v>
      </c>
      <c r="C63" t="s">
        <v>27</v>
      </c>
      <c r="D63" t="s">
        <v>28</v>
      </c>
      <c r="E63" s="4">
        <v>0</v>
      </c>
      <c r="F63" s="4">
        <v>1590.76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3539.6</v>
      </c>
      <c r="N63" s="4">
        <v>642.43999999999994</v>
      </c>
      <c r="O63" s="4">
        <v>1503.3200000000002</v>
      </c>
      <c r="P63" s="4">
        <v>1377.93</v>
      </c>
      <c r="Q63" s="4">
        <v>0</v>
      </c>
      <c r="S63" s="8">
        <f t="shared" si="0"/>
        <v>1177.2150000000001</v>
      </c>
      <c r="T63" s="8">
        <f t="shared" si="1"/>
        <v>-1177.2150000000001</v>
      </c>
      <c r="U63" s="9">
        <f t="shared" si="2"/>
        <v>-1</v>
      </c>
    </row>
    <row r="64" spans="1:22" outlineLevel="2">
      <c r="A64" t="s">
        <v>134</v>
      </c>
      <c r="B64" t="s">
        <v>135</v>
      </c>
      <c r="C64" t="s">
        <v>136</v>
      </c>
      <c r="D64" t="s">
        <v>137</v>
      </c>
      <c r="E64" s="4">
        <v>156424.54</v>
      </c>
      <c r="F64" s="4">
        <v>139353.62000000002</v>
      </c>
      <c r="G64" s="4">
        <v>151196.15000000002</v>
      </c>
      <c r="H64" s="4">
        <v>247118.14</v>
      </c>
      <c r="I64" s="4">
        <v>170777.64</v>
      </c>
      <c r="J64" s="4">
        <v>165268.62</v>
      </c>
      <c r="K64" s="4">
        <v>178310.12</v>
      </c>
      <c r="L64" s="4">
        <v>183510.07</v>
      </c>
      <c r="M64" s="4">
        <v>165944.28999999998</v>
      </c>
      <c r="N64" s="4">
        <v>156721.32</v>
      </c>
      <c r="O64" s="4">
        <v>157433.09000000003</v>
      </c>
      <c r="P64" s="4">
        <v>166664.22</v>
      </c>
      <c r="Q64" s="4">
        <v>116498.29000000001</v>
      </c>
      <c r="R64" s="4">
        <v>115020.78</v>
      </c>
      <c r="S64" s="8">
        <f t="shared" si="0"/>
        <v>157795.21333333335</v>
      </c>
      <c r="T64" s="8">
        <f t="shared" si="1"/>
        <v>-42774.433333333349</v>
      </c>
      <c r="U64" s="9">
        <f t="shared" si="2"/>
        <v>-0.27107560761665694</v>
      </c>
      <c r="V64" t="s">
        <v>896</v>
      </c>
    </row>
    <row r="65" spans="1:22" outlineLevel="2">
      <c r="A65" t="s">
        <v>134</v>
      </c>
      <c r="B65" t="s">
        <v>135</v>
      </c>
      <c r="C65" t="s">
        <v>138</v>
      </c>
      <c r="D65" t="s">
        <v>139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-21696.9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S65" s="8">
        <f t="shared" si="0"/>
        <v>-3616.15</v>
      </c>
      <c r="T65" s="8">
        <f t="shared" si="1"/>
        <v>3616.15</v>
      </c>
      <c r="U65" s="9">
        <f t="shared" si="2"/>
        <v>-1</v>
      </c>
    </row>
    <row r="66" spans="1:22" outlineLevel="2">
      <c r="A66" t="s">
        <v>134</v>
      </c>
      <c r="B66" t="s">
        <v>135</v>
      </c>
      <c r="C66" t="s">
        <v>31</v>
      </c>
      <c r="D66" t="s">
        <v>32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S66" s="8">
        <f t="shared" si="0"/>
        <v>0</v>
      </c>
      <c r="T66" s="8">
        <f t="shared" si="1"/>
        <v>0</v>
      </c>
      <c r="U66" s="9" t="e">
        <f t="shared" si="2"/>
        <v>#DIV/0!</v>
      </c>
    </row>
    <row r="67" spans="1:22" outlineLevel="2">
      <c r="A67" t="s">
        <v>134</v>
      </c>
      <c r="B67" t="s">
        <v>135</v>
      </c>
      <c r="C67" t="s">
        <v>140</v>
      </c>
      <c r="D67" t="s">
        <v>141</v>
      </c>
      <c r="E67" s="4">
        <v>0</v>
      </c>
      <c r="F67" s="4">
        <v>0</v>
      </c>
      <c r="G67" s="4">
        <v>0</v>
      </c>
      <c r="H67" s="4">
        <v>937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S67" s="8">
        <f t="shared" ref="S67:S130" si="3">AVERAGE(L67:Q67)</f>
        <v>0</v>
      </c>
      <c r="T67" s="8">
        <f t="shared" ref="T67:T130" si="4">R67-S67</f>
        <v>0</v>
      </c>
      <c r="U67" s="9" t="e">
        <f t="shared" ref="U67:U130" si="5">(R67-S67)/S67</f>
        <v>#DIV/0!</v>
      </c>
    </row>
    <row r="68" spans="1:22" outlineLevel="2">
      <c r="A68" t="s">
        <v>134</v>
      </c>
      <c r="B68" t="s">
        <v>135</v>
      </c>
      <c r="C68" t="s">
        <v>142</v>
      </c>
      <c r="D68" t="s">
        <v>143</v>
      </c>
      <c r="E68" s="4">
        <v>200000</v>
      </c>
      <c r="F68" s="4">
        <v>205000</v>
      </c>
      <c r="G68" s="4">
        <v>200000</v>
      </c>
      <c r="H68" s="4">
        <v>200000</v>
      </c>
      <c r="I68" s="4">
        <v>200000</v>
      </c>
      <c r="J68" s="4">
        <v>200000</v>
      </c>
      <c r="K68" s="4">
        <v>40327.83</v>
      </c>
      <c r="L68" s="4">
        <v>0</v>
      </c>
      <c r="M68" s="4">
        <v>0</v>
      </c>
      <c r="N68" s="4">
        <v>67213.06</v>
      </c>
      <c r="O68" s="4">
        <v>67213.06</v>
      </c>
      <c r="P68" s="4">
        <v>-332786.94</v>
      </c>
      <c r="Q68" s="4">
        <v>7500</v>
      </c>
      <c r="S68" s="8">
        <f t="shared" si="3"/>
        <v>-31810.136666666669</v>
      </c>
      <c r="T68" s="8">
        <f t="shared" si="4"/>
        <v>31810.136666666669</v>
      </c>
      <c r="U68" s="9">
        <f t="shared" si="5"/>
        <v>-1</v>
      </c>
    </row>
    <row r="69" spans="1:22" outlineLevel="2">
      <c r="A69" t="s">
        <v>134</v>
      </c>
      <c r="B69" t="s">
        <v>135</v>
      </c>
      <c r="C69" t="s">
        <v>144</v>
      </c>
      <c r="D69" t="s">
        <v>145</v>
      </c>
      <c r="E69" s="4">
        <v>30009.979999999992</v>
      </c>
      <c r="F69" s="4">
        <v>6708.4599999999991</v>
      </c>
      <c r="G69" s="4">
        <v>30906.289999999997</v>
      </c>
      <c r="H69" s="4">
        <v>19523.810000000001</v>
      </c>
      <c r="I69" s="4">
        <v>34409.39</v>
      </c>
      <c r="J69" s="4">
        <v>5708.8700000000008</v>
      </c>
      <c r="K69" s="4">
        <v>26351.93</v>
      </c>
      <c r="L69" s="4">
        <v>24962.020000000004</v>
      </c>
      <c r="M69" s="4">
        <v>30210.649999999998</v>
      </c>
      <c r="N69" s="4">
        <v>24296.9</v>
      </c>
      <c r="O69" s="4">
        <v>21242.62</v>
      </c>
      <c r="P69" s="4">
        <v>21935.890000000003</v>
      </c>
      <c r="Q69" s="4">
        <v>36818.859999999993</v>
      </c>
      <c r="R69" s="4">
        <v>5161.3499999999985</v>
      </c>
      <c r="S69" s="8">
        <f t="shared" si="3"/>
        <v>26577.823333333334</v>
      </c>
      <c r="T69" s="8">
        <f t="shared" si="4"/>
        <v>-21416.473333333335</v>
      </c>
      <c r="U69" s="9">
        <f t="shared" si="5"/>
        <v>-0.80580238135879456</v>
      </c>
    </row>
    <row r="70" spans="1:22" outlineLevel="2">
      <c r="A70" t="s">
        <v>134</v>
      </c>
      <c r="B70" t="s">
        <v>135</v>
      </c>
      <c r="C70" t="s">
        <v>146</v>
      </c>
      <c r="D70" t="s">
        <v>147</v>
      </c>
      <c r="E70" s="4">
        <v>13267.34</v>
      </c>
      <c r="F70" s="4">
        <v>11970.5</v>
      </c>
      <c r="G70" s="4">
        <v>27655.420000000002</v>
      </c>
      <c r="H70" s="4">
        <v>25511.26</v>
      </c>
      <c r="I70" s="4">
        <v>12972.029999999999</v>
      </c>
      <c r="J70" s="4">
        <v>14180.61</v>
      </c>
      <c r="K70" s="4">
        <v>11264.59</v>
      </c>
      <c r="L70" s="4">
        <v>11809.560000000001</v>
      </c>
      <c r="M70" s="4">
        <v>45807.619999999995</v>
      </c>
      <c r="N70" s="4">
        <v>9611.58</v>
      </c>
      <c r="O70" s="4">
        <v>9496.41</v>
      </c>
      <c r="P70" s="4">
        <v>10281.19</v>
      </c>
      <c r="Q70" s="4">
        <v>11609.84</v>
      </c>
      <c r="R70" s="4">
        <v>10305.029999999999</v>
      </c>
      <c r="S70" s="8">
        <f t="shared" si="3"/>
        <v>16436.033333333333</v>
      </c>
      <c r="T70" s="8">
        <f t="shared" si="4"/>
        <v>-6131.003333333334</v>
      </c>
      <c r="U70" s="9">
        <f t="shared" si="5"/>
        <v>-0.37302207953662792</v>
      </c>
    </row>
    <row r="71" spans="1:22" outlineLevel="2">
      <c r="A71" t="s">
        <v>134</v>
      </c>
      <c r="B71" t="s">
        <v>135</v>
      </c>
      <c r="C71" t="s">
        <v>148</v>
      </c>
      <c r="D71" t="s">
        <v>149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250</v>
      </c>
      <c r="P71" s="4">
        <v>0</v>
      </c>
      <c r="Q71" s="4">
        <v>0</v>
      </c>
      <c r="S71" s="8">
        <f t="shared" si="3"/>
        <v>41.666666666666664</v>
      </c>
      <c r="T71" s="8">
        <f t="shared" si="4"/>
        <v>-41.666666666666664</v>
      </c>
      <c r="U71" s="9">
        <f t="shared" si="5"/>
        <v>-1</v>
      </c>
    </row>
    <row r="72" spans="1:22" outlineLevel="2">
      <c r="A72" t="s">
        <v>134</v>
      </c>
      <c r="B72" t="s">
        <v>135</v>
      </c>
      <c r="C72" t="s">
        <v>150</v>
      </c>
      <c r="D72" t="s">
        <v>151</v>
      </c>
      <c r="E72" s="4">
        <v>0</v>
      </c>
      <c r="F72" s="4">
        <v>56232</v>
      </c>
      <c r="G72" s="4">
        <v>11246.399999999951</v>
      </c>
      <c r="H72" s="4">
        <v>38308</v>
      </c>
      <c r="I72" s="4">
        <v>52740.770000000004</v>
      </c>
      <c r="J72" s="4">
        <v>24124.46</v>
      </c>
      <c r="K72" s="4">
        <v>28793.14</v>
      </c>
      <c r="L72" s="4">
        <v>28793.14</v>
      </c>
      <c r="M72" s="4">
        <v>28793.14</v>
      </c>
      <c r="N72" s="4">
        <v>25785.55</v>
      </c>
      <c r="O72" s="4">
        <v>25785.55</v>
      </c>
      <c r="P72" s="4">
        <v>25785.55</v>
      </c>
      <c r="Q72" s="4">
        <v>28676.83</v>
      </c>
      <c r="R72" s="4">
        <v>16315.689999999995</v>
      </c>
      <c r="S72" s="8">
        <f t="shared" si="3"/>
        <v>27269.960000000003</v>
      </c>
      <c r="T72" s="8">
        <f t="shared" si="4"/>
        <v>-10954.270000000008</v>
      </c>
      <c r="U72" s="9">
        <f t="shared" si="5"/>
        <v>-0.40169732555529991</v>
      </c>
    </row>
    <row r="73" spans="1:22" outlineLevel="2">
      <c r="A73" t="s">
        <v>134</v>
      </c>
      <c r="B73" t="s">
        <v>135</v>
      </c>
      <c r="C73" t="s">
        <v>152</v>
      </c>
      <c r="D73" t="s">
        <v>153</v>
      </c>
      <c r="E73" s="4">
        <v>10812.349999999999</v>
      </c>
      <c r="F73" s="4">
        <v>10289.14</v>
      </c>
      <c r="G73" s="4">
        <v>24434.38</v>
      </c>
      <c r="H73" s="4">
        <v>19716.73</v>
      </c>
      <c r="I73" s="4">
        <v>9837.5299999999988</v>
      </c>
      <c r="J73" s="4">
        <v>19770.25</v>
      </c>
      <c r="K73" s="4">
        <v>10514.71</v>
      </c>
      <c r="L73" s="4">
        <v>9828.6099999999988</v>
      </c>
      <c r="M73" s="4">
        <v>8519.14</v>
      </c>
      <c r="N73" s="4">
        <v>6542.8499999999995</v>
      </c>
      <c r="O73" s="4">
        <v>11142.759999999998</v>
      </c>
      <c r="P73" s="4">
        <v>7906.6200000000008</v>
      </c>
      <c r="Q73" s="4">
        <v>9475.26</v>
      </c>
      <c r="R73" s="4">
        <v>29222.750000000004</v>
      </c>
      <c r="S73" s="8">
        <f t="shared" si="3"/>
        <v>8902.5400000000009</v>
      </c>
      <c r="T73" s="8">
        <f t="shared" si="4"/>
        <v>20320.210000000003</v>
      </c>
      <c r="U73" s="9">
        <f t="shared" si="5"/>
        <v>2.2825182476012467</v>
      </c>
      <c r="V73" t="s">
        <v>896</v>
      </c>
    </row>
    <row r="74" spans="1:22" outlineLevel="2">
      <c r="A74" t="s">
        <v>134</v>
      </c>
      <c r="B74" t="s">
        <v>135</v>
      </c>
      <c r="C74" t="s">
        <v>154</v>
      </c>
      <c r="D74" t="s">
        <v>155</v>
      </c>
      <c r="E74" s="4">
        <v>2166.0700000000002</v>
      </c>
      <c r="F74" s="4">
        <v>181.19</v>
      </c>
      <c r="G74" s="4">
        <v>0</v>
      </c>
      <c r="H74" s="4">
        <v>91</v>
      </c>
      <c r="I74" s="4">
        <v>187.18</v>
      </c>
      <c r="J74" s="4">
        <v>0</v>
      </c>
      <c r="K74" s="4">
        <v>108.52</v>
      </c>
      <c r="L74" s="4">
        <v>258.38</v>
      </c>
      <c r="M74" s="4">
        <v>0</v>
      </c>
      <c r="N74" s="4">
        <v>0</v>
      </c>
      <c r="O74" s="4">
        <v>202.6</v>
      </c>
      <c r="P74" s="4">
        <v>236.5</v>
      </c>
      <c r="Q74" s="4">
        <v>1303.25</v>
      </c>
      <c r="R74" s="4">
        <v>32.35</v>
      </c>
      <c r="S74" s="8">
        <f t="shared" si="3"/>
        <v>333.45499999999998</v>
      </c>
      <c r="T74" s="8">
        <f t="shared" si="4"/>
        <v>-301.10499999999996</v>
      </c>
      <c r="U74" s="9">
        <f t="shared" si="5"/>
        <v>-0.90298541032523116</v>
      </c>
    </row>
    <row r="75" spans="1:22" outlineLevel="2">
      <c r="A75" t="s">
        <v>134</v>
      </c>
      <c r="B75" t="s">
        <v>135</v>
      </c>
      <c r="C75" t="s">
        <v>33</v>
      </c>
      <c r="D75" t="s">
        <v>34</v>
      </c>
      <c r="E75" s="4">
        <v>412</v>
      </c>
      <c r="F75" s="4">
        <v>1592</v>
      </c>
      <c r="G75" s="4">
        <v>0</v>
      </c>
      <c r="H75" s="4">
        <v>1100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350</v>
      </c>
      <c r="Q75" s="4">
        <v>0</v>
      </c>
      <c r="S75" s="8">
        <f t="shared" si="3"/>
        <v>58.333333333333336</v>
      </c>
      <c r="T75" s="8">
        <f t="shared" si="4"/>
        <v>-58.333333333333336</v>
      </c>
      <c r="U75" s="9">
        <f t="shared" si="5"/>
        <v>-1</v>
      </c>
    </row>
    <row r="76" spans="1:22" outlineLevel="2">
      <c r="A76" t="s">
        <v>134</v>
      </c>
      <c r="B76" t="s">
        <v>135</v>
      </c>
      <c r="C76" t="s">
        <v>156</v>
      </c>
      <c r="D76" t="s">
        <v>157</v>
      </c>
      <c r="E76" s="4">
        <v>1319.24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S76" s="8">
        <f t="shared" si="3"/>
        <v>0</v>
      </c>
      <c r="T76" s="8">
        <f t="shared" si="4"/>
        <v>0</v>
      </c>
      <c r="U76" s="9" t="e">
        <f t="shared" si="5"/>
        <v>#DIV/0!</v>
      </c>
    </row>
    <row r="77" spans="1:22" outlineLevel="2">
      <c r="A77" t="s">
        <v>134</v>
      </c>
      <c r="B77" t="s">
        <v>135</v>
      </c>
      <c r="C77" t="s">
        <v>158</v>
      </c>
      <c r="D77" t="s">
        <v>159</v>
      </c>
      <c r="E77" s="4">
        <v>27266.67</v>
      </c>
      <c r="F77" s="4">
        <v>27267</v>
      </c>
      <c r="G77" s="4">
        <v>228841.06</v>
      </c>
      <c r="H77" s="4">
        <v>29624.23</v>
      </c>
      <c r="I77" s="4">
        <v>27267</v>
      </c>
      <c r="J77" s="4">
        <v>16334.409999999996</v>
      </c>
      <c r="K77" s="4">
        <v>27267</v>
      </c>
      <c r="L77" s="4">
        <v>27267</v>
      </c>
      <c r="M77" s="4">
        <v>12650.160000000003</v>
      </c>
      <c r="N77" s="4">
        <v>27267</v>
      </c>
      <c r="O77" s="4">
        <v>27267</v>
      </c>
      <c r="P77" s="4">
        <v>5026.4599999999919</v>
      </c>
      <c r="Q77" s="4">
        <v>23133.33</v>
      </c>
      <c r="R77" s="4">
        <v>24200.010000000002</v>
      </c>
      <c r="S77" s="8">
        <f t="shared" si="3"/>
        <v>20435.158333333333</v>
      </c>
      <c r="T77" s="8">
        <f t="shared" si="4"/>
        <v>3764.8516666666692</v>
      </c>
      <c r="U77" s="9">
        <f t="shared" si="5"/>
        <v>0.18423403456216605</v>
      </c>
    </row>
    <row r="78" spans="1:22" outlineLevel="2">
      <c r="A78" t="s">
        <v>134</v>
      </c>
      <c r="B78" t="s">
        <v>135</v>
      </c>
      <c r="C78" t="s">
        <v>160</v>
      </c>
      <c r="D78" t="s">
        <v>161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5996.7400000000007</v>
      </c>
      <c r="N78" s="4">
        <v>0</v>
      </c>
      <c r="O78" s="4">
        <v>0</v>
      </c>
      <c r="P78" s="4">
        <v>923.6</v>
      </c>
      <c r="Q78" s="4">
        <v>0</v>
      </c>
      <c r="S78" s="8">
        <f t="shared" si="3"/>
        <v>1153.3900000000001</v>
      </c>
      <c r="T78" s="8">
        <f t="shared" si="4"/>
        <v>-1153.3900000000001</v>
      </c>
      <c r="U78" s="9">
        <f t="shared" si="5"/>
        <v>-1</v>
      </c>
    </row>
    <row r="79" spans="1:22" outlineLevel="2">
      <c r="A79" t="s">
        <v>134</v>
      </c>
      <c r="B79" t="s">
        <v>135</v>
      </c>
      <c r="C79" t="s">
        <v>47</v>
      </c>
      <c r="D79" t="s">
        <v>48</v>
      </c>
      <c r="E79" s="4">
        <v>8157.45</v>
      </c>
      <c r="F79" s="4">
        <v>8157.45</v>
      </c>
      <c r="G79" s="4">
        <v>8157.45</v>
      </c>
      <c r="H79" s="4">
        <v>8157.45</v>
      </c>
      <c r="I79" s="4">
        <v>8157.45</v>
      </c>
      <c r="J79" s="4">
        <v>8157.45</v>
      </c>
      <c r="K79" s="4">
        <v>8157.45</v>
      </c>
      <c r="L79" s="4">
        <v>8157.45</v>
      </c>
      <c r="M79" s="4">
        <v>8157.45</v>
      </c>
      <c r="N79" s="4">
        <v>8225.66</v>
      </c>
      <c r="O79" s="4">
        <v>8164.94</v>
      </c>
      <c r="P79" s="4">
        <v>8186.1699999999992</v>
      </c>
      <c r="Q79" s="4">
        <v>8164.9400000000005</v>
      </c>
      <c r="R79" s="4">
        <v>8186.1699999999992</v>
      </c>
      <c r="S79" s="8">
        <f t="shared" si="3"/>
        <v>8176.1016666666665</v>
      </c>
      <c r="T79" s="8">
        <f t="shared" si="4"/>
        <v>10.068333333332703</v>
      </c>
      <c r="U79" s="9">
        <f t="shared" si="5"/>
        <v>1.2314344590870878E-3</v>
      </c>
    </row>
    <row r="80" spans="1:22" outlineLevel="2">
      <c r="A80" t="s">
        <v>134</v>
      </c>
      <c r="B80" t="s">
        <v>135</v>
      </c>
      <c r="C80" t="s">
        <v>51</v>
      </c>
      <c r="D80" t="s">
        <v>52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143.25</v>
      </c>
      <c r="O80" s="4">
        <v>0</v>
      </c>
      <c r="P80" s="4">
        <v>0</v>
      </c>
      <c r="Q80" s="4">
        <v>0</v>
      </c>
      <c r="S80" s="8">
        <f t="shared" si="3"/>
        <v>23.875</v>
      </c>
      <c r="T80" s="8">
        <f t="shared" si="4"/>
        <v>-23.875</v>
      </c>
      <c r="U80" s="9">
        <f t="shared" si="5"/>
        <v>-1</v>
      </c>
    </row>
    <row r="81" spans="1:22" outlineLevel="2">
      <c r="A81" t="s">
        <v>134</v>
      </c>
      <c r="B81" t="s">
        <v>135</v>
      </c>
      <c r="C81" t="s">
        <v>162</v>
      </c>
      <c r="D81" t="s">
        <v>163</v>
      </c>
      <c r="E81" s="4">
        <v>0</v>
      </c>
      <c r="F81" s="4">
        <v>0</v>
      </c>
      <c r="G81" s="4">
        <v>0</v>
      </c>
      <c r="H81" s="4">
        <v>4295.26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S81" s="8">
        <f t="shared" si="3"/>
        <v>0</v>
      </c>
      <c r="T81" s="8">
        <f t="shared" si="4"/>
        <v>0</v>
      </c>
      <c r="U81" s="9" t="e">
        <f t="shared" si="5"/>
        <v>#DIV/0!</v>
      </c>
    </row>
    <row r="82" spans="1:22" outlineLevel="2">
      <c r="A82" t="s">
        <v>134</v>
      </c>
      <c r="B82" t="s">
        <v>135</v>
      </c>
      <c r="C82" t="s">
        <v>164</v>
      </c>
      <c r="D82" t="s">
        <v>165</v>
      </c>
      <c r="E82" s="4">
        <v>105</v>
      </c>
      <c r="F82" s="4">
        <v>70</v>
      </c>
      <c r="G82" s="4">
        <v>70</v>
      </c>
      <c r="H82" s="4">
        <v>70</v>
      </c>
      <c r="I82" s="4">
        <v>70</v>
      </c>
      <c r="J82" s="4">
        <v>70</v>
      </c>
      <c r="K82" s="4">
        <v>105</v>
      </c>
      <c r="L82" s="4">
        <v>210</v>
      </c>
      <c r="M82" s="4">
        <v>140</v>
      </c>
      <c r="N82" s="4">
        <v>140</v>
      </c>
      <c r="O82" s="4">
        <v>140</v>
      </c>
      <c r="P82" s="4">
        <v>140</v>
      </c>
      <c r="Q82" s="4">
        <v>560</v>
      </c>
      <c r="R82" s="4">
        <v>490</v>
      </c>
      <c r="S82" s="8">
        <f t="shared" si="3"/>
        <v>221.66666666666666</v>
      </c>
      <c r="T82" s="8">
        <f t="shared" si="4"/>
        <v>268.33333333333337</v>
      </c>
      <c r="U82" s="9">
        <f t="shared" si="5"/>
        <v>1.2105263157894739</v>
      </c>
    </row>
    <row r="83" spans="1:22" outlineLevel="2">
      <c r="A83" t="s">
        <v>134</v>
      </c>
      <c r="B83" t="s">
        <v>135</v>
      </c>
      <c r="C83" t="s">
        <v>55</v>
      </c>
      <c r="D83" t="s">
        <v>56</v>
      </c>
      <c r="E83" s="4">
        <v>0</v>
      </c>
      <c r="F83" s="4">
        <v>1342.62</v>
      </c>
      <c r="G83" s="4">
        <v>62.8</v>
      </c>
      <c r="H83" s="4">
        <v>0</v>
      </c>
      <c r="I83" s="4">
        <v>0</v>
      </c>
      <c r="J83" s="4">
        <v>0</v>
      </c>
      <c r="K83" s="4">
        <v>0</v>
      </c>
      <c r="L83" s="4">
        <v>34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S83" s="8">
        <f t="shared" si="3"/>
        <v>5.666666666666667</v>
      </c>
      <c r="T83" s="8">
        <f t="shared" si="4"/>
        <v>-5.666666666666667</v>
      </c>
      <c r="U83" s="9">
        <f t="shared" si="5"/>
        <v>-1</v>
      </c>
    </row>
    <row r="84" spans="1:22" outlineLevel="2">
      <c r="A84" t="s">
        <v>134</v>
      </c>
      <c r="B84" t="s">
        <v>135</v>
      </c>
      <c r="C84" t="s">
        <v>65</v>
      </c>
      <c r="D84" t="s">
        <v>66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20</v>
      </c>
      <c r="K84" s="4">
        <v>20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S84" s="8">
        <f t="shared" si="3"/>
        <v>0</v>
      </c>
      <c r="T84" s="8">
        <f t="shared" si="4"/>
        <v>0</v>
      </c>
      <c r="U84" s="9" t="e">
        <f t="shared" si="5"/>
        <v>#DIV/0!</v>
      </c>
    </row>
    <row r="85" spans="1:22" outlineLevel="2">
      <c r="A85" t="s">
        <v>134</v>
      </c>
      <c r="B85" t="s">
        <v>135</v>
      </c>
      <c r="C85" t="s">
        <v>83</v>
      </c>
      <c r="D85" t="s">
        <v>84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48.79</v>
      </c>
      <c r="P85" s="4">
        <v>0</v>
      </c>
      <c r="Q85" s="4">
        <v>0</v>
      </c>
      <c r="S85" s="8">
        <f t="shared" si="3"/>
        <v>8.1316666666666659</v>
      </c>
      <c r="T85" s="8">
        <f t="shared" si="4"/>
        <v>-8.1316666666666659</v>
      </c>
      <c r="U85" s="9">
        <f t="shared" si="5"/>
        <v>-1</v>
      </c>
    </row>
    <row r="86" spans="1:22" outlineLevel="2">
      <c r="A86" t="s">
        <v>134</v>
      </c>
      <c r="B86" t="s">
        <v>135</v>
      </c>
      <c r="C86" t="s">
        <v>87</v>
      </c>
      <c r="D86" t="s">
        <v>88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-340.91</v>
      </c>
      <c r="S86" s="8">
        <f t="shared" si="3"/>
        <v>-56.818333333333335</v>
      </c>
      <c r="T86" s="8">
        <f t="shared" si="4"/>
        <v>56.818333333333335</v>
      </c>
      <c r="U86" s="9">
        <f t="shared" si="5"/>
        <v>-1</v>
      </c>
    </row>
    <row r="87" spans="1:22" outlineLevel="2">
      <c r="A87" t="s">
        <v>134</v>
      </c>
      <c r="B87" t="s">
        <v>135</v>
      </c>
      <c r="C87" t="s">
        <v>89</v>
      </c>
      <c r="D87" t="s">
        <v>90</v>
      </c>
      <c r="E87" s="4">
        <v>465746.69999999978</v>
      </c>
      <c r="F87" s="4">
        <v>1024130.7300000003</v>
      </c>
      <c r="G87" s="4">
        <v>460249.79000000004</v>
      </c>
      <c r="H87" s="4">
        <v>630404.25</v>
      </c>
      <c r="I87" s="4">
        <v>453284.96999999991</v>
      </c>
      <c r="J87" s="4">
        <v>683020.31</v>
      </c>
      <c r="K87" s="4">
        <v>399964.49999999988</v>
      </c>
      <c r="L87" s="4">
        <v>548653.91999999993</v>
      </c>
      <c r="M87" s="4">
        <v>511793.26999999979</v>
      </c>
      <c r="N87" s="4">
        <v>228469.76000000007</v>
      </c>
      <c r="O87" s="4">
        <v>233884.05999999997</v>
      </c>
      <c r="P87" s="4">
        <v>823856.16999999993</v>
      </c>
      <c r="Q87" s="4">
        <v>224761.07999999996</v>
      </c>
      <c r="R87" s="4">
        <v>302429.94</v>
      </c>
      <c r="S87" s="8">
        <f t="shared" si="3"/>
        <v>428569.70999999996</v>
      </c>
      <c r="T87" s="8">
        <f t="shared" si="4"/>
        <v>-126139.76999999996</v>
      </c>
      <c r="U87" s="9">
        <f t="shared" si="5"/>
        <v>-0.29432731025251402</v>
      </c>
      <c r="V87" t="s">
        <v>896</v>
      </c>
    </row>
    <row r="88" spans="1:22" outlineLevel="2">
      <c r="A88" t="s">
        <v>134</v>
      </c>
      <c r="B88" t="s">
        <v>135</v>
      </c>
      <c r="C88" t="s">
        <v>166</v>
      </c>
      <c r="D88" t="s">
        <v>167</v>
      </c>
      <c r="E88" s="4">
        <v>1250</v>
      </c>
      <c r="F88" s="4">
        <v>0</v>
      </c>
      <c r="G88" s="4">
        <v>1425</v>
      </c>
      <c r="H88" s="4">
        <v>0</v>
      </c>
      <c r="I88" s="4">
        <v>0</v>
      </c>
      <c r="J88" s="4">
        <v>0</v>
      </c>
      <c r="K88" s="4">
        <v>0</v>
      </c>
      <c r="L88" s="4">
        <v>1200</v>
      </c>
      <c r="M88" s="4">
        <v>500</v>
      </c>
      <c r="N88" s="4">
        <v>0</v>
      </c>
      <c r="O88" s="4">
        <v>1100</v>
      </c>
      <c r="P88" s="4">
        <v>105</v>
      </c>
      <c r="Q88" s="4">
        <v>500</v>
      </c>
      <c r="S88" s="8">
        <f t="shared" si="3"/>
        <v>567.5</v>
      </c>
      <c r="T88" s="8">
        <f t="shared" si="4"/>
        <v>-567.5</v>
      </c>
      <c r="U88" s="9">
        <f t="shared" si="5"/>
        <v>-1</v>
      </c>
    </row>
    <row r="89" spans="1:22" outlineLevel="2">
      <c r="A89" t="s">
        <v>134</v>
      </c>
      <c r="B89" t="s">
        <v>135</v>
      </c>
      <c r="C89" t="s">
        <v>168</v>
      </c>
      <c r="D89" t="s">
        <v>169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16027</v>
      </c>
      <c r="K89" s="4">
        <v>-16027</v>
      </c>
      <c r="L89" s="4">
        <v>3750</v>
      </c>
      <c r="M89" s="4">
        <v>-3750</v>
      </c>
      <c r="N89" s="4">
        <v>0</v>
      </c>
      <c r="O89" s="4">
        <v>0</v>
      </c>
      <c r="P89" s="4">
        <v>0</v>
      </c>
      <c r="Q89" s="4">
        <v>0</v>
      </c>
      <c r="S89" s="8">
        <f t="shared" si="3"/>
        <v>0</v>
      </c>
      <c r="T89" s="8">
        <f t="shared" si="4"/>
        <v>0</v>
      </c>
      <c r="U89" s="9" t="e">
        <f t="shared" si="5"/>
        <v>#DIV/0!</v>
      </c>
    </row>
    <row r="90" spans="1:22" outlineLevel="2">
      <c r="A90" t="s">
        <v>134</v>
      </c>
      <c r="B90" t="s">
        <v>135</v>
      </c>
      <c r="C90" t="s">
        <v>99</v>
      </c>
      <c r="D90" t="s">
        <v>100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S90" s="8">
        <f t="shared" si="3"/>
        <v>0</v>
      </c>
      <c r="T90" s="8">
        <f t="shared" si="4"/>
        <v>0</v>
      </c>
      <c r="U90" s="9" t="e">
        <f t="shared" si="5"/>
        <v>#DIV/0!</v>
      </c>
    </row>
    <row r="91" spans="1:22" outlineLevel="2">
      <c r="A91" t="s">
        <v>134</v>
      </c>
      <c r="B91" t="s">
        <v>135</v>
      </c>
      <c r="C91" t="s">
        <v>101</v>
      </c>
      <c r="D91" t="s">
        <v>102</v>
      </c>
      <c r="E91" s="4">
        <v>104112.23999999999</v>
      </c>
      <c r="F91" s="4">
        <v>54000</v>
      </c>
      <c r="G91" s="4">
        <v>160000</v>
      </c>
      <c r="H91" s="4">
        <v>76693.100000000006</v>
      </c>
      <c r="I91" s="4">
        <v>105656.27</v>
      </c>
      <c r="J91" s="4">
        <v>-368693.1</v>
      </c>
      <c r="K91" s="4">
        <v>-88960.510000000009</v>
      </c>
      <c r="L91" s="4">
        <v>302953</v>
      </c>
      <c r="M91" s="4">
        <v>210698.75</v>
      </c>
      <c r="N91" s="4">
        <v>197996.2</v>
      </c>
      <c r="O91" s="4">
        <v>173952.18</v>
      </c>
      <c r="P91" s="4">
        <v>90569.99</v>
      </c>
      <c r="Q91" s="4">
        <v>-1324.8700000000026</v>
      </c>
      <c r="R91" s="4">
        <v>125955.26999999999</v>
      </c>
      <c r="S91" s="8">
        <f t="shared" si="3"/>
        <v>162474.20833333331</v>
      </c>
      <c r="T91" s="8">
        <f t="shared" si="4"/>
        <v>-36518.938333333324</v>
      </c>
      <c r="U91" s="9">
        <f t="shared" si="5"/>
        <v>-0.22476760285799205</v>
      </c>
      <c r="V91" t="s">
        <v>896</v>
      </c>
    </row>
    <row r="92" spans="1:22" outlineLevel="2">
      <c r="A92" t="s">
        <v>134</v>
      </c>
      <c r="B92" t="s">
        <v>135</v>
      </c>
      <c r="C92" t="s">
        <v>103</v>
      </c>
      <c r="D92" t="s">
        <v>104</v>
      </c>
      <c r="E92" s="4">
        <v>2986.2000000000016</v>
      </c>
      <c r="F92" s="4">
        <v>-9097.2000000000007</v>
      </c>
      <c r="G92" s="4">
        <v>-9.0949470177292824E-13</v>
      </c>
      <c r="H92" s="4">
        <v>20522.7</v>
      </c>
      <c r="I92" s="4">
        <v>575.99999999999909</v>
      </c>
      <c r="J92" s="4">
        <v>-3406.4500000000007</v>
      </c>
      <c r="K92" s="4">
        <v>-1993.5999999999985</v>
      </c>
      <c r="L92" s="4">
        <v>0</v>
      </c>
      <c r="M92" s="4">
        <v>-576</v>
      </c>
      <c r="N92" s="4">
        <v>576</v>
      </c>
      <c r="O92" s="4">
        <v>-575.9</v>
      </c>
      <c r="P92" s="4">
        <v>0</v>
      </c>
      <c r="Q92" s="4">
        <v>5.4569682106375694E-12</v>
      </c>
      <c r="S92" s="8">
        <f t="shared" si="3"/>
        <v>-95.983333333332425</v>
      </c>
      <c r="T92" s="8">
        <f t="shared" si="4"/>
        <v>95.983333333332425</v>
      </c>
      <c r="U92" s="9">
        <f t="shared" si="5"/>
        <v>-1</v>
      </c>
    </row>
    <row r="93" spans="1:22" outlineLevel="2">
      <c r="A93" t="s">
        <v>134</v>
      </c>
      <c r="B93" t="s">
        <v>135</v>
      </c>
      <c r="C93" t="s">
        <v>105</v>
      </c>
      <c r="D93" t="s">
        <v>106</v>
      </c>
      <c r="E93" s="4">
        <v>81444</v>
      </c>
      <c r="F93" s="4">
        <v>0</v>
      </c>
      <c r="G93" s="4">
        <v>0</v>
      </c>
      <c r="H93" s="4">
        <v>0</v>
      </c>
      <c r="I93" s="4">
        <v>0</v>
      </c>
      <c r="J93" s="4">
        <v>474057.37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S93" s="8">
        <f t="shared" si="3"/>
        <v>0</v>
      </c>
      <c r="T93" s="8">
        <f t="shared" si="4"/>
        <v>0</v>
      </c>
      <c r="U93" s="9" t="e">
        <f t="shared" si="5"/>
        <v>#DIV/0!</v>
      </c>
    </row>
    <row r="94" spans="1:22" outlineLevel="2">
      <c r="A94" t="s">
        <v>134</v>
      </c>
      <c r="B94" t="s">
        <v>135</v>
      </c>
      <c r="C94" t="s">
        <v>111</v>
      </c>
      <c r="D94" t="s">
        <v>112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-3023.58</v>
      </c>
      <c r="O94" s="4">
        <v>0</v>
      </c>
      <c r="P94" s="4">
        <v>0</v>
      </c>
      <c r="Q94" s="4">
        <v>0</v>
      </c>
      <c r="S94" s="8">
        <f t="shared" si="3"/>
        <v>-503.93</v>
      </c>
      <c r="T94" s="8">
        <f t="shared" si="4"/>
        <v>503.93</v>
      </c>
      <c r="U94" s="9">
        <f t="shared" si="5"/>
        <v>-1</v>
      </c>
    </row>
    <row r="95" spans="1:22" outlineLevel="2">
      <c r="A95" t="s">
        <v>134</v>
      </c>
      <c r="B95" t="s">
        <v>135</v>
      </c>
      <c r="C95" t="s">
        <v>170</v>
      </c>
      <c r="D95" t="s">
        <v>171</v>
      </c>
      <c r="E95" s="4">
        <v>1080</v>
      </c>
      <c r="F95" s="4">
        <v>720</v>
      </c>
      <c r="G95" s="4">
        <v>720</v>
      </c>
      <c r="H95" s="4">
        <v>1170</v>
      </c>
      <c r="I95" s="4">
        <v>810</v>
      </c>
      <c r="J95" s="4">
        <v>810</v>
      </c>
      <c r="K95" s="4">
        <v>810</v>
      </c>
      <c r="L95" s="4">
        <v>1215</v>
      </c>
      <c r="M95" s="4">
        <v>810</v>
      </c>
      <c r="N95" s="4">
        <v>720</v>
      </c>
      <c r="O95" s="4">
        <v>720</v>
      </c>
      <c r="P95" s="4">
        <v>720</v>
      </c>
      <c r="Q95" s="4">
        <v>225</v>
      </c>
      <c r="S95" s="8">
        <f t="shared" si="3"/>
        <v>735</v>
      </c>
      <c r="T95" s="8">
        <f t="shared" si="4"/>
        <v>-735</v>
      </c>
      <c r="U95" s="9">
        <f t="shared" si="5"/>
        <v>-1</v>
      </c>
    </row>
    <row r="96" spans="1:22" outlineLevel="2">
      <c r="A96" t="s">
        <v>134</v>
      </c>
      <c r="B96" t="s">
        <v>135</v>
      </c>
      <c r="C96" t="s">
        <v>127</v>
      </c>
      <c r="D96" t="s">
        <v>120</v>
      </c>
      <c r="E96" s="4">
        <v>20</v>
      </c>
      <c r="F96" s="4">
        <v>0</v>
      </c>
      <c r="G96" s="4">
        <v>20</v>
      </c>
      <c r="H96" s="4">
        <v>1890</v>
      </c>
      <c r="I96" s="4">
        <v>0</v>
      </c>
      <c r="J96" s="4">
        <v>0</v>
      </c>
      <c r="K96" s="4">
        <v>19.03</v>
      </c>
      <c r="L96" s="4">
        <v>0</v>
      </c>
      <c r="M96" s="4">
        <v>0</v>
      </c>
      <c r="N96" s="4">
        <v>0</v>
      </c>
      <c r="O96" s="4">
        <v>180</v>
      </c>
      <c r="P96" s="4">
        <v>0</v>
      </c>
      <c r="Q96" s="4">
        <v>0</v>
      </c>
      <c r="S96" s="8">
        <f t="shared" si="3"/>
        <v>30</v>
      </c>
      <c r="T96" s="8">
        <f t="shared" si="4"/>
        <v>-30</v>
      </c>
      <c r="U96" s="9">
        <f t="shared" si="5"/>
        <v>-1</v>
      </c>
    </row>
    <row r="97" spans="1:22" outlineLevel="2">
      <c r="A97" t="s">
        <v>134</v>
      </c>
      <c r="B97" t="s">
        <v>135</v>
      </c>
      <c r="C97" t="s">
        <v>172</v>
      </c>
      <c r="D97" t="s">
        <v>173</v>
      </c>
      <c r="E97" s="4">
        <v>380.71</v>
      </c>
      <c r="F97" s="4">
        <v>380.71</v>
      </c>
      <c r="G97" s="4">
        <v>380.71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S97" s="8">
        <f t="shared" si="3"/>
        <v>0</v>
      </c>
      <c r="T97" s="8">
        <f t="shared" si="4"/>
        <v>0</v>
      </c>
      <c r="U97" s="9" t="e">
        <f t="shared" si="5"/>
        <v>#DIV/0!</v>
      </c>
    </row>
    <row r="98" spans="1:22" outlineLevel="1">
      <c r="A98" s="1" t="s">
        <v>685</v>
      </c>
      <c r="E98" s="4">
        <f>SUBTOTAL(9,E60:E97)</f>
        <v>1111769.6999999997</v>
      </c>
      <c r="F98" s="4">
        <f>SUBTOTAL(9,F60:F97)</f>
        <v>1543240.8900000004</v>
      </c>
      <c r="G98" s="4">
        <f>SUBTOTAL(9,G60:G97)</f>
        <v>1307685.5</v>
      </c>
      <c r="H98" s="4">
        <f>SUBTOTAL(9,H60:H97)</f>
        <v>1333092.52</v>
      </c>
      <c r="I98" s="4">
        <f>SUBTOTAL(9,I60:I97)</f>
        <v>1079710.17</v>
      </c>
      <c r="J98" s="4">
        <f>SUBTOTAL(9,J60:J97)</f>
        <v>1261181.5900000001</v>
      </c>
      <c r="K98" s="4">
        <f>SUBTOTAL(9,K60:K97)</f>
        <v>631364.89</v>
      </c>
      <c r="L98" s="4">
        <f>SUBTOTAL(9,L60:L97)</f>
        <v>1132709.54</v>
      </c>
      <c r="M98" s="4">
        <f>SUBTOTAL(9,M60:M97)</f>
        <v>1031592.2399999998</v>
      </c>
      <c r="N98" s="4">
        <f>SUBTOTAL(9,N60:N97)</f>
        <v>753316.78999999992</v>
      </c>
      <c r="O98" s="4">
        <f>SUBTOTAL(9,O60:O97)</f>
        <v>741095.67</v>
      </c>
      <c r="P98" s="4">
        <f>SUBTOTAL(9,P60:P97)</f>
        <v>834303.65999999992</v>
      </c>
      <c r="Q98" s="4">
        <f>SUBTOTAL(9,Q60:Q97)</f>
        <v>468179.45999999996</v>
      </c>
      <c r="R98" s="4">
        <f>SUBTOTAL(9,R60:R97)</f>
        <v>637319.34000000008</v>
      </c>
      <c r="S98" s="8">
        <f t="shared" si="3"/>
        <v>826866.22666666657</v>
      </c>
      <c r="T98" s="8">
        <f t="shared" si="4"/>
        <v>-189546.88666666648</v>
      </c>
      <c r="U98" s="9">
        <f t="shared" si="5"/>
        <v>-0.2292352505807185</v>
      </c>
      <c r="V98" t="s">
        <v>896</v>
      </c>
    </row>
    <row r="99" spans="1:22" outlineLevel="2">
      <c r="A99" t="s">
        <v>174</v>
      </c>
      <c r="B99" t="s">
        <v>175</v>
      </c>
      <c r="C99" t="s">
        <v>21</v>
      </c>
      <c r="D99" t="s">
        <v>22</v>
      </c>
      <c r="E99" s="4">
        <v>159.62</v>
      </c>
      <c r="F99" s="4">
        <v>81.430000000000007</v>
      </c>
      <c r="G99" s="4">
        <v>0</v>
      </c>
      <c r="H99" s="4">
        <v>0</v>
      </c>
      <c r="I99" s="4">
        <v>0</v>
      </c>
      <c r="J99" s="4">
        <v>311.04000000000002</v>
      </c>
      <c r="K99" s="4">
        <v>23.689999999999998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S99" s="8">
        <f t="shared" si="3"/>
        <v>0</v>
      </c>
      <c r="T99" s="8">
        <f t="shared" si="4"/>
        <v>0</v>
      </c>
      <c r="U99" s="9" t="e">
        <f t="shared" si="5"/>
        <v>#DIV/0!</v>
      </c>
    </row>
    <row r="100" spans="1:22" outlineLevel="2">
      <c r="A100" t="s">
        <v>174</v>
      </c>
      <c r="B100" t="s">
        <v>175</v>
      </c>
      <c r="C100" t="s">
        <v>23</v>
      </c>
      <c r="D100" t="s">
        <v>24</v>
      </c>
      <c r="E100" s="4">
        <v>3337.4900000000002</v>
      </c>
      <c r="F100" s="4">
        <v>948.14</v>
      </c>
      <c r="G100" s="4">
        <v>995.68000000000006</v>
      </c>
      <c r="H100" s="4">
        <v>0</v>
      </c>
      <c r="I100" s="4">
        <v>0</v>
      </c>
      <c r="J100" s="4">
        <v>2374.39</v>
      </c>
      <c r="K100" s="4">
        <v>1325.79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S100" s="8">
        <f t="shared" si="3"/>
        <v>0</v>
      </c>
      <c r="T100" s="8">
        <f t="shared" si="4"/>
        <v>0</v>
      </c>
      <c r="U100" s="9" t="e">
        <f t="shared" si="5"/>
        <v>#DIV/0!</v>
      </c>
    </row>
    <row r="101" spans="1:22" outlineLevel="2">
      <c r="A101" t="s">
        <v>174</v>
      </c>
      <c r="B101" t="s">
        <v>175</v>
      </c>
      <c r="C101" t="s">
        <v>27</v>
      </c>
      <c r="D101" t="s">
        <v>28</v>
      </c>
      <c r="E101" s="4">
        <v>190.49</v>
      </c>
      <c r="F101" s="4">
        <v>0</v>
      </c>
      <c r="G101" s="4">
        <v>0</v>
      </c>
      <c r="H101" s="4">
        <v>0</v>
      </c>
      <c r="I101" s="4">
        <v>0</v>
      </c>
      <c r="J101" s="4">
        <v>1250</v>
      </c>
      <c r="K101" s="4">
        <v>0</v>
      </c>
      <c r="L101" s="4">
        <v>0</v>
      </c>
      <c r="M101" s="4">
        <v>0</v>
      </c>
      <c r="N101" s="4">
        <v>235.42</v>
      </c>
      <c r="O101" s="4">
        <v>0</v>
      </c>
      <c r="P101" s="4">
        <v>0</v>
      </c>
      <c r="Q101" s="4">
        <v>0</v>
      </c>
      <c r="S101" s="8">
        <f t="shared" si="3"/>
        <v>39.236666666666665</v>
      </c>
      <c r="T101" s="8">
        <f t="shared" si="4"/>
        <v>-39.236666666666665</v>
      </c>
      <c r="U101" s="9">
        <f t="shared" si="5"/>
        <v>-1</v>
      </c>
    </row>
    <row r="102" spans="1:22" outlineLevel="2">
      <c r="A102" t="s">
        <v>174</v>
      </c>
      <c r="B102" t="s">
        <v>175</v>
      </c>
      <c r="C102" t="s">
        <v>136</v>
      </c>
      <c r="D102" t="s">
        <v>137</v>
      </c>
      <c r="E102" s="4">
        <v>78511.900000000009</v>
      </c>
      <c r="F102" s="4">
        <v>70913.960000000006</v>
      </c>
      <c r="G102" s="4">
        <v>78511.890000000014</v>
      </c>
      <c r="H102" s="4">
        <v>75979.240000000005</v>
      </c>
      <c r="I102" s="4">
        <v>78511.890000000014</v>
      </c>
      <c r="J102" s="4">
        <v>75979.22</v>
      </c>
      <c r="K102" s="4">
        <v>80847.25</v>
      </c>
      <c r="L102" s="4">
        <v>80774.28</v>
      </c>
      <c r="M102" s="4">
        <v>78168.62999999999</v>
      </c>
      <c r="N102" s="4">
        <v>80774.26999999999</v>
      </c>
      <c r="O102" s="4">
        <v>78168.639999999985</v>
      </c>
      <c r="P102" s="4">
        <v>80774.25</v>
      </c>
      <c r="Q102" s="4">
        <v>80774.26999999999</v>
      </c>
      <c r="R102" s="4">
        <v>72957.399999999994</v>
      </c>
      <c r="S102" s="8">
        <f t="shared" si="3"/>
        <v>79905.723333333328</v>
      </c>
      <c r="T102" s="8">
        <f t="shared" si="4"/>
        <v>-6948.3233333333337</v>
      </c>
      <c r="U102" s="9">
        <f t="shared" si="5"/>
        <v>-8.6956516297935618E-2</v>
      </c>
    </row>
    <row r="103" spans="1:22" outlineLevel="2">
      <c r="A103" t="s">
        <v>174</v>
      </c>
      <c r="B103" t="s">
        <v>175</v>
      </c>
      <c r="C103" t="s">
        <v>144</v>
      </c>
      <c r="D103" t="s">
        <v>145</v>
      </c>
      <c r="E103" s="4">
        <v>15760.819999999996</v>
      </c>
      <c r="F103" s="4">
        <v>4960.68</v>
      </c>
      <c r="G103" s="4">
        <v>16940.82</v>
      </c>
      <c r="H103" s="4">
        <v>11528.279999999999</v>
      </c>
      <c r="I103" s="4">
        <v>18216.100000000002</v>
      </c>
      <c r="J103" s="4">
        <v>4614.9400000000005</v>
      </c>
      <c r="K103" s="4">
        <v>14859.54</v>
      </c>
      <c r="L103" s="4">
        <v>15119.779999999999</v>
      </c>
      <c r="M103" s="4">
        <v>16547.409999999996</v>
      </c>
      <c r="N103" s="4">
        <v>13334.240000000002</v>
      </c>
      <c r="O103" s="4">
        <v>12743.3</v>
      </c>
      <c r="P103" s="4">
        <v>10604.419999999998</v>
      </c>
      <c r="Q103" s="4">
        <v>18831.02</v>
      </c>
      <c r="R103" s="4">
        <v>3234.08</v>
      </c>
      <c r="S103" s="8">
        <f t="shared" si="3"/>
        <v>14530.028333333334</v>
      </c>
      <c r="T103" s="8">
        <f t="shared" si="4"/>
        <v>-11295.948333333334</v>
      </c>
      <c r="U103" s="9">
        <f t="shared" si="5"/>
        <v>-0.77742094331772926</v>
      </c>
    </row>
    <row r="104" spans="1:22" outlineLevel="2">
      <c r="A104" t="s">
        <v>174</v>
      </c>
      <c r="B104" t="s">
        <v>175</v>
      </c>
      <c r="C104" t="s">
        <v>146</v>
      </c>
      <c r="D104" t="s">
        <v>147</v>
      </c>
      <c r="E104" s="4">
        <v>7851.1900000000005</v>
      </c>
      <c r="F104" s="4">
        <v>7091.38</v>
      </c>
      <c r="G104" s="4">
        <v>13506.460000000001</v>
      </c>
      <c r="H104" s="4">
        <v>5545.71</v>
      </c>
      <c r="I104" s="4">
        <v>5730.58</v>
      </c>
      <c r="J104" s="4">
        <v>5545.7</v>
      </c>
      <c r="K104" s="4">
        <v>5892.9800000000005</v>
      </c>
      <c r="L104" s="4">
        <v>5887.9000000000005</v>
      </c>
      <c r="M104" s="4">
        <v>48693.320000000007</v>
      </c>
      <c r="N104" s="4">
        <v>5887.8899999999994</v>
      </c>
      <c r="O104" s="4">
        <v>5697.9700000000012</v>
      </c>
      <c r="P104" s="4">
        <v>4367.3900000000003</v>
      </c>
      <c r="Q104" s="4">
        <v>8077.4299999999994</v>
      </c>
      <c r="R104" s="4">
        <v>7295.74</v>
      </c>
      <c r="S104" s="8">
        <f t="shared" si="3"/>
        <v>13101.983333333335</v>
      </c>
      <c r="T104" s="8">
        <f t="shared" si="4"/>
        <v>-5806.2433333333356</v>
      </c>
      <c r="U104" s="9">
        <f t="shared" si="5"/>
        <v>-0.44315758810052941</v>
      </c>
    </row>
    <row r="105" spans="1:22" outlineLevel="2">
      <c r="A105" t="s">
        <v>174</v>
      </c>
      <c r="B105" t="s">
        <v>175</v>
      </c>
      <c r="C105" t="s">
        <v>150</v>
      </c>
      <c r="D105" t="s">
        <v>151</v>
      </c>
      <c r="E105" s="4">
        <v>0</v>
      </c>
      <c r="F105" s="4">
        <v>39286</v>
      </c>
      <c r="G105" s="4">
        <v>7857.1999999999971</v>
      </c>
      <c r="H105" s="4">
        <v>38283.360000000001</v>
      </c>
      <c r="I105" s="4">
        <v>37374.119999999995</v>
      </c>
      <c r="J105" s="4">
        <v>24773.7</v>
      </c>
      <c r="K105" s="4">
        <v>29885.01</v>
      </c>
      <c r="L105" s="4">
        <v>29885.01</v>
      </c>
      <c r="M105" s="4">
        <v>29885.01</v>
      </c>
      <c r="N105" s="4">
        <v>28241.34</v>
      </c>
      <c r="O105" s="4">
        <v>28241.34</v>
      </c>
      <c r="P105" s="4">
        <v>28241.34</v>
      </c>
      <c r="Q105" s="4">
        <v>22349.45</v>
      </c>
      <c r="R105" s="4">
        <v>12809.389999999996</v>
      </c>
      <c r="S105" s="8">
        <f t="shared" si="3"/>
        <v>27807.248333333337</v>
      </c>
      <c r="T105" s="8">
        <f t="shared" si="4"/>
        <v>-14997.858333333341</v>
      </c>
      <c r="U105" s="9">
        <f t="shared" si="5"/>
        <v>-0.5393506812881943</v>
      </c>
    </row>
    <row r="106" spans="1:22" outlineLevel="2">
      <c r="A106" t="s">
        <v>174</v>
      </c>
      <c r="B106" t="s">
        <v>175</v>
      </c>
      <c r="C106" t="s">
        <v>152</v>
      </c>
      <c r="D106" t="s">
        <v>153</v>
      </c>
      <c r="E106" s="4">
        <v>5871.93</v>
      </c>
      <c r="F106" s="4">
        <v>5303.630000000001</v>
      </c>
      <c r="G106" s="4">
        <v>13116.41</v>
      </c>
      <c r="H106" s="4">
        <v>5682.49</v>
      </c>
      <c r="I106" s="4">
        <v>5871.9</v>
      </c>
      <c r="J106" s="4">
        <v>12975.65</v>
      </c>
      <c r="K106" s="4">
        <v>2305.42</v>
      </c>
      <c r="L106" s="4">
        <v>2058.63</v>
      </c>
      <c r="M106" s="4">
        <v>920.67</v>
      </c>
      <c r="N106" s="4">
        <v>1146</v>
      </c>
      <c r="O106" s="4">
        <v>1150.8400000000001</v>
      </c>
      <c r="P106" s="4">
        <v>3813.9700000000003</v>
      </c>
      <c r="Q106" s="4">
        <v>6049.16</v>
      </c>
      <c r="R106" s="4">
        <v>22517.45</v>
      </c>
      <c r="S106" s="8">
        <f t="shared" si="3"/>
        <v>2523.2116666666666</v>
      </c>
      <c r="T106" s="8">
        <f t="shared" si="4"/>
        <v>19994.238333333335</v>
      </c>
      <c r="U106" s="9">
        <f t="shared" si="5"/>
        <v>7.9241224973198845</v>
      </c>
    </row>
    <row r="107" spans="1:22" outlineLevel="2">
      <c r="A107" t="s">
        <v>174</v>
      </c>
      <c r="B107" t="s">
        <v>175</v>
      </c>
      <c r="C107" t="s">
        <v>154</v>
      </c>
      <c r="D107" t="s">
        <v>155</v>
      </c>
      <c r="E107" s="4">
        <v>364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364</v>
      </c>
      <c r="S107" s="8">
        <f t="shared" si="3"/>
        <v>60.666666666666664</v>
      </c>
      <c r="T107" s="8">
        <f t="shared" si="4"/>
        <v>-60.666666666666664</v>
      </c>
      <c r="U107" s="9">
        <f t="shared" si="5"/>
        <v>-1</v>
      </c>
    </row>
    <row r="108" spans="1:22" outlineLevel="2">
      <c r="A108" t="s">
        <v>174</v>
      </c>
      <c r="B108" t="s">
        <v>175</v>
      </c>
      <c r="C108" t="s">
        <v>158</v>
      </c>
      <c r="D108" t="s">
        <v>159</v>
      </c>
      <c r="E108" s="4">
        <v>16000</v>
      </c>
      <c r="F108" s="4">
        <v>16000</v>
      </c>
      <c r="G108" s="4">
        <v>6084.8499999999985</v>
      </c>
      <c r="H108" s="4">
        <v>16257.77</v>
      </c>
      <c r="I108" s="4">
        <v>16000</v>
      </c>
      <c r="J108" s="4">
        <v>8286.3000000000029</v>
      </c>
      <c r="K108" s="4">
        <v>16000</v>
      </c>
      <c r="L108" s="4">
        <v>16000</v>
      </c>
      <c r="M108" s="4">
        <v>10619.89</v>
      </c>
      <c r="N108" s="4">
        <v>16000</v>
      </c>
      <c r="O108" s="4">
        <v>16000</v>
      </c>
      <c r="P108" s="4">
        <v>12886.25</v>
      </c>
      <c r="Q108" s="4">
        <v>18000</v>
      </c>
      <c r="R108" s="4">
        <v>18000</v>
      </c>
      <c r="S108" s="8">
        <f t="shared" si="3"/>
        <v>14917.69</v>
      </c>
      <c r="T108" s="8">
        <f t="shared" si="4"/>
        <v>3082.3099999999995</v>
      </c>
      <c r="U108" s="9">
        <f t="shared" si="5"/>
        <v>0.20662113236030508</v>
      </c>
    </row>
    <row r="109" spans="1:22" outlineLevel="2">
      <c r="A109" t="s">
        <v>174</v>
      </c>
      <c r="B109" t="s">
        <v>175</v>
      </c>
      <c r="C109" t="s">
        <v>160</v>
      </c>
      <c r="D109" t="s">
        <v>161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852.68000000000006</v>
      </c>
      <c r="N109" s="4">
        <v>0</v>
      </c>
      <c r="O109" s="4">
        <v>0</v>
      </c>
      <c r="P109" s="4">
        <v>245.04</v>
      </c>
      <c r="Q109" s="4">
        <v>0</v>
      </c>
      <c r="S109" s="8">
        <f t="shared" si="3"/>
        <v>182.95333333333335</v>
      </c>
      <c r="T109" s="8">
        <f t="shared" si="4"/>
        <v>-182.95333333333335</v>
      </c>
      <c r="U109" s="9">
        <f t="shared" si="5"/>
        <v>-1</v>
      </c>
    </row>
    <row r="110" spans="1:22" outlineLevel="2">
      <c r="A110" t="s">
        <v>174</v>
      </c>
      <c r="B110" t="s">
        <v>175</v>
      </c>
      <c r="C110" t="s">
        <v>51</v>
      </c>
      <c r="D110" t="s">
        <v>52</v>
      </c>
      <c r="E110" s="4">
        <v>75692.700000000012</v>
      </c>
      <c r="F110" s="4">
        <v>75692.66</v>
      </c>
      <c r="G110" s="4">
        <v>75692.66</v>
      </c>
      <c r="H110" s="4">
        <v>75692.66</v>
      </c>
      <c r="I110" s="4">
        <v>75692.66</v>
      </c>
      <c r="J110" s="4">
        <v>75692.66</v>
      </c>
      <c r="K110" s="4">
        <v>75692.66</v>
      </c>
      <c r="L110" s="4">
        <v>75692.66</v>
      </c>
      <c r="M110" s="4">
        <v>75692.66</v>
      </c>
      <c r="N110" s="4">
        <v>0</v>
      </c>
      <c r="O110" s="4">
        <v>0</v>
      </c>
      <c r="P110" s="4">
        <v>-3.0000000027939677E-2</v>
      </c>
      <c r="Q110" s="4">
        <v>157794.18</v>
      </c>
      <c r="R110" s="4">
        <v>78897.09</v>
      </c>
      <c r="S110" s="8">
        <f t="shared" si="3"/>
        <v>51529.91166666666</v>
      </c>
      <c r="T110" s="8">
        <f t="shared" si="4"/>
        <v>27367.178333333337</v>
      </c>
      <c r="U110" s="9">
        <f t="shared" si="5"/>
        <v>0.53109305737538148</v>
      </c>
      <c r="V110" t="s">
        <v>896</v>
      </c>
    </row>
    <row r="111" spans="1:22" outlineLevel="2">
      <c r="A111" t="s">
        <v>174</v>
      </c>
      <c r="B111" t="s">
        <v>175</v>
      </c>
      <c r="C111" t="s">
        <v>164</v>
      </c>
      <c r="D111" t="s">
        <v>165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280</v>
      </c>
      <c r="R111" s="4">
        <v>280</v>
      </c>
      <c r="S111" s="8">
        <f t="shared" si="3"/>
        <v>46.666666666666664</v>
      </c>
      <c r="T111" s="8">
        <f t="shared" si="4"/>
        <v>233.33333333333334</v>
      </c>
      <c r="U111" s="9">
        <f t="shared" si="5"/>
        <v>5.0000000000000009</v>
      </c>
    </row>
    <row r="112" spans="1:22" outlineLevel="2">
      <c r="A112" t="s">
        <v>174</v>
      </c>
      <c r="B112" t="s">
        <v>175</v>
      </c>
      <c r="C112" t="s">
        <v>87</v>
      </c>
      <c r="D112" t="s">
        <v>88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7567.34</v>
      </c>
      <c r="Q112" s="4">
        <v>0</v>
      </c>
      <c r="S112" s="8">
        <f t="shared" si="3"/>
        <v>1261.2233333333334</v>
      </c>
      <c r="T112" s="8">
        <f t="shared" si="4"/>
        <v>-1261.2233333333334</v>
      </c>
      <c r="U112" s="9">
        <f t="shared" si="5"/>
        <v>-1</v>
      </c>
    </row>
    <row r="113" spans="1:22" outlineLevel="2">
      <c r="A113" t="s">
        <v>174</v>
      </c>
      <c r="B113" t="s">
        <v>175</v>
      </c>
      <c r="C113" t="s">
        <v>89</v>
      </c>
      <c r="D113" t="s">
        <v>90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4196.33</v>
      </c>
      <c r="P113" s="4">
        <v>-4196.33</v>
      </c>
      <c r="Q113" s="4">
        <v>0</v>
      </c>
      <c r="R113" s="4">
        <v>18170.129999999994</v>
      </c>
      <c r="S113" s="8">
        <f t="shared" si="3"/>
        <v>0</v>
      </c>
      <c r="T113" s="8">
        <f t="shared" si="4"/>
        <v>18170.129999999994</v>
      </c>
      <c r="U113" s="9" t="e">
        <f t="shared" si="5"/>
        <v>#DIV/0!</v>
      </c>
      <c r="V113" t="s">
        <v>895</v>
      </c>
    </row>
    <row r="114" spans="1:22" outlineLevel="2">
      <c r="A114" t="s">
        <v>174</v>
      </c>
      <c r="B114" t="s">
        <v>175</v>
      </c>
      <c r="C114" t="s">
        <v>101</v>
      </c>
      <c r="D114" t="s">
        <v>102</v>
      </c>
      <c r="E114" s="4">
        <v>45721</v>
      </c>
      <c r="F114" s="4">
        <v>0</v>
      </c>
      <c r="G114" s="4">
        <v>160350</v>
      </c>
      <c r="H114" s="4">
        <v>36040</v>
      </c>
      <c r="I114" s="4">
        <v>0</v>
      </c>
      <c r="J114" s="4">
        <v>0</v>
      </c>
      <c r="K114" s="4">
        <v>0</v>
      </c>
      <c r="L114" s="4">
        <v>4800</v>
      </c>
      <c r="M114" s="4">
        <v>0</v>
      </c>
      <c r="N114" s="4">
        <v>0</v>
      </c>
      <c r="O114" s="4">
        <v>0</v>
      </c>
      <c r="P114" s="4">
        <v>1500</v>
      </c>
      <c r="Q114" s="4">
        <v>0</v>
      </c>
      <c r="R114" s="4">
        <v>-10939</v>
      </c>
      <c r="S114" s="8">
        <f t="shared" si="3"/>
        <v>1050</v>
      </c>
      <c r="T114" s="8">
        <f t="shared" si="4"/>
        <v>-11989</v>
      </c>
      <c r="U114" s="9">
        <f t="shared" si="5"/>
        <v>-11.418095238095239</v>
      </c>
    </row>
    <row r="115" spans="1:22" outlineLevel="2">
      <c r="A115" t="s">
        <v>174</v>
      </c>
      <c r="B115" t="s">
        <v>175</v>
      </c>
      <c r="C115" t="s">
        <v>170</v>
      </c>
      <c r="D115" t="s">
        <v>171</v>
      </c>
      <c r="E115" s="4">
        <v>540</v>
      </c>
      <c r="F115" s="4">
        <v>360</v>
      </c>
      <c r="G115" s="4">
        <v>360</v>
      </c>
      <c r="H115" s="4">
        <v>360</v>
      </c>
      <c r="I115" s="4">
        <v>360</v>
      </c>
      <c r="J115" s="4">
        <v>360</v>
      </c>
      <c r="K115" s="4">
        <v>360</v>
      </c>
      <c r="L115" s="4">
        <v>540</v>
      </c>
      <c r="M115" s="4">
        <v>360</v>
      </c>
      <c r="N115" s="4">
        <v>360</v>
      </c>
      <c r="O115" s="4">
        <v>360</v>
      </c>
      <c r="P115" s="4">
        <v>360</v>
      </c>
      <c r="Q115" s="4">
        <v>180</v>
      </c>
      <c r="S115" s="8">
        <f t="shared" si="3"/>
        <v>360</v>
      </c>
      <c r="T115" s="8">
        <f t="shared" si="4"/>
        <v>-360</v>
      </c>
      <c r="U115" s="9">
        <f t="shared" si="5"/>
        <v>-1</v>
      </c>
    </row>
    <row r="116" spans="1:22" outlineLevel="2">
      <c r="A116" t="s">
        <v>174</v>
      </c>
      <c r="B116" t="s">
        <v>175</v>
      </c>
      <c r="C116" t="s">
        <v>127</v>
      </c>
      <c r="D116" t="s">
        <v>120</v>
      </c>
      <c r="E116" s="4">
        <v>28.13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S116" s="8">
        <f t="shared" si="3"/>
        <v>0</v>
      </c>
      <c r="T116" s="8">
        <f t="shared" si="4"/>
        <v>0</v>
      </c>
      <c r="U116" s="9" t="e">
        <f t="shared" si="5"/>
        <v>#DIV/0!</v>
      </c>
    </row>
    <row r="117" spans="1:22" outlineLevel="1">
      <c r="A117" s="1" t="s">
        <v>686</v>
      </c>
      <c r="E117" s="4">
        <f>SUBTOTAL(9,E99:E116)</f>
        <v>250029.27000000002</v>
      </c>
      <c r="F117" s="4">
        <f>SUBTOTAL(9,F99:F116)</f>
        <v>220637.88000000003</v>
      </c>
      <c r="G117" s="4">
        <f>SUBTOTAL(9,G99:G116)</f>
        <v>373415.97000000003</v>
      </c>
      <c r="H117" s="4">
        <f>SUBTOTAL(9,H99:H116)</f>
        <v>265369.51</v>
      </c>
      <c r="I117" s="4">
        <f>SUBTOTAL(9,I99:I116)</f>
        <v>237757.25</v>
      </c>
      <c r="J117" s="4">
        <f>SUBTOTAL(9,J99:J116)</f>
        <v>212163.6</v>
      </c>
      <c r="K117" s="4">
        <f>SUBTOTAL(9,K99:K116)</f>
        <v>227192.34</v>
      </c>
      <c r="L117" s="4">
        <f>SUBTOTAL(9,L99:L116)</f>
        <v>230758.26</v>
      </c>
      <c r="M117" s="4">
        <f>SUBTOTAL(9,M99:M116)</f>
        <v>261740.27</v>
      </c>
      <c r="N117" s="4">
        <f>SUBTOTAL(9,N99:N116)</f>
        <v>145979.15999999997</v>
      </c>
      <c r="O117" s="4">
        <f>SUBTOTAL(9,O99:O116)</f>
        <v>146558.41999999995</v>
      </c>
      <c r="P117" s="4">
        <f>SUBTOTAL(9,P99:P116)</f>
        <v>146163.63999999998</v>
      </c>
      <c r="Q117" s="4">
        <f>SUBTOTAL(9,Q99:Q116)</f>
        <v>312699.51</v>
      </c>
      <c r="R117" s="4">
        <f>SUBTOTAL(9,R99:R116)</f>
        <v>223222.28</v>
      </c>
      <c r="S117" s="8">
        <f t="shared" si="3"/>
        <v>207316.54333333331</v>
      </c>
      <c r="T117" s="8">
        <f t="shared" si="4"/>
        <v>15905.736666666693</v>
      </c>
      <c r="U117" s="9">
        <f t="shared" si="5"/>
        <v>7.6721984704774385E-2</v>
      </c>
      <c r="V117" t="s">
        <v>896</v>
      </c>
    </row>
    <row r="118" spans="1:22" outlineLevel="2">
      <c r="A118" t="s">
        <v>176</v>
      </c>
      <c r="B118" t="s">
        <v>177</v>
      </c>
      <c r="C118" t="s">
        <v>21</v>
      </c>
      <c r="D118" t="s">
        <v>22</v>
      </c>
      <c r="E118" s="4">
        <v>0</v>
      </c>
      <c r="F118" s="4">
        <v>0</v>
      </c>
      <c r="G118" s="4">
        <v>351.32</v>
      </c>
      <c r="H118" s="4">
        <v>0</v>
      </c>
      <c r="I118" s="4">
        <v>161.28</v>
      </c>
      <c r="J118" s="4">
        <v>0</v>
      </c>
      <c r="K118" s="4">
        <v>0</v>
      </c>
      <c r="L118" s="4">
        <v>160.41</v>
      </c>
      <c r="M118" s="4">
        <v>143.84</v>
      </c>
      <c r="N118" s="4">
        <v>0</v>
      </c>
      <c r="O118" s="4">
        <v>170.09</v>
      </c>
      <c r="P118" s="4">
        <v>0</v>
      </c>
      <c r="Q118" s="4">
        <v>258.32</v>
      </c>
      <c r="R118" s="4">
        <v>132.12000000000006</v>
      </c>
      <c r="S118" s="8">
        <f t="shared" si="3"/>
        <v>122.11000000000001</v>
      </c>
      <c r="T118" s="8">
        <f t="shared" si="4"/>
        <v>10.010000000000048</v>
      </c>
      <c r="U118" s="9">
        <f t="shared" si="5"/>
        <v>8.1975268200802934E-2</v>
      </c>
    </row>
    <row r="119" spans="1:22" outlineLevel="2">
      <c r="A119" t="s">
        <v>176</v>
      </c>
      <c r="B119" t="s">
        <v>177</v>
      </c>
      <c r="C119" t="s">
        <v>23</v>
      </c>
      <c r="D119" t="s">
        <v>24</v>
      </c>
      <c r="E119" s="4">
        <v>700.33</v>
      </c>
      <c r="F119" s="4">
        <v>0</v>
      </c>
      <c r="G119" s="4">
        <v>1704.87</v>
      </c>
      <c r="H119" s="4">
        <v>0</v>
      </c>
      <c r="I119" s="4">
        <v>0</v>
      </c>
      <c r="J119" s="4">
        <v>0</v>
      </c>
      <c r="K119" s="4">
        <v>0</v>
      </c>
      <c r="L119" s="4">
        <v>2423.2199999999998</v>
      </c>
      <c r="M119" s="4">
        <v>216.16000000000003</v>
      </c>
      <c r="N119" s="4">
        <v>0</v>
      </c>
      <c r="O119" s="4">
        <v>85.58</v>
      </c>
      <c r="P119" s="4">
        <v>0</v>
      </c>
      <c r="Q119" s="4">
        <v>0</v>
      </c>
      <c r="R119" s="4">
        <v>358.98</v>
      </c>
      <c r="S119" s="8">
        <f t="shared" si="3"/>
        <v>454.15999999999991</v>
      </c>
      <c r="T119" s="8">
        <f t="shared" si="4"/>
        <v>-95.179999999999893</v>
      </c>
      <c r="U119" s="9">
        <f t="shared" si="5"/>
        <v>-0.20957371851329909</v>
      </c>
    </row>
    <row r="120" spans="1:22" outlineLevel="2">
      <c r="A120" t="s">
        <v>176</v>
      </c>
      <c r="B120" t="s">
        <v>177</v>
      </c>
      <c r="C120" t="s">
        <v>25</v>
      </c>
      <c r="D120" t="s">
        <v>26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988.12999999999988</v>
      </c>
      <c r="N120" s="4">
        <v>0</v>
      </c>
      <c r="O120" s="4">
        <v>0</v>
      </c>
      <c r="P120" s="4">
        <v>0</v>
      </c>
      <c r="Q120" s="4">
        <v>0</v>
      </c>
      <c r="R120" s="4">
        <v>1068.05</v>
      </c>
      <c r="S120" s="8">
        <f t="shared" si="3"/>
        <v>164.6883333333333</v>
      </c>
      <c r="T120" s="8">
        <f t="shared" si="4"/>
        <v>903.36166666666668</v>
      </c>
      <c r="U120" s="9">
        <f t="shared" si="5"/>
        <v>5.4852802768866455</v>
      </c>
    </row>
    <row r="121" spans="1:22" outlineLevel="2">
      <c r="A121" t="s">
        <v>176</v>
      </c>
      <c r="B121" t="s">
        <v>177</v>
      </c>
      <c r="C121" t="s">
        <v>27</v>
      </c>
      <c r="D121" t="s">
        <v>28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887.13</v>
      </c>
      <c r="N121" s="4">
        <v>0</v>
      </c>
      <c r="O121" s="4">
        <v>0</v>
      </c>
      <c r="P121" s="4">
        <v>0</v>
      </c>
      <c r="Q121" s="4">
        <v>1107.4000000000001</v>
      </c>
      <c r="R121" s="4">
        <v>3267.19</v>
      </c>
      <c r="S121" s="8">
        <f t="shared" si="3"/>
        <v>332.42166666666668</v>
      </c>
      <c r="T121" s="8">
        <f t="shared" si="4"/>
        <v>2934.7683333333334</v>
      </c>
      <c r="U121" s="9">
        <f t="shared" si="5"/>
        <v>8.8284508129734824</v>
      </c>
    </row>
    <row r="122" spans="1:22" outlineLevel="2">
      <c r="A122" t="s">
        <v>176</v>
      </c>
      <c r="B122" t="s">
        <v>177</v>
      </c>
      <c r="C122" t="s">
        <v>136</v>
      </c>
      <c r="D122" t="s">
        <v>137</v>
      </c>
      <c r="E122" s="4">
        <v>53180.03</v>
      </c>
      <c r="F122" s="4">
        <v>53482.780000000006</v>
      </c>
      <c r="G122" s="4">
        <v>43837.8</v>
      </c>
      <c r="H122" s="4">
        <v>43679.350000000006</v>
      </c>
      <c r="I122" s="4">
        <v>45135.34</v>
      </c>
      <c r="J122" s="4">
        <v>57621.67</v>
      </c>
      <c r="K122" s="4">
        <v>81144.94</v>
      </c>
      <c r="L122" s="4">
        <v>61110.41</v>
      </c>
      <c r="M122" s="4">
        <v>59139.060000000012</v>
      </c>
      <c r="N122" s="4">
        <v>61110.39</v>
      </c>
      <c r="O122" s="4">
        <v>62854.31</v>
      </c>
      <c r="P122" s="4">
        <v>83535.070000000007</v>
      </c>
      <c r="Q122" s="4">
        <v>311374.93000000005</v>
      </c>
      <c r="R122" s="4">
        <v>-93885.09</v>
      </c>
      <c r="S122" s="8">
        <f t="shared" si="3"/>
        <v>106520.69500000001</v>
      </c>
      <c r="T122" s="8">
        <f t="shared" si="4"/>
        <v>-200405.785</v>
      </c>
      <c r="U122" s="9">
        <f t="shared" si="5"/>
        <v>-1.8813788719647389</v>
      </c>
      <c r="V122" t="s">
        <v>897</v>
      </c>
    </row>
    <row r="123" spans="1:22" outlineLevel="2">
      <c r="A123" t="s">
        <v>176</v>
      </c>
      <c r="B123" t="s">
        <v>177</v>
      </c>
      <c r="C123" t="s">
        <v>142</v>
      </c>
      <c r="D123" t="s">
        <v>143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25000</v>
      </c>
      <c r="R123" s="4">
        <v>-25000</v>
      </c>
      <c r="S123" s="8">
        <f t="shared" si="3"/>
        <v>4166.666666666667</v>
      </c>
      <c r="T123" s="8">
        <f t="shared" si="4"/>
        <v>-29166.666666666668</v>
      </c>
      <c r="U123" s="9">
        <f t="shared" si="5"/>
        <v>-7</v>
      </c>
      <c r="V123" t="s">
        <v>897</v>
      </c>
    </row>
    <row r="124" spans="1:22" outlineLevel="2">
      <c r="A124" t="s">
        <v>176</v>
      </c>
      <c r="B124" t="s">
        <v>177</v>
      </c>
      <c r="C124" t="s">
        <v>144</v>
      </c>
      <c r="D124" t="s">
        <v>145</v>
      </c>
      <c r="E124" s="4">
        <v>10877.67</v>
      </c>
      <c r="F124" s="4">
        <v>3111.3799999999992</v>
      </c>
      <c r="G124" s="4">
        <v>11007.34</v>
      </c>
      <c r="H124" s="4">
        <v>7622.7799999999988</v>
      </c>
      <c r="I124" s="4">
        <v>11805.12</v>
      </c>
      <c r="J124" s="4">
        <v>3262.4900000000002</v>
      </c>
      <c r="K124" s="4">
        <v>9633.43</v>
      </c>
      <c r="L124" s="4">
        <v>9968.369999999999</v>
      </c>
      <c r="M124" s="4">
        <v>10690.179999999998</v>
      </c>
      <c r="N124" s="4">
        <v>8680.76</v>
      </c>
      <c r="O124" s="4">
        <v>7187.04</v>
      </c>
      <c r="P124" s="4">
        <v>7973.4800000000014</v>
      </c>
      <c r="Q124" s="4">
        <v>17231.579999999998</v>
      </c>
      <c r="R124" s="4">
        <v>-16557.580000000002</v>
      </c>
      <c r="S124" s="8">
        <f t="shared" si="3"/>
        <v>10288.568333333335</v>
      </c>
      <c r="T124" s="8">
        <f t="shared" si="4"/>
        <v>-26846.148333333338</v>
      </c>
      <c r="U124" s="9">
        <f t="shared" si="5"/>
        <v>-2.609318173681761</v>
      </c>
      <c r="V124" t="s">
        <v>897</v>
      </c>
    </row>
    <row r="125" spans="1:22" outlineLevel="2">
      <c r="A125" t="s">
        <v>176</v>
      </c>
      <c r="B125" t="s">
        <v>177</v>
      </c>
      <c r="C125" t="s">
        <v>146</v>
      </c>
      <c r="D125" t="s">
        <v>147</v>
      </c>
      <c r="E125" s="4">
        <v>5165.41</v>
      </c>
      <c r="F125" s="4">
        <v>5395.44</v>
      </c>
      <c r="G125" s="4">
        <v>3076.7</v>
      </c>
      <c r="H125" s="4">
        <v>2175.6000000000004</v>
      </c>
      <c r="I125" s="4">
        <v>2248.12</v>
      </c>
      <c r="J125" s="4">
        <v>2175.6</v>
      </c>
      <c r="K125" s="4">
        <v>4098.45</v>
      </c>
      <c r="L125" s="4">
        <v>3069.9300000000003</v>
      </c>
      <c r="M125" s="4">
        <v>27154.329999999994</v>
      </c>
      <c r="N125" s="4">
        <v>3069.94</v>
      </c>
      <c r="O125" s="4">
        <v>3342.4100000000003</v>
      </c>
      <c r="P125" s="4">
        <v>7223.3200000000006</v>
      </c>
      <c r="Q125" s="4">
        <v>31342.89</v>
      </c>
      <c r="R125" s="4">
        <v>-12530.739999999998</v>
      </c>
      <c r="S125" s="8">
        <f t="shared" si="3"/>
        <v>12533.803333333335</v>
      </c>
      <c r="T125" s="8">
        <f t="shared" si="4"/>
        <v>-25064.543333333335</v>
      </c>
      <c r="U125" s="9">
        <f t="shared" si="5"/>
        <v>-1.9997555942715977</v>
      </c>
    </row>
    <row r="126" spans="1:22" outlineLevel="2">
      <c r="A126" t="s">
        <v>176</v>
      </c>
      <c r="B126" t="s">
        <v>177</v>
      </c>
      <c r="C126" t="s">
        <v>150</v>
      </c>
      <c r="D126" t="s">
        <v>151</v>
      </c>
      <c r="E126" s="4">
        <v>0</v>
      </c>
      <c r="F126" s="4">
        <v>15764</v>
      </c>
      <c r="G126" s="4">
        <v>3152.8000000000029</v>
      </c>
      <c r="H126" s="4">
        <v>-3913.74</v>
      </c>
      <c r="I126" s="4">
        <v>20062.599999999999</v>
      </c>
      <c r="J126" s="4">
        <v>4350.8900000000003</v>
      </c>
      <c r="K126" s="4">
        <v>6261.78</v>
      </c>
      <c r="L126" s="4">
        <v>6261.78</v>
      </c>
      <c r="M126" s="4">
        <v>6261.78</v>
      </c>
      <c r="N126" s="4">
        <v>4980.26</v>
      </c>
      <c r="O126" s="4">
        <v>4980.26</v>
      </c>
      <c r="P126" s="4">
        <v>4980.26</v>
      </c>
      <c r="Q126" s="4">
        <v>14909.1</v>
      </c>
      <c r="R126" s="4">
        <v>45673.08</v>
      </c>
      <c r="S126" s="8">
        <f t="shared" si="3"/>
        <v>7062.2400000000007</v>
      </c>
      <c r="T126" s="8">
        <f t="shared" si="4"/>
        <v>38610.840000000004</v>
      </c>
      <c r="U126" s="9">
        <f t="shared" si="5"/>
        <v>5.4672228641337597</v>
      </c>
      <c r="V126" t="s">
        <v>896</v>
      </c>
    </row>
    <row r="127" spans="1:22" outlineLevel="2">
      <c r="A127" t="s">
        <v>176</v>
      </c>
      <c r="B127" t="s">
        <v>177</v>
      </c>
      <c r="C127" t="s">
        <v>152</v>
      </c>
      <c r="D127" t="s">
        <v>153</v>
      </c>
      <c r="E127" s="4">
        <v>3898.4300000000003</v>
      </c>
      <c r="F127" s="4">
        <v>4086.8999999999996</v>
      </c>
      <c r="G127" s="4">
        <v>10977.580000000002</v>
      </c>
      <c r="H127" s="4">
        <v>3218.26</v>
      </c>
      <c r="I127" s="4">
        <v>2207.2199999999998</v>
      </c>
      <c r="J127" s="4">
        <v>5512.5099999999993</v>
      </c>
      <c r="K127" s="4">
        <v>5141.2800000000007</v>
      </c>
      <c r="L127" s="4">
        <v>3250.8199999999997</v>
      </c>
      <c r="M127" s="4">
        <v>3145.93</v>
      </c>
      <c r="N127" s="4">
        <v>3250.83</v>
      </c>
      <c r="O127" s="4">
        <v>2959.04</v>
      </c>
      <c r="P127" s="4">
        <v>5710.93</v>
      </c>
      <c r="Q127" s="4">
        <v>26052.47</v>
      </c>
      <c r="R127" s="4">
        <v>35328.15</v>
      </c>
      <c r="S127" s="8">
        <f t="shared" si="3"/>
        <v>7395.003333333334</v>
      </c>
      <c r="T127" s="8">
        <f t="shared" si="4"/>
        <v>27933.146666666667</v>
      </c>
      <c r="U127" s="9">
        <f t="shared" si="5"/>
        <v>3.7773000778453558</v>
      </c>
      <c r="V127" t="s">
        <v>896</v>
      </c>
    </row>
    <row r="128" spans="1:22" outlineLevel="2">
      <c r="A128" t="s">
        <v>176</v>
      </c>
      <c r="B128" t="s">
        <v>177</v>
      </c>
      <c r="C128" t="s">
        <v>154</v>
      </c>
      <c r="D128" t="s">
        <v>155</v>
      </c>
      <c r="E128" s="4">
        <v>364</v>
      </c>
      <c r="F128" s="4">
        <v>0</v>
      </c>
      <c r="G128" s="4">
        <v>0</v>
      </c>
      <c r="H128" s="4">
        <v>0</v>
      </c>
      <c r="I128" s="4">
        <v>0</v>
      </c>
      <c r="J128" s="4">
        <v>87.12</v>
      </c>
      <c r="K128" s="4">
        <v>3.88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4071.9799999999996</v>
      </c>
      <c r="R128" s="4">
        <v>-3854.16</v>
      </c>
      <c r="S128" s="8">
        <f t="shared" si="3"/>
        <v>678.6633333333333</v>
      </c>
      <c r="T128" s="8">
        <f t="shared" si="4"/>
        <v>-4532.8233333333328</v>
      </c>
      <c r="U128" s="9">
        <f t="shared" si="5"/>
        <v>-6.6790455748800337</v>
      </c>
    </row>
    <row r="129" spans="1:22" outlineLevel="2">
      <c r="A129" t="s">
        <v>176</v>
      </c>
      <c r="B129" t="s">
        <v>177</v>
      </c>
      <c r="C129" t="s">
        <v>158</v>
      </c>
      <c r="D129" t="s">
        <v>159</v>
      </c>
      <c r="E129" s="4">
        <v>5333.33</v>
      </c>
      <c r="F129" s="4">
        <v>5333</v>
      </c>
      <c r="G129" s="4">
        <v>10101.85</v>
      </c>
      <c r="H129" s="4">
        <v>5333</v>
      </c>
      <c r="I129" s="4">
        <v>5333</v>
      </c>
      <c r="J129" s="4">
        <v>14850.98</v>
      </c>
      <c r="K129" s="4">
        <v>5333</v>
      </c>
      <c r="L129" s="4">
        <v>5333</v>
      </c>
      <c r="M129" s="4">
        <v>13544.66</v>
      </c>
      <c r="N129" s="4">
        <v>5333</v>
      </c>
      <c r="O129" s="4">
        <v>5333</v>
      </c>
      <c r="P129" s="4">
        <v>11959.740000000002</v>
      </c>
      <c r="Q129" s="4">
        <v>8666.67</v>
      </c>
      <c r="R129" s="4">
        <v>-8666.67</v>
      </c>
      <c r="S129" s="8">
        <f t="shared" si="3"/>
        <v>8361.6783333333333</v>
      </c>
      <c r="T129" s="8">
        <f t="shared" si="4"/>
        <v>-17028.348333333335</v>
      </c>
      <c r="U129" s="9">
        <f t="shared" si="5"/>
        <v>-2.0364749341589521</v>
      </c>
    </row>
    <row r="130" spans="1:22" outlineLevel="2">
      <c r="A130" t="s">
        <v>176</v>
      </c>
      <c r="B130" t="s">
        <v>177</v>
      </c>
      <c r="C130" t="s">
        <v>160</v>
      </c>
      <c r="D130" t="s">
        <v>161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309.98</v>
      </c>
      <c r="N130" s="4">
        <v>0</v>
      </c>
      <c r="O130" s="4">
        <v>0</v>
      </c>
      <c r="P130" s="4">
        <v>376.98</v>
      </c>
      <c r="Q130" s="4">
        <v>0</v>
      </c>
      <c r="S130" s="8">
        <f t="shared" si="3"/>
        <v>114.49333333333334</v>
      </c>
      <c r="T130" s="8">
        <f t="shared" si="4"/>
        <v>-114.49333333333334</v>
      </c>
      <c r="U130" s="9">
        <f t="shared" si="5"/>
        <v>-1</v>
      </c>
    </row>
    <row r="131" spans="1:22" outlineLevel="2">
      <c r="A131" t="s">
        <v>176</v>
      </c>
      <c r="B131" t="s">
        <v>177</v>
      </c>
      <c r="C131" t="s">
        <v>47</v>
      </c>
      <c r="D131" t="s">
        <v>48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895.98</v>
      </c>
      <c r="S131" s="8">
        <f t="shared" ref="S131:S194" si="6">AVERAGE(L131:Q131)</f>
        <v>0</v>
      </c>
      <c r="T131" s="8">
        <f t="shared" ref="T131:T194" si="7">R131-S131</f>
        <v>895.98</v>
      </c>
      <c r="U131" s="9" t="e">
        <f t="shared" ref="U131:U194" si="8">(R131-S131)/S131</f>
        <v>#DIV/0!</v>
      </c>
      <c r="V131" t="s">
        <v>895</v>
      </c>
    </row>
    <row r="132" spans="1:22" outlineLevel="2">
      <c r="A132" t="s">
        <v>176</v>
      </c>
      <c r="B132" t="s">
        <v>177</v>
      </c>
      <c r="C132" t="s">
        <v>164</v>
      </c>
      <c r="D132" t="s">
        <v>165</v>
      </c>
      <c r="E132" s="4">
        <v>210</v>
      </c>
      <c r="F132" s="4">
        <v>140</v>
      </c>
      <c r="G132" s="4">
        <v>70</v>
      </c>
      <c r="H132" s="4">
        <v>70</v>
      </c>
      <c r="I132" s="4">
        <v>70</v>
      </c>
      <c r="J132" s="4">
        <v>70</v>
      </c>
      <c r="K132" s="4">
        <v>70</v>
      </c>
      <c r="L132" s="4">
        <v>105</v>
      </c>
      <c r="M132" s="4">
        <v>70</v>
      </c>
      <c r="N132" s="4">
        <v>70</v>
      </c>
      <c r="O132" s="4">
        <v>70</v>
      </c>
      <c r="P132" s="4">
        <v>70</v>
      </c>
      <c r="Q132" s="4">
        <v>875</v>
      </c>
      <c r="R132" s="4">
        <v>-105</v>
      </c>
      <c r="S132" s="8">
        <f t="shared" si="6"/>
        <v>210</v>
      </c>
      <c r="T132" s="8">
        <f t="shared" si="7"/>
        <v>-315</v>
      </c>
      <c r="U132" s="9">
        <f t="shared" si="8"/>
        <v>-1.5</v>
      </c>
    </row>
    <row r="133" spans="1:22" outlineLevel="2">
      <c r="A133" t="s">
        <v>176</v>
      </c>
      <c r="B133" t="s">
        <v>177</v>
      </c>
      <c r="C133" t="s">
        <v>59</v>
      </c>
      <c r="D133" t="s">
        <v>60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46.6</v>
      </c>
      <c r="S133" s="8">
        <f t="shared" si="6"/>
        <v>0</v>
      </c>
      <c r="T133" s="8">
        <f t="shared" si="7"/>
        <v>46.6</v>
      </c>
      <c r="U133" s="9" t="e">
        <f t="shared" si="8"/>
        <v>#DIV/0!</v>
      </c>
      <c r="V133" t="s">
        <v>895</v>
      </c>
    </row>
    <row r="134" spans="1:22" outlineLevel="2">
      <c r="A134" t="s">
        <v>176</v>
      </c>
      <c r="B134" t="s">
        <v>177</v>
      </c>
      <c r="C134" t="s">
        <v>170</v>
      </c>
      <c r="D134" t="s">
        <v>171</v>
      </c>
      <c r="E134" s="4">
        <v>270</v>
      </c>
      <c r="F134" s="4">
        <v>180</v>
      </c>
      <c r="G134" s="4">
        <v>180</v>
      </c>
      <c r="H134" s="4">
        <v>180</v>
      </c>
      <c r="I134" s="4">
        <v>180</v>
      </c>
      <c r="J134" s="4">
        <v>180</v>
      </c>
      <c r="K134" s="4">
        <v>180</v>
      </c>
      <c r="L134" s="4">
        <v>270</v>
      </c>
      <c r="M134" s="4">
        <v>180</v>
      </c>
      <c r="N134" s="4">
        <v>180</v>
      </c>
      <c r="O134" s="4">
        <v>180</v>
      </c>
      <c r="P134" s="4">
        <v>180</v>
      </c>
      <c r="Q134" s="4">
        <v>180</v>
      </c>
      <c r="R134" s="4">
        <v>-180</v>
      </c>
      <c r="S134" s="8">
        <f t="shared" si="6"/>
        <v>195</v>
      </c>
      <c r="T134" s="8">
        <f t="shared" si="7"/>
        <v>-375</v>
      </c>
      <c r="U134" s="9">
        <f t="shared" si="8"/>
        <v>-1.9230769230769231</v>
      </c>
    </row>
    <row r="135" spans="1:22" outlineLevel="2">
      <c r="A135" t="s">
        <v>176</v>
      </c>
      <c r="B135" t="s">
        <v>177</v>
      </c>
      <c r="C135" t="s">
        <v>127</v>
      </c>
      <c r="D135" t="s">
        <v>120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3366.59</v>
      </c>
      <c r="S135" s="8">
        <f t="shared" si="6"/>
        <v>0</v>
      </c>
      <c r="T135" s="8">
        <f t="shared" si="7"/>
        <v>3366.59</v>
      </c>
      <c r="U135" s="9" t="e">
        <f t="shared" si="8"/>
        <v>#DIV/0!</v>
      </c>
      <c r="V135" t="s">
        <v>895</v>
      </c>
    </row>
    <row r="136" spans="1:22" outlineLevel="1">
      <c r="A136" s="1" t="s">
        <v>687</v>
      </c>
      <c r="E136" s="4">
        <f>SUBTOTAL(9,E118:E135)</f>
        <v>79999.199999999997</v>
      </c>
      <c r="F136" s="4">
        <f>SUBTOTAL(9,F118:F135)</f>
        <v>87493.5</v>
      </c>
      <c r="G136" s="4">
        <f>SUBTOTAL(9,G118:G135)</f>
        <v>84460.260000000009</v>
      </c>
      <c r="H136" s="4">
        <f>SUBTOTAL(9,H118:H135)</f>
        <v>58365.250000000007</v>
      </c>
      <c r="I136" s="4">
        <f>SUBTOTAL(9,I118:I135)</f>
        <v>87202.68</v>
      </c>
      <c r="J136" s="4">
        <f>SUBTOTAL(9,J118:J135)</f>
        <v>88111.25999999998</v>
      </c>
      <c r="K136" s="4">
        <f>SUBTOTAL(9,K118:K135)</f>
        <v>111866.76</v>
      </c>
      <c r="L136" s="4">
        <f>SUBTOTAL(9,L118:L135)</f>
        <v>91952.94</v>
      </c>
      <c r="M136" s="4">
        <f>SUBTOTAL(9,M118:M135)</f>
        <v>122731.18000000001</v>
      </c>
      <c r="N136" s="4">
        <f>SUBTOTAL(9,N118:N135)</f>
        <v>86675.18</v>
      </c>
      <c r="O136" s="4">
        <f>SUBTOTAL(9,O118:O135)</f>
        <v>87161.729999999981</v>
      </c>
      <c r="P136" s="4">
        <f>SUBTOTAL(9,P118:P135)</f>
        <v>122009.78</v>
      </c>
      <c r="Q136" s="4">
        <f>SUBTOTAL(9,Q118:Q135)</f>
        <v>441070.34</v>
      </c>
      <c r="R136" s="4">
        <f>SUBTOTAL(9,R118:R135)</f>
        <v>-70642.5</v>
      </c>
      <c r="S136" s="8">
        <f t="shared" si="6"/>
        <v>158600.19166666665</v>
      </c>
      <c r="T136" s="8">
        <f t="shared" si="7"/>
        <v>-229242.69166666665</v>
      </c>
      <c r="U136" s="9">
        <f t="shared" si="8"/>
        <v>-1.4454124503737726</v>
      </c>
      <c r="V136" t="s">
        <v>897</v>
      </c>
    </row>
    <row r="137" spans="1:22" outlineLevel="2">
      <c r="A137" t="s">
        <v>178</v>
      </c>
      <c r="B137" t="s">
        <v>179</v>
      </c>
      <c r="C137" t="s">
        <v>19</v>
      </c>
      <c r="D137" t="s">
        <v>20</v>
      </c>
      <c r="E137" s="4">
        <v>110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S137" s="8">
        <f t="shared" si="6"/>
        <v>0</v>
      </c>
      <c r="T137" s="8">
        <f t="shared" si="7"/>
        <v>0</v>
      </c>
      <c r="U137" s="9" t="e">
        <f t="shared" si="8"/>
        <v>#DIV/0!</v>
      </c>
    </row>
    <row r="138" spans="1:22" outlineLevel="2">
      <c r="A138" t="s">
        <v>178</v>
      </c>
      <c r="B138" t="s">
        <v>179</v>
      </c>
      <c r="C138" t="s">
        <v>21</v>
      </c>
      <c r="D138" t="s">
        <v>22</v>
      </c>
      <c r="E138" s="4">
        <v>6127.79</v>
      </c>
      <c r="F138" s="4">
        <v>5333.7300000000014</v>
      </c>
      <c r="G138" s="4">
        <v>4787.0000000000009</v>
      </c>
      <c r="H138" s="4">
        <v>8120.76</v>
      </c>
      <c r="I138" s="4">
        <v>3859.1499999999992</v>
      </c>
      <c r="J138" s="4">
        <v>1463.9900000000002</v>
      </c>
      <c r="K138" s="4">
        <v>7004.0199999999995</v>
      </c>
      <c r="L138" s="4">
        <v>2829.6800000000003</v>
      </c>
      <c r="M138" s="4">
        <v>2428.1</v>
      </c>
      <c r="N138" s="4">
        <v>2347.75</v>
      </c>
      <c r="O138" s="4">
        <v>5159.3599999999997</v>
      </c>
      <c r="P138" s="4">
        <v>11716.849999999999</v>
      </c>
      <c r="Q138" s="4">
        <v>9034.2400000000016</v>
      </c>
      <c r="R138" s="4">
        <v>1184.98</v>
      </c>
      <c r="S138" s="8">
        <f t="shared" si="6"/>
        <v>5585.996666666666</v>
      </c>
      <c r="T138" s="8">
        <f t="shared" si="7"/>
        <v>-4401.0166666666664</v>
      </c>
      <c r="U138" s="9">
        <f t="shared" si="8"/>
        <v>-0.78786596721921909</v>
      </c>
    </row>
    <row r="139" spans="1:22" outlineLevel="2">
      <c r="A139" t="s">
        <v>178</v>
      </c>
      <c r="B139" t="s">
        <v>179</v>
      </c>
      <c r="C139" t="s">
        <v>23</v>
      </c>
      <c r="D139" t="s">
        <v>24</v>
      </c>
      <c r="E139" s="4">
        <v>15572.8</v>
      </c>
      <c r="F139" s="4">
        <v>8615.9999999999982</v>
      </c>
      <c r="G139" s="4">
        <v>13266.219999999998</v>
      </c>
      <c r="H139" s="4">
        <v>17899.160000000003</v>
      </c>
      <c r="I139" s="4">
        <v>-57538.73</v>
      </c>
      <c r="J139" s="4">
        <v>6478.0200000000013</v>
      </c>
      <c r="K139" s="4">
        <v>49256.870000000032</v>
      </c>
      <c r="L139" s="4">
        <v>11816.099999999997</v>
      </c>
      <c r="M139" s="4">
        <v>3223.0099999999998</v>
      </c>
      <c r="N139" s="4">
        <v>2065.5700000000002</v>
      </c>
      <c r="O139" s="4">
        <v>2645.2599999999993</v>
      </c>
      <c r="P139" s="4">
        <v>1515.4599999999998</v>
      </c>
      <c r="Q139" s="4">
        <v>744.22</v>
      </c>
      <c r="R139" s="4">
        <v>604.02</v>
      </c>
      <c r="S139" s="8">
        <f t="shared" si="6"/>
        <v>3668.2699999999991</v>
      </c>
      <c r="T139" s="8">
        <f t="shared" si="7"/>
        <v>-3064.2499999999991</v>
      </c>
      <c r="U139" s="9">
        <f t="shared" si="8"/>
        <v>-0.83533927437184285</v>
      </c>
    </row>
    <row r="140" spans="1:22" outlineLevel="2">
      <c r="A140" t="s">
        <v>178</v>
      </c>
      <c r="B140" t="s">
        <v>179</v>
      </c>
      <c r="C140" t="s">
        <v>25</v>
      </c>
      <c r="D140" t="s">
        <v>26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4213.130000000001</v>
      </c>
      <c r="N140" s="4">
        <v>3346.5800000000013</v>
      </c>
      <c r="O140" s="4">
        <v>7464.9799999999977</v>
      </c>
      <c r="P140" s="4">
        <v>3186.99</v>
      </c>
      <c r="Q140" s="4">
        <v>1526.5400000000004</v>
      </c>
      <c r="R140" s="4">
        <v>1397.95</v>
      </c>
      <c r="S140" s="8">
        <f t="shared" si="6"/>
        <v>3289.7033333333334</v>
      </c>
      <c r="T140" s="8">
        <f t="shared" si="7"/>
        <v>-1891.7533333333333</v>
      </c>
      <c r="U140" s="9">
        <f t="shared" si="8"/>
        <v>-0.5750528669758469</v>
      </c>
    </row>
    <row r="141" spans="1:22" outlineLevel="2">
      <c r="A141" t="s">
        <v>178</v>
      </c>
      <c r="B141" t="s">
        <v>179</v>
      </c>
      <c r="C141" t="s">
        <v>27</v>
      </c>
      <c r="D141" t="s">
        <v>28</v>
      </c>
      <c r="E141" s="4">
        <v>366.29999999999995</v>
      </c>
      <c r="F141" s="4">
        <v>631.34</v>
      </c>
      <c r="G141" s="4">
        <v>2.8421709430404007E-14</v>
      </c>
      <c r="H141" s="4">
        <v>0</v>
      </c>
      <c r="I141" s="4">
        <v>0</v>
      </c>
      <c r="J141" s="4">
        <v>0</v>
      </c>
      <c r="K141" s="4">
        <v>0</v>
      </c>
      <c r="L141" s="4">
        <v>542.42999999999995</v>
      </c>
      <c r="M141" s="4">
        <v>4140.9400000000005</v>
      </c>
      <c r="N141" s="4">
        <v>5550.8099999999995</v>
      </c>
      <c r="O141" s="4">
        <v>9143.9800000000014</v>
      </c>
      <c r="P141" s="4">
        <v>8321.73</v>
      </c>
      <c r="Q141" s="4">
        <v>1586.2099999999998</v>
      </c>
      <c r="R141" s="4">
        <v>1881.6399999999999</v>
      </c>
      <c r="S141" s="8">
        <f t="shared" si="6"/>
        <v>4881.0166666666673</v>
      </c>
      <c r="T141" s="8">
        <f t="shared" si="7"/>
        <v>-2999.3766666666675</v>
      </c>
      <c r="U141" s="9">
        <f t="shared" si="8"/>
        <v>-0.61449834563154537</v>
      </c>
    </row>
    <row r="142" spans="1:22" outlineLevel="2">
      <c r="A142" t="s">
        <v>178</v>
      </c>
      <c r="B142" t="s">
        <v>179</v>
      </c>
      <c r="C142" t="s">
        <v>136</v>
      </c>
      <c r="D142" t="s">
        <v>137</v>
      </c>
      <c r="E142" s="4">
        <v>405163.54000000004</v>
      </c>
      <c r="F142" s="4">
        <v>314400.27</v>
      </c>
      <c r="G142" s="4">
        <v>353281.4</v>
      </c>
      <c r="H142" s="4">
        <v>343308.09</v>
      </c>
      <c r="I142" s="4">
        <v>359755.26000000007</v>
      </c>
      <c r="J142" s="4">
        <v>356198.13</v>
      </c>
      <c r="K142" s="4">
        <v>335306.01</v>
      </c>
      <c r="L142" s="4">
        <v>403492.89</v>
      </c>
      <c r="M142" s="4">
        <v>352794.16000000003</v>
      </c>
      <c r="N142" s="4">
        <v>359899.73000000004</v>
      </c>
      <c r="O142" s="4">
        <v>336116.99</v>
      </c>
      <c r="P142" s="4">
        <v>269021.70999999996</v>
      </c>
      <c r="Q142" s="4">
        <v>223112.55000000002</v>
      </c>
      <c r="R142" s="4">
        <v>217549.98</v>
      </c>
      <c r="S142" s="8">
        <f t="shared" si="6"/>
        <v>324073.005</v>
      </c>
      <c r="T142" s="8">
        <f t="shared" si="7"/>
        <v>-106523.02499999999</v>
      </c>
      <c r="U142" s="9">
        <f t="shared" si="8"/>
        <v>-0.32870070433666632</v>
      </c>
      <c r="V142" t="s">
        <v>896</v>
      </c>
    </row>
    <row r="143" spans="1:22" outlineLevel="2">
      <c r="A143" t="s">
        <v>178</v>
      </c>
      <c r="B143" t="s">
        <v>179</v>
      </c>
      <c r="C143" t="s">
        <v>142</v>
      </c>
      <c r="D143" t="s">
        <v>143</v>
      </c>
      <c r="E143" s="4">
        <v>0</v>
      </c>
      <c r="F143" s="4">
        <v>3000</v>
      </c>
      <c r="G143" s="4">
        <v>0</v>
      </c>
      <c r="H143" s="4">
        <v>0</v>
      </c>
      <c r="I143" s="4">
        <v>0</v>
      </c>
      <c r="J143" s="4">
        <v>0</v>
      </c>
      <c r="K143" s="4">
        <v>50000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S143" s="8">
        <f t="shared" si="6"/>
        <v>0</v>
      </c>
      <c r="T143" s="8">
        <f t="shared" si="7"/>
        <v>0</v>
      </c>
      <c r="U143" s="9" t="e">
        <f t="shared" si="8"/>
        <v>#DIV/0!</v>
      </c>
    </row>
    <row r="144" spans="1:22" outlineLevel="2">
      <c r="A144" t="s">
        <v>178</v>
      </c>
      <c r="B144" t="s">
        <v>179</v>
      </c>
      <c r="C144" t="s">
        <v>144</v>
      </c>
      <c r="D144" t="s">
        <v>145</v>
      </c>
      <c r="E144" s="4">
        <v>78042.39</v>
      </c>
      <c r="F144" s="4">
        <v>22083.629999999997</v>
      </c>
      <c r="G144" s="4">
        <v>78695.489999999991</v>
      </c>
      <c r="H144" s="4">
        <v>53119.709999999992</v>
      </c>
      <c r="I144" s="4">
        <v>88050.36</v>
      </c>
      <c r="J144" s="4">
        <v>20370.650000000001</v>
      </c>
      <c r="K144" s="4">
        <v>72657.119999999995</v>
      </c>
      <c r="L144" s="4">
        <v>69722.570000000007</v>
      </c>
      <c r="M144" s="4">
        <v>77196.039999999994</v>
      </c>
      <c r="N144" s="4">
        <v>62072.17</v>
      </c>
      <c r="O144" s="4">
        <v>52820.59</v>
      </c>
      <c r="P144" s="4">
        <v>51617.33</v>
      </c>
      <c r="Q144" s="4">
        <v>51982.189999999995</v>
      </c>
      <c r="R144" s="4">
        <v>8287.0499999999956</v>
      </c>
      <c r="S144" s="8">
        <f t="shared" si="6"/>
        <v>60901.814999999995</v>
      </c>
      <c r="T144" s="8">
        <f t="shared" si="7"/>
        <v>-52614.764999999999</v>
      </c>
      <c r="U144" s="9">
        <f t="shared" si="8"/>
        <v>-0.86392770067690106</v>
      </c>
    </row>
    <row r="145" spans="1:22" outlineLevel="2">
      <c r="A145" t="s">
        <v>178</v>
      </c>
      <c r="B145" t="s">
        <v>179</v>
      </c>
      <c r="C145" t="s">
        <v>146</v>
      </c>
      <c r="D145" t="s">
        <v>147</v>
      </c>
      <c r="E145" s="4">
        <v>31277.769999999997</v>
      </c>
      <c r="F145" s="4">
        <v>26507.089999999997</v>
      </c>
      <c r="G145" s="4">
        <v>131042.97</v>
      </c>
      <c r="H145" s="4">
        <v>22435.480000000003</v>
      </c>
      <c r="I145" s="4">
        <v>20644.059999999998</v>
      </c>
      <c r="J145" s="4">
        <v>18920.419999999998</v>
      </c>
      <c r="K145" s="4">
        <v>27203.21</v>
      </c>
      <c r="L145" s="4">
        <v>25627.18</v>
      </c>
      <c r="M145" s="4">
        <v>88469.41</v>
      </c>
      <c r="N145" s="4">
        <v>23302.12</v>
      </c>
      <c r="O145" s="4">
        <v>22488.950000000004</v>
      </c>
      <c r="P145" s="4">
        <v>23015.79</v>
      </c>
      <c r="Q145" s="4">
        <v>21033.370000000003</v>
      </c>
      <c r="R145" s="4">
        <v>20315.66</v>
      </c>
      <c r="S145" s="8">
        <f t="shared" si="6"/>
        <v>33989.47</v>
      </c>
      <c r="T145" s="8">
        <f t="shared" si="7"/>
        <v>-13673.810000000001</v>
      </c>
      <c r="U145" s="9">
        <f t="shared" si="8"/>
        <v>-0.40229547562818724</v>
      </c>
    </row>
    <row r="146" spans="1:22" outlineLevel="2">
      <c r="A146" t="s">
        <v>178</v>
      </c>
      <c r="B146" t="s">
        <v>179</v>
      </c>
      <c r="C146" t="s">
        <v>150</v>
      </c>
      <c r="D146" t="s">
        <v>151</v>
      </c>
      <c r="E146" s="4">
        <v>0</v>
      </c>
      <c r="F146" s="4">
        <v>179418</v>
      </c>
      <c r="G146" s="4">
        <v>35883.600000000122</v>
      </c>
      <c r="H146" s="4">
        <v>-6822.54</v>
      </c>
      <c r="I146" s="4">
        <v>205128.47</v>
      </c>
      <c r="J146" s="4">
        <v>60458.93</v>
      </c>
      <c r="K146" s="4">
        <v>49861.009999999995</v>
      </c>
      <c r="L146" s="4">
        <v>47937.74</v>
      </c>
      <c r="M146" s="4">
        <v>47937.74</v>
      </c>
      <c r="N146" s="4">
        <v>54391.13</v>
      </c>
      <c r="O146" s="4">
        <v>54391.13</v>
      </c>
      <c r="P146" s="4">
        <v>54391.13</v>
      </c>
      <c r="Q146" s="4">
        <v>57589.54</v>
      </c>
      <c r="R146" s="4">
        <v>22634.879999999997</v>
      </c>
      <c r="S146" s="8">
        <f t="shared" si="6"/>
        <v>52773.068333333329</v>
      </c>
      <c r="T146" s="8">
        <f t="shared" si="7"/>
        <v>-30138.188333333332</v>
      </c>
      <c r="U146" s="9">
        <f t="shared" si="8"/>
        <v>-0.57109031718546088</v>
      </c>
    </row>
    <row r="147" spans="1:22" outlineLevel="2">
      <c r="A147" t="s">
        <v>178</v>
      </c>
      <c r="B147" t="s">
        <v>179</v>
      </c>
      <c r="C147" t="s">
        <v>152</v>
      </c>
      <c r="D147" t="s">
        <v>153</v>
      </c>
      <c r="E147" s="4">
        <v>30017.589999999997</v>
      </c>
      <c r="F147" s="4">
        <v>23466.44</v>
      </c>
      <c r="G147" s="4">
        <v>94548.249999999985</v>
      </c>
      <c r="H147" s="4">
        <v>15383.48</v>
      </c>
      <c r="I147" s="4">
        <v>16515.16</v>
      </c>
      <c r="J147" s="4">
        <v>28259.35</v>
      </c>
      <c r="K147" s="4">
        <v>20143.37</v>
      </c>
      <c r="L147" s="4">
        <v>18936.709999999995</v>
      </c>
      <c r="M147" s="4">
        <v>21241.160000000003</v>
      </c>
      <c r="N147" s="4">
        <v>13379.890000000001</v>
      </c>
      <c r="O147" s="4">
        <v>13285.470000000001</v>
      </c>
      <c r="P147" s="4">
        <v>12616.620000000003</v>
      </c>
      <c r="Q147" s="4">
        <v>16295.869999999999</v>
      </c>
      <c r="R147" s="4">
        <v>59920.229999999989</v>
      </c>
      <c r="S147" s="8">
        <f t="shared" si="6"/>
        <v>15959.286666666667</v>
      </c>
      <c r="T147" s="8">
        <f t="shared" si="7"/>
        <v>43960.943333333322</v>
      </c>
      <c r="U147" s="9">
        <f t="shared" si="8"/>
        <v>2.7545681866315657</v>
      </c>
      <c r="V147" t="s">
        <v>896</v>
      </c>
    </row>
    <row r="148" spans="1:22" outlineLevel="2">
      <c r="A148" t="s">
        <v>178</v>
      </c>
      <c r="B148" t="s">
        <v>179</v>
      </c>
      <c r="C148" t="s">
        <v>154</v>
      </c>
      <c r="D148" t="s">
        <v>155</v>
      </c>
      <c r="E148" s="4">
        <v>3947.04</v>
      </c>
      <c r="F148" s="4">
        <v>224.11</v>
      </c>
      <c r="G148" s="4">
        <v>0</v>
      </c>
      <c r="H148" s="4">
        <v>0</v>
      </c>
      <c r="I148" s="4">
        <v>30.79</v>
      </c>
      <c r="J148" s="4">
        <v>60.21</v>
      </c>
      <c r="K148" s="4">
        <v>-462</v>
      </c>
      <c r="L148" s="4">
        <v>106.93</v>
      </c>
      <c r="M148" s="4">
        <v>259.96999999999997</v>
      </c>
      <c r="N148" s="4">
        <v>31.949999999999996</v>
      </c>
      <c r="O148" s="4">
        <v>0</v>
      </c>
      <c r="P148" s="4">
        <v>180.35000000000002</v>
      </c>
      <c r="Q148" s="4">
        <v>3336.76</v>
      </c>
      <c r="R148" s="4">
        <v>-214.35999999999999</v>
      </c>
      <c r="S148" s="8">
        <f t="shared" si="6"/>
        <v>652.66</v>
      </c>
      <c r="T148" s="8">
        <f t="shared" si="7"/>
        <v>-867.02</v>
      </c>
      <c r="U148" s="9">
        <f t="shared" si="8"/>
        <v>-1.3284405356540925</v>
      </c>
    </row>
    <row r="149" spans="1:22" outlineLevel="2">
      <c r="A149" t="s">
        <v>178</v>
      </c>
      <c r="B149" t="s">
        <v>179</v>
      </c>
      <c r="C149" t="s">
        <v>33</v>
      </c>
      <c r="D149" t="s">
        <v>34</v>
      </c>
      <c r="E149" s="4">
        <v>0</v>
      </c>
      <c r="F149" s="4">
        <v>0</v>
      </c>
      <c r="G149" s="4">
        <v>0</v>
      </c>
      <c r="H149" s="4">
        <v>475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1395</v>
      </c>
      <c r="O149" s="4">
        <v>0</v>
      </c>
      <c r="P149" s="4">
        <v>0</v>
      </c>
      <c r="Q149" s="4">
        <v>0</v>
      </c>
      <c r="S149" s="8">
        <f t="shared" si="6"/>
        <v>232.5</v>
      </c>
      <c r="T149" s="8">
        <f t="shared" si="7"/>
        <v>-232.5</v>
      </c>
      <c r="U149" s="9">
        <f t="shared" si="8"/>
        <v>-1</v>
      </c>
    </row>
    <row r="150" spans="1:22" outlineLevel="2">
      <c r="A150" t="s">
        <v>178</v>
      </c>
      <c r="B150" t="s">
        <v>179</v>
      </c>
      <c r="C150" t="s">
        <v>180</v>
      </c>
      <c r="D150" t="s">
        <v>181</v>
      </c>
      <c r="E150" s="4">
        <v>0</v>
      </c>
      <c r="F150" s="4">
        <v>0</v>
      </c>
      <c r="G150" s="4">
        <v>0</v>
      </c>
      <c r="H150" s="4">
        <v>0</v>
      </c>
      <c r="I150" s="4">
        <v>318.99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S150" s="8">
        <f t="shared" si="6"/>
        <v>0</v>
      </c>
      <c r="T150" s="8">
        <f t="shared" si="7"/>
        <v>0</v>
      </c>
      <c r="U150" s="9" t="e">
        <f t="shared" si="8"/>
        <v>#DIV/0!</v>
      </c>
    </row>
    <row r="151" spans="1:22" outlineLevel="2">
      <c r="A151" t="s">
        <v>178</v>
      </c>
      <c r="B151" t="s">
        <v>179</v>
      </c>
      <c r="C151" t="s">
        <v>158</v>
      </c>
      <c r="D151" t="s">
        <v>159</v>
      </c>
      <c r="E151" s="4">
        <v>106000</v>
      </c>
      <c r="F151" s="4">
        <v>106000</v>
      </c>
      <c r="G151" s="4">
        <v>71112.890000000014</v>
      </c>
      <c r="H151" s="4">
        <v>107817.38</v>
      </c>
      <c r="I151" s="4">
        <v>106000</v>
      </c>
      <c r="J151" s="4">
        <v>149172.69</v>
      </c>
      <c r="K151" s="4">
        <v>106000</v>
      </c>
      <c r="L151" s="4">
        <v>106000</v>
      </c>
      <c r="M151" s="4">
        <v>181546.88</v>
      </c>
      <c r="N151" s="4">
        <v>106000</v>
      </c>
      <c r="O151" s="4">
        <v>106000</v>
      </c>
      <c r="P151" s="4">
        <v>-533222.38</v>
      </c>
      <c r="Q151" s="4">
        <v>35000</v>
      </c>
      <c r="R151" s="4">
        <v>23266.66</v>
      </c>
      <c r="S151" s="8">
        <f t="shared" si="6"/>
        <v>220.75</v>
      </c>
      <c r="T151" s="8">
        <f t="shared" si="7"/>
        <v>23045.91</v>
      </c>
      <c r="U151" s="9">
        <f t="shared" si="8"/>
        <v>104.39823329558324</v>
      </c>
    </row>
    <row r="152" spans="1:22" outlineLevel="2">
      <c r="A152" t="s">
        <v>178</v>
      </c>
      <c r="B152" t="s">
        <v>179</v>
      </c>
      <c r="C152" t="s">
        <v>160</v>
      </c>
      <c r="D152" t="s">
        <v>161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8950.66</v>
      </c>
      <c r="N152" s="4">
        <v>0</v>
      </c>
      <c r="O152" s="4">
        <v>0</v>
      </c>
      <c r="P152" s="4">
        <v>3820.07</v>
      </c>
      <c r="Q152" s="4">
        <v>0</v>
      </c>
      <c r="S152" s="8">
        <f t="shared" si="6"/>
        <v>2128.4549999999999</v>
      </c>
      <c r="T152" s="8">
        <f t="shared" si="7"/>
        <v>-2128.4549999999999</v>
      </c>
      <c r="U152" s="9">
        <f t="shared" si="8"/>
        <v>-1</v>
      </c>
    </row>
    <row r="153" spans="1:22" outlineLevel="2">
      <c r="A153" t="s">
        <v>178</v>
      </c>
      <c r="B153" t="s">
        <v>179</v>
      </c>
      <c r="C153" t="s">
        <v>43</v>
      </c>
      <c r="D153" t="s">
        <v>44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27.71</v>
      </c>
      <c r="L153" s="4">
        <v>0</v>
      </c>
      <c r="M153" s="4">
        <v>0</v>
      </c>
      <c r="N153" s="4">
        <v>26.650000000000002</v>
      </c>
      <c r="O153" s="4">
        <v>0</v>
      </c>
      <c r="P153" s="4">
        <v>0</v>
      </c>
      <c r="Q153" s="4">
        <v>0</v>
      </c>
      <c r="S153" s="8">
        <f t="shared" si="6"/>
        <v>4.4416666666666673</v>
      </c>
      <c r="T153" s="8">
        <f t="shared" si="7"/>
        <v>-4.4416666666666673</v>
      </c>
      <c r="U153" s="9">
        <f t="shared" si="8"/>
        <v>-1</v>
      </c>
    </row>
    <row r="154" spans="1:22" outlineLevel="2">
      <c r="A154" t="s">
        <v>178</v>
      </c>
      <c r="B154" t="s">
        <v>179</v>
      </c>
      <c r="C154" t="s">
        <v>47</v>
      </c>
      <c r="D154" t="s">
        <v>48</v>
      </c>
      <c r="E154" s="4">
        <v>0</v>
      </c>
      <c r="F154" s="4">
        <v>7.49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S154" s="8">
        <f t="shared" si="6"/>
        <v>0</v>
      </c>
      <c r="T154" s="8">
        <f t="shared" si="7"/>
        <v>0</v>
      </c>
      <c r="U154" s="9" t="e">
        <f t="shared" si="8"/>
        <v>#DIV/0!</v>
      </c>
    </row>
    <row r="155" spans="1:22" outlineLevel="2">
      <c r="A155" t="s">
        <v>178</v>
      </c>
      <c r="B155" t="s">
        <v>179</v>
      </c>
      <c r="C155" t="s">
        <v>49</v>
      </c>
      <c r="D155" t="s">
        <v>50</v>
      </c>
      <c r="E155" s="4">
        <v>0</v>
      </c>
      <c r="F155" s="4">
        <v>60.99</v>
      </c>
      <c r="G155" s="4">
        <v>34.750000000000007</v>
      </c>
      <c r="H155" s="4">
        <v>34.24</v>
      </c>
      <c r="I155" s="4">
        <v>34.24</v>
      </c>
      <c r="J155" s="4">
        <v>34.24</v>
      </c>
      <c r="K155" s="4">
        <v>38.440000000000005</v>
      </c>
      <c r="L155" s="4">
        <v>34.239999999999995</v>
      </c>
      <c r="M155" s="4">
        <v>0</v>
      </c>
      <c r="N155" s="4">
        <v>68.990000000000009</v>
      </c>
      <c r="O155" s="4">
        <v>34.24</v>
      </c>
      <c r="P155" s="4">
        <v>34.75</v>
      </c>
      <c r="Q155" s="4">
        <v>34.24</v>
      </c>
      <c r="R155" s="4">
        <v>38.93</v>
      </c>
      <c r="S155" s="8">
        <f t="shared" si="6"/>
        <v>34.410000000000004</v>
      </c>
      <c r="T155" s="8">
        <f t="shared" si="7"/>
        <v>4.519999999999996</v>
      </c>
      <c r="U155" s="9">
        <f t="shared" si="8"/>
        <v>0.13135716361522801</v>
      </c>
    </row>
    <row r="156" spans="1:22" outlineLevel="2">
      <c r="A156" t="s">
        <v>178</v>
      </c>
      <c r="B156" t="s">
        <v>179</v>
      </c>
      <c r="C156" t="s">
        <v>51</v>
      </c>
      <c r="D156" t="s">
        <v>52</v>
      </c>
      <c r="E156" s="4">
        <v>0</v>
      </c>
      <c r="F156" s="4">
        <v>0</v>
      </c>
      <c r="G156" s="4">
        <v>0</v>
      </c>
      <c r="H156" s="4">
        <v>16898.13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-16131</v>
      </c>
      <c r="P156" s="4">
        <v>0</v>
      </c>
      <c r="Q156" s="4">
        <v>143.25</v>
      </c>
      <c r="S156" s="8">
        <f t="shared" si="6"/>
        <v>-2664.625</v>
      </c>
      <c r="T156" s="8">
        <f t="shared" si="7"/>
        <v>2664.625</v>
      </c>
      <c r="U156" s="9">
        <f t="shared" si="8"/>
        <v>-1</v>
      </c>
    </row>
    <row r="157" spans="1:22" outlineLevel="2">
      <c r="A157" t="s">
        <v>178</v>
      </c>
      <c r="B157" t="s">
        <v>179</v>
      </c>
      <c r="C157" t="s">
        <v>162</v>
      </c>
      <c r="D157" t="s">
        <v>163</v>
      </c>
      <c r="E157" s="4">
        <v>1.1368683772161603E-13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1810.8999999999999</v>
      </c>
      <c r="O157" s="4">
        <v>0</v>
      </c>
      <c r="P157" s="4">
        <v>3621.7999999999997</v>
      </c>
      <c r="Q157" s="4">
        <v>1810.8999999999999</v>
      </c>
      <c r="S157" s="8">
        <f t="shared" si="6"/>
        <v>1207.2666666666667</v>
      </c>
      <c r="T157" s="8">
        <f t="shared" si="7"/>
        <v>-1207.2666666666667</v>
      </c>
      <c r="U157" s="9">
        <f t="shared" si="8"/>
        <v>-1</v>
      </c>
    </row>
    <row r="158" spans="1:22" outlineLevel="2">
      <c r="A158" t="s">
        <v>178</v>
      </c>
      <c r="B158" t="s">
        <v>179</v>
      </c>
      <c r="C158" t="s">
        <v>164</v>
      </c>
      <c r="D158" t="s">
        <v>165</v>
      </c>
      <c r="E158" s="4">
        <v>420</v>
      </c>
      <c r="F158" s="4">
        <v>210</v>
      </c>
      <c r="G158" s="4">
        <v>210</v>
      </c>
      <c r="H158" s="4">
        <v>210</v>
      </c>
      <c r="I158" s="4">
        <v>210</v>
      </c>
      <c r="J158" s="4">
        <v>210</v>
      </c>
      <c r="K158" s="4">
        <v>210</v>
      </c>
      <c r="L158" s="4">
        <v>315</v>
      </c>
      <c r="M158" s="4">
        <v>210</v>
      </c>
      <c r="N158" s="4">
        <v>210</v>
      </c>
      <c r="O158" s="4">
        <v>210</v>
      </c>
      <c r="P158" s="4">
        <v>210</v>
      </c>
      <c r="Q158" s="4">
        <v>595</v>
      </c>
      <c r="R158" s="4">
        <v>560</v>
      </c>
      <c r="S158" s="8">
        <f t="shared" si="6"/>
        <v>291.66666666666669</v>
      </c>
      <c r="T158" s="8">
        <f t="shared" si="7"/>
        <v>268.33333333333331</v>
      </c>
      <c r="U158" s="9">
        <f t="shared" si="8"/>
        <v>0.91999999999999993</v>
      </c>
    </row>
    <row r="159" spans="1:22" outlineLevel="2">
      <c r="A159" t="s">
        <v>178</v>
      </c>
      <c r="B159" t="s">
        <v>179</v>
      </c>
      <c r="C159" t="s">
        <v>53</v>
      </c>
      <c r="D159" t="s">
        <v>54</v>
      </c>
      <c r="E159" s="4">
        <v>0</v>
      </c>
      <c r="F159" s="4">
        <v>0</v>
      </c>
      <c r="G159" s="4">
        <v>114.74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S159" s="8">
        <f t="shared" si="6"/>
        <v>0</v>
      </c>
      <c r="T159" s="8">
        <f t="shared" si="7"/>
        <v>0</v>
      </c>
      <c r="U159" s="9" t="e">
        <f t="shared" si="8"/>
        <v>#DIV/0!</v>
      </c>
    </row>
    <row r="160" spans="1:22" outlineLevel="2">
      <c r="A160" t="s">
        <v>178</v>
      </c>
      <c r="B160" t="s">
        <v>179</v>
      </c>
      <c r="C160" t="s">
        <v>63</v>
      </c>
      <c r="D160" t="s">
        <v>64</v>
      </c>
      <c r="E160" s="4">
        <v>0</v>
      </c>
      <c r="F160" s="4">
        <v>0</v>
      </c>
      <c r="G160" s="4">
        <v>1292.54</v>
      </c>
      <c r="H160" s="4">
        <v>0</v>
      </c>
      <c r="I160" s="4">
        <v>0</v>
      </c>
      <c r="J160" s="4">
        <v>245.81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129.71</v>
      </c>
      <c r="S160" s="8">
        <f t="shared" si="6"/>
        <v>0</v>
      </c>
      <c r="T160" s="8">
        <f t="shared" si="7"/>
        <v>129.71</v>
      </c>
      <c r="U160" s="9" t="e">
        <f t="shared" si="8"/>
        <v>#DIV/0!</v>
      </c>
      <c r="V160" t="s">
        <v>895</v>
      </c>
    </row>
    <row r="161" spans="1:22" outlineLevel="2">
      <c r="A161" t="s">
        <v>178</v>
      </c>
      <c r="B161" t="s">
        <v>179</v>
      </c>
      <c r="C161" t="s">
        <v>83</v>
      </c>
      <c r="D161" t="s">
        <v>84</v>
      </c>
      <c r="E161" s="4">
        <v>0</v>
      </c>
      <c r="F161" s="4">
        <v>0</v>
      </c>
      <c r="G161" s="4">
        <v>31.96</v>
      </c>
      <c r="H161" s="4">
        <v>-36.74</v>
      </c>
      <c r="I161" s="4">
        <v>0</v>
      </c>
      <c r="J161" s="4">
        <v>0</v>
      </c>
      <c r="K161" s="4">
        <v>84.3</v>
      </c>
      <c r="L161" s="4">
        <v>0</v>
      </c>
      <c r="M161" s="4">
        <v>102.28</v>
      </c>
      <c r="N161" s="4">
        <v>37.089999999999996</v>
      </c>
      <c r="O161" s="4">
        <v>0</v>
      </c>
      <c r="P161" s="4">
        <v>95.300000000000011</v>
      </c>
      <c r="Q161" s="4">
        <v>0</v>
      </c>
      <c r="S161" s="8">
        <f t="shared" si="6"/>
        <v>39.111666666666672</v>
      </c>
      <c r="T161" s="8">
        <f t="shared" si="7"/>
        <v>-39.111666666666672</v>
      </c>
      <c r="U161" s="9">
        <f t="shared" si="8"/>
        <v>-1</v>
      </c>
    </row>
    <row r="162" spans="1:22" outlineLevel="2">
      <c r="A162" t="s">
        <v>178</v>
      </c>
      <c r="B162" t="s">
        <v>179</v>
      </c>
      <c r="C162" t="s">
        <v>87</v>
      </c>
      <c r="D162" t="s">
        <v>88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29.57</v>
      </c>
      <c r="K162" s="4">
        <v>0</v>
      </c>
      <c r="L162" s="4">
        <v>0</v>
      </c>
      <c r="M162" s="4">
        <v>0</v>
      </c>
      <c r="N162" s="4">
        <v>742.61</v>
      </c>
      <c r="O162" s="4">
        <v>0</v>
      </c>
      <c r="P162" s="4">
        <v>0</v>
      </c>
      <c r="Q162" s="4">
        <v>0</v>
      </c>
      <c r="S162" s="8">
        <f t="shared" si="6"/>
        <v>123.76833333333333</v>
      </c>
      <c r="T162" s="8">
        <f t="shared" si="7"/>
        <v>-123.76833333333333</v>
      </c>
      <c r="U162" s="9">
        <f t="shared" si="8"/>
        <v>-1</v>
      </c>
    </row>
    <row r="163" spans="1:22" outlineLevel="2">
      <c r="A163" t="s">
        <v>178</v>
      </c>
      <c r="B163" t="s">
        <v>179</v>
      </c>
      <c r="C163" t="s">
        <v>89</v>
      </c>
      <c r="D163" t="s">
        <v>90</v>
      </c>
      <c r="E163" s="4">
        <v>313.61000000000007</v>
      </c>
      <c r="F163" s="4">
        <v>499.17000000000007</v>
      </c>
      <c r="G163" s="4">
        <v>0</v>
      </c>
      <c r="H163" s="4">
        <v>8355.5199999999095</v>
      </c>
      <c r="I163" s="4">
        <v>303.95999999999998</v>
      </c>
      <c r="J163" s="4">
        <v>0</v>
      </c>
      <c r="K163" s="4">
        <v>4265.1500000000005</v>
      </c>
      <c r="L163" s="4">
        <v>210</v>
      </c>
      <c r="M163" s="4">
        <v>-2.3283064365386963E-10</v>
      </c>
      <c r="N163" s="4">
        <v>137836.6</v>
      </c>
      <c r="O163" s="4">
        <v>110746.38</v>
      </c>
      <c r="P163" s="4">
        <v>110746.38</v>
      </c>
      <c r="Q163" s="4">
        <v>110746.38</v>
      </c>
      <c r="R163" s="4">
        <v>83896.06</v>
      </c>
      <c r="S163" s="8">
        <f t="shared" si="6"/>
        <v>78380.956666666621</v>
      </c>
      <c r="T163" s="8">
        <f t="shared" si="7"/>
        <v>5515.1033333333762</v>
      </c>
      <c r="U163" s="9">
        <f t="shared" si="8"/>
        <v>7.036279688174317E-2</v>
      </c>
    </row>
    <row r="164" spans="1:22" outlineLevel="2">
      <c r="A164" t="s">
        <v>178</v>
      </c>
      <c r="B164" t="s">
        <v>179</v>
      </c>
      <c r="C164" t="s">
        <v>182</v>
      </c>
      <c r="D164" t="s">
        <v>183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7.27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S164" s="8">
        <f t="shared" si="6"/>
        <v>0</v>
      </c>
      <c r="T164" s="8">
        <f t="shared" si="7"/>
        <v>0</v>
      </c>
      <c r="U164" s="9" t="e">
        <f t="shared" si="8"/>
        <v>#DIV/0!</v>
      </c>
    </row>
    <row r="165" spans="1:22" outlineLevel="2">
      <c r="A165" t="s">
        <v>178</v>
      </c>
      <c r="B165" t="s">
        <v>179</v>
      </c>
      <c r="C165" t="s">
        <v>91</v>
      </c>
      <c r="D165" t="s">
        <v>92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24.02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S165" s="8">
        <f t="shared" si="6"/>
        <v>0</v>
      </c>
      <c r="T165" s="8">
        <f t="shared" si="7"/>
        <v>0</v>
      </c>
      <c r="U165" s="9" t="e">
        <f t="shared" si="8"/>
        <v>#DIV/0!</v>
      </c>
    </row>
    <row r="166" spans="1:22" outlineLevel="2">
      <c r="A166" t="s">
        <v>178</v>
      </c>
      <c r="B166" t="s">
        <v>179</v>
      </c>
      <c r="C166" t="s">
        <v>184</v>
      </c>
      <c r="D166" t="s">
        <v>185</v>
      </c>
      <c r="E166" s="4">
        <v>0</v>
      </c>
      <c r="F166" s="4">
        <v>0</v>
      </c>
      <c r="G166" s="4">
        <v>0</v>
      </c>
      <c r="H166" s="4">
        <v>1100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250</v>
      </c>
      <c r="Q166" s="4">
        <v>7156.91</v>
      </c>
      <c r="S166" s="8">
        <f t="shared" si="6"/>
        <v>1234.4849999999999</v>
      </c>
      <c r="T166" s="8">
        <f t="shared" si="7"/>
        <v>-1234.4849999999999</v>
      </c>
      <c r="U166" s="9">
        <f t="shared" si="8"/>
        <v>-1</v>
      </c>
    </row>
    <row r="167" spans="1:22" outlineLevel="2">
      <c r="A167" t="s">
        <v>178</v>
      </c>
      <c r="B167" t="s">
        <v>179</v>
      </c>
      <c r="C167" t="s">
        <v>101</v>
      </c>
      <c r="D167" t="s">
        <v>102</v>
      </c>
      <c r="E167" s="4">
        <v>-10356.69</v>
      </c>
      <c r="F167" s="4">
        <v>1758.65</v>
      </c>
      <c r="G167" s="4">
        <v>20229.41</v>
      </c>
      <c r="H167" s="4">
        <v>64933.070000000007</v>
      </c>
      <c r="I167" s="4">
        <v>225</v>
      </c>
      <c r="J167" s="4">
        <v>225</v>
      </c>
      <c r="K167" s="4">
        <v>236.25</v>
      </c>
      <c r="L167" s="4">
        <v>-76.959999999999994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S167" s="8">
        <f t="shared" si="6"/>
        <v>-12.826666666666666</v>
      </c>
      <c r="T167" s="8">
        <f t="shared" si="7"/>
        <v>12.826666666666666</v>
      </c>
      <c r="U167" s="9">
        <f t="shared" si="8"/>
        <v>-1</v>
      </c>
    </row>
    <row r="168" spans="1:22" outlineLevel="2">
      <c r="A168" t="s">
        <v>178</v>
      </c>
      <c r="B168" t="s">
        <v>179</v>
      </c>
      <c r="C168" t="s">
        <v>111</v>
      </c>
      <c r="D168" t="s">
        <v>112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1281.8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S168" s="8">
        <f t="shared" si="6"/>
        <v>0</v>
      </c>
      <c r="T168" s="8">
        <f t="shared" si="7"/>
        <v>0</v>
      </c>
      <c r="U168" s="9" t="e">
        <f t="shared" si="8"/>
        <v>#DIV/0!</v>
      </c>
    </row>
    <row r="169" spans="1:22" outlineLevel="2">
      <c r="A169" t="s">
        <v>178</v>
      </c>
      <c r="B169" t="s">
        <v>179</v>
      </c>
      <c r="C169" t="s">
        <v>170</v>
      </c>
      <c r="D169" t="s">
        <v>171</v>
      </c>
      <c r="E169" s="4">
        <v>1215</v>
      </c>
      <c r="F169" s="4">
        <v>810</v>
      </c>
      <c r="G169" s="4">
        <v>810</v>
      </c>
      <c r="H169" s="4">
        <v>810</v>
      </c>
      <c r="I169" s="4">
        <v>810</v>
      </c>
      <c r="J169" s="4">
        <v>810</v>
      </c>
      <c r="K169" s="4">
        <v>810</v>
      </c>
      <c r="L169" s="4">
        <v>1215</v>
      </c>
      <c r="M169" s="4">
        <v>810</v>
      </c>
      <c r="N169" s="4">
        <v>810</v>
      </c>
      <c r="O169" s="4">
        <v>765</v>
      </c>
      <c r="P169" s="4">
        <v>450</v>
      </c>
      <c r="Q169" s="4">
        <v>315</v>
      </c>
      <c r="S169" s="8">
        <f t="shared" si="6"/>
        <v>727.5</v>
      </c>
      <c r="T169" s="8">
        <f t="shared" si="7"/>
        <v>-727.5</v>
      </c>
      <c r="U169" s="9">
        <f t="shared" si="8"/>
        <v>-1</v>
      </c>
    </row>
    <row r="170" spans="1:22" outlineLevel="2">
      <c r="A170" t="s">
        <v>178</v>
      </c>
      <c r="B170" t="s">
        <v>179</v>
      </c>
      <c r="C170" t="s">
        <v>121</v>
      </c>
      <c r="D170" t="s">
        <v>122</v>
      </c>
      <c r="E170" s="4">
        <v>0</v>
      </c>
      <c r="F170" s="4">
        <v>0</v>
      </c>
      <c r="G170" s="4">
        <v>0</v>
      </c>
      <c r="H170" s="4">
        <v>-4228.41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S170" s="8">
        <f t="shared" si="6"/>
        <v>0</v>
      </c>
      <c r="T170" s="8">
        <f t="shared" si="7"/>
        <v>0</v>
      </c>
      <c r="U170" s="9" t="e">
        <f t="shared" si="8"/>
        <v>#DIV/0!</v>
      </c>
    </row>
    <row r="171" spans="1:22" outlineLevel="2">
      <c r="A171" t="s">
        <v>178</v>
      </c>
      <c r="B171" t="s">
        <v>179</v>
      </c>
      <c r="C171" t="s">
        <v>123</v>
      </c>
      <c r="D171" t="s">
        <v>124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3.4333424991928041E-11</v>
      </c>
      <c r="P171" s="4">
        <v>-8.7311491370201111E-11</v>
      </c>
      <c r="Q171" s="4">
        <v>625.00000000040745</v>
      </c>
      <c r="R171" s="4">
        <v>-2.1827872842550278E-11</v>
      </c>
      <c r="S171" s="8">
        <f t="shared" si="6"/>
        <v>104.16666666672575</v>
      </c>
      <c r="T171" s="8">
        <f t="shared" si="7"/>
        <v>-104.16666666674757</v>
      </c>
      <c r="U171" s="9">
        <f t="shared" si="8"/>
        <v>-1.0000000000002096</v>
      </c>
    </row>
    <row r="172" spans="1:22" outlineLevel="2">
      <c r="A172" t="s">
        <v>178</v>
      </c>
      <c r="B172" t="s">
        <v>179</v>
      </c>
      <c r="C172" t="s">
        <v>186</v>
      </c>
      <c r="D172" t="s">
        <v>187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50</v>
      </c>
      <c r="S172" s="8">
        <f t="shared" si="6"/>
        <v>8.3333333333333339</v>
      </c>
      <c r="T172" s="8">
        <f t="shared" si="7"/>
        <v>-8.3333333333333339</v>
      </c>
      <c r="U172" s="9">
        <f t="shared" si="8"/>
        <v>-1</v>
      </c>
    </row>
    <row r="173" spans="1:22" outlineLevel="2">
      <c r="A173" t="s">
        <v>178</v>
      </c>
      <c r="B173" t="s">
        <v>179</v>
      </c>
      <c r="C173" t="s">
        <v>188</v>
      </c>
      <c r="D173" t="s">
        <v>189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105</v>
      </c>
      <c r="O173" s="4">
        <v>0</v>
      </c>
      <c r="P173" s="4">
        <v>0</v>
      </c>
      <c r="Q173" s="4">
        <v>0</v>
      </c>
      <c r="S173" s="8">
        <f t="shared" si="6"/>
        <v>17.5</v>
      </c>
      <c r="T173" s="8">
        <f t="shared" si="7"/>
        <v>-17.5</v>
      </c>
      <c r="U173" s="9">
        <f t="shared" si="8"/>
        <v>-1</v>
      </c>
    </row>
    <row r="174" spans="1:22" outlineLevel="2">
      <c r="A174" t="s">
        <v>178</v>
      </c>
      <c r="B174" t="s">
        <v>179</v>
      </c>
      <c r="C174" t="s">
        <v>127</v>
      </c>
      <c r="D174" t="s">
        <v>120</v>
      </c>
      <c r="E174" s="4">
        <v>4.95</v>
      </c>
      <c r="F174" s="4">
        <v>268.5</v>
      </c>
      <c r="G174" s="4">
        <v>0</v>
      </c>
      <c r="H174" s="4">
        <v>1475</v>
      </c>
      <c r="I174" s="4">
        <v>0</v>
      </c>
      <c r="J174" s="4">
        <v>50</v>
      </c>
      <c r="K174" s="4">
        <v>0</v>
      </c>
      <c r="L174" s="4">
        <v>9.9</v>
      </c>
      <c r="M174" s="4">
        <v>200</v>
      </c>
      <c r="N174" s="4">
        <v>0</v>
      </c>
      <c r="O174" s="4">
        <v>118.39</v>
      </c>
      <c r="P174" s="4">
        <v>0</v>
      </c>
      <c r="Q174" s="4">
        <v>10862</v>
      </c>
      <c r="R174" s="4">
        <v>82.98</v>
      </c>
      <c r="S174" s="8">
        <f t="shared" si="6"/>
        <v>1865.0483333333334</v>
      </c>
      <c r="T174" s="8">
        <f t="shared" si="7"/>
        <v>-1782.0683333333334</v>
      </c>
      <c r="U174" s="9">
        <f t="shared" si="8"/>
        <v>-0.95550785547112715</v>
      </c>
    </row>
    <row r="175" spans="1:22" outlineLevel="2">
      <c r="A175" t="s">
        <v>178</v>
      </c>
      <c r="B175" t="s">
        <v>179</v>
      </c>
      <c r="C175" t="s">
        <v>190</v>
      </c>
      <c r="D175" t="s">
        <v>191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594.24</v>
      </c>
      <c r="P175" s="4">
        <v>0</v>
      </c>
      <c r="Q175" s="4">
        <v>0</v>
      </c>
      <c r="S175" s="8">
        <f t="shared" si="6"/>
        <v>99.04</v>
      </c>
      <c r="T175" s="8">
        <f t="shared" si="7"/>
        <v>-99.04</v>
      </c>
      <c r="U175" s="9">
        <f t="shared" si="8"/>
        <v>-1</v>
      </c>
    </row>
    <row r="176" spans="1:22" outlineLevel="1">
      <c r="A176" s="1" t="s">
        <v>688</v>
      </c>
      <c r="E176" s="4">
        <f>SUBTOTAL(9,E137:E175)</f>
        <v>668222.09000000008</v>
      </c>
      <c r="F176" s="4">
        <f>SUBTOTAL(9,F137:F175)</f>
        <v>693295.41</v>
      </c>
      <c r="G176" s="4">
        <f>SUBTOTAL(9,G137:G175)</f>
        <v>805341.22000000009</v>
      </c>
      <c r="H176" s="4">
        <f>SUBTOTAL(9,H137:H175)</f>
        <v>651287.32999999996</v>
      </c>
      <c r="I176" s="4">
        <f>SUBTOTAL(9,I137:I175)</f>
        <v>744346.71000000008</v>
      </c>
      <c r="J176" s="4">
        <f>SUBTOTAL(9,J137:J175)</f>
        <v>644268.81000000006</v>
      </c>
      <c r="K176" s="4">
        <f>SUBTOTAL(9,K137:K175)</f>
        <v>722672.75</v>
      </c>
      <c r="L176" s="4">
        <f>SUBTOTAL(9,L137:L175)</f>
        <v>688719.41000000015</v>
      </c>
      <c r="M176" s="4">
        <f>SUBTOTAL(9,M137:M175)</f>
        <v>793723.47999999986</v>
      </c>
      <c r="N176" s="4">
        <f>SUBTOTAL(9,N137:N175)</f>
        <v>775430.53999999992</v>
      </c>
      <c r="O176" s="4">
        <f>SUBTOTAL(9,O137:O175)</f>
        <v>705853.96000000008</v>
      </c>
      <c r="P176" s="4">
        <f>SUBTOTAL(9,P137:P175)</f>
        <v>21589.87999999983</v>
      </c>
      <c r="Q176" s="4">
        <f>SUBTOTAL(9,Q137:Q175)</f>
        <v>553580.17000000039</v>
      </c>
      <c r="R176" s="4">
        <f>SUBTOTAL(9,R137:R175)</f>
        <v>441536.36999999994</v>
      </c>
      <c r="S176" s="8">
        <f t="shared" si="6"/>
        <v>589816.24000000011</v>
      </c>
      <c r="T176" s="8">
        <f t="shared" si="7"/>
        <v>-148279.87000000017</v>
      </c>
      <c r="U176" s="9">
        <f t="shared" si="8"/>
        <v>-0.25140011404229923</v>
      </c>
      <c r="V176" t="s">
        <v>896</v>
      </c>
    </row>
    <row r="177" spans="1:21" outlineLevel="2">
      <c r="A177" t="s">
        <v>192</v>
      </c>
      <c r="B177" t="s">
        <v>193</v>
      </c>
      <c r="C177" t="s">
        <v>21</v>
      </c>
      <c r="D177" t="s">
        <v>22</v>
      </c>
      <c r="E177" s="4">
        <v>1458.1000000000001</v>
      </c>
      <c r="F177" s="4">
        <v>9476.32</v>
      </c>
      <c r="G177" s="4">
        <v>-9340.6899999999987</v>
      </c>
      <c r="H177" s="4">
        <v>12104.46</v>
      </c>
      <c r="I177" s="4">
        <v>-13698.19</v>
      </c>
      <c r="J177" s="4">
        <v>-3.865352482534945E-12</v>
      </c>
      <c r="K177" s="4">
        <v>1.8189894035458565E-12</v>
      </c>
      <c r="L177" s="4">
        <v>-2.0463630789890885E-12</v>
      </c>
      <c r="M177" s="4">
        <v>-2.2737367544323206E-13</v>
      </c>
      <c r="N177" s="4">
        <v>174.97999999999865</v>
      </c>
      <c r="O177" s="4">
        <v>6.8212102632969618E-13</v>
      </c>
      <c r="P177" s="4">
        <v>184.51000000000096</v>
      </c>
      <c r="Q177" s="4">
        <v>3363.1600000000003</v>
      </c>
      <c r="S177" s="8">
        <f t="shared" si="6"/>
        <v>620.44166666666638</v>
      </c>
      <c r="T177" s="8">
        <f t="shared" si="7"/>
        <v>-620.44166666666638</v>
      </c>
      <c r="U177" s="9">
        <f t="shared" si="8"/>
        <v>-1</v>
      </c>
    </row>
    <row r="178" spans="1:21" outlineLevel="2">
      <c r="A178" t="s">
        <v>192</v>
      </c>
      <c r="B178" t="s">
        <v>193</v>
      </c>
      <c r="C178" t="s">
        <v>23</v>
      </c>
      <c r="D178" t="s">
        <v>24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374.45</v>
      </c>
      <c r="O178" s="4">
        <v>0</v>
      </c>
      <c r="P178" s="4">
        <v>0</v>
      </c>
      <c r="Q178" s="4">
        <v>0</v>
      </c>
      <c r="S178" s="8">
        <f t="shared" si="6"/>
        <v>62.408333333333331</v>
      </c>
      <c r="T178" s="8">
        <f t="shared" si="7"/>
        <v>-62.408333333333331</v>
      </c>
      <c r="U178" s="9">
        <f t="shared" si="8"/>
        <v>-1</v>
      </c>
    </row>
    <row r="179" spans="1:21" outlineLevel="2">
      <c r="A179" t="s">
        <v>192</v>
      </c>
      <c r="B179" t="s">
        <v>193</v>
      </c>
      <c r="C179" t="s">
        <v>25</v>
      </c>
      <c r="D179" t="s">
        <v>26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802.97000000000014</v>
      </c>
      <c r="O179" s="4">
        <v>0</v>
      </c>
      <c r="P179" s="4">
        <v>0</v>
      </c>
      <c r="Q179" s="4">
        <v>0</v>
      </c>
      <c r="S179" s="8">
        <f t="shared" si="6"/>
        <v>133.82833333333335</v>
      </c>
      <c r="T179" s="8">
        <f t="shared" si="7"/>
        <v>-133.82833333333335</v>
      </c>
      <c r="U179" s="9">
        <f t="shared" si="8"/>
        <v>-1</v>
      </c>
    </row>
    <row r="180" spans="1:21" outlineLevel="2">
      <c r="A180" t="s">
        <v>192</v>
      </c>
      <c r="B180" t="s">
        <v>193</v>
      </c>
      <c r="C180" t="s">
        <v>27</v>
      </c>
      <c r="D180" t="s">
        <v>28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683.39</v>
      </c>
      <c r="O180" s="4">
        <v>0</v>
      </c>
      <c r="P180" s="4">
        <v>0</v>
      </c>
      <c r="Q180" s="4">
        <v>0</v>
      </c>
      <c r="S180" s="8">
        <f t="shared" si="6"/>
        <v>113.89833333333333</v>
      </c>
      <c r="T180" s="8">
        <f t="shared" si="7"/>
        <v>-113.89833333333333</v>
      </c>
      <c r="U180" s="9">
        <f t="shared" si="8"/>
        <v>-1</v>
      </c>
    </row>
    <row r="181" spans="1:21" outlineLevel="2">
      <c r="A181" t="s">
        <v>192</v>
      </c>
      <c r="B181" t="s">
        <v>193</v>
      </c>
      <c r="C181" t="s">
        <v>194</v>
      </c>
      <c r="D181" t="s">
        <v>195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3542.6499999999996</v>
      </c>
      <c r="O181" s="4">
        <v>0</v>
      </c>
      <c r="P181" s="4">
        <v>0</v>
      </c>
      <c r="Q181" s="4">
        <v>0</v>
      </c>
      <c r="S181" s="8">
        <f t="shared" si="6"/>
        <v>590.44166666666661</v>
      </c>
      <c r="T181" s="8">
        <f t="shared" si="7"/>
        <v>-590.44166666666661</v>
      </c>
      <c r="U181" s="9">
        <f t="shared" si="8"/>
        <v>-1</v>
      </c>
    </row>
    <row r="182" spans="1:21" outlineLevel="2">
      <c r="A182" t="s">
        <v>192</v>
      </c>
      <c r="B182" t="s">
        <v>193</v>
      </c>
      <c r="C182" t="s">
        <v>138</v>
      </c>
      <c r="D182" t="s">
        <v>139</v>
      </c>
      <c r="E182" s="4">
        <v>0</v>
      </c>
      <c r="F182" s="4">
        <v>0</v>
      </c>
      <c r="G182" s="4">
        <v>6111.76</v>
      </c>
      <c r="H182" s="4">
        <v>5082.119999999999</v>
      </c>
      <c r="I182" s="4">
        <v>5226.6900000000005</v>
      </c>
      <c r="J182" s="4">
        <v>5093.2000000000007</v>
      </c>
      <c r="K182" s="4">
        <v>5398.2000000000007</v>
      </c>
      <c r="L182" s="4">
        <v>5394</v>
      </c>
      <c r="M182" s="4">
        <v>5220</v>
      </c>
      <c r="N182" s="4">
        <v>5394</v>
      </c>
      <c r="O182" s="4">
        <v>5220</v>
      </c>
      <c r="P182" s="4">
        <v>6124.06</v>
      </c>
      <c r="Q182" s="4">
        <v>5385.02</v>
      </c>
      <c r="R182" s="4">
        <v>4876.7800000000007</v>
      </c>
      <c r="S182" s="8">
        <f t="shared" si="6"/>
        <v>5456.18</v>
      </c>
      <c r="T182" s="8">
        <f t="shared" si="7"/>
        <v>-579.39999999999964</v>
      </c>
      <c r="U182" s="9">
        <f t="shared" si="8"/>
        <v>-0.10619151127712055</v>
      </c>
    </row>
    <row r="183" spans="1:21" outlineLevel="2">
      <c r="A183" t="s">
        <v>192</v>
      </c>
      <c r="B183" t="s">
        <v>193</v>
      </c>
      <c r="C183" t="s">
        <v>29</v>
      </c>
      <c r="D183" t="s">
        <v>30</v>
      </c>
      <c r="E183" s="4">
        <v>0</v>
      </c>
      <c r="F183" s="4">
        <v>0</v>
      </c>
      <c r="G183" s="4">
        <v>257.87</v>
      </c>
      <c r="H183" s="4">
        <v>16.420000000000002</v>
      </c>
      <c r="I183" s="4">
        <v>-7.32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33.94</v>
      </c>
      <c r="R183" s="4">
        <v>-3.7900000000000005</v>
      </c>
      <c r="S183" s="8">
        <f t="shared" si="6"/>
        <v>5.6566666666666663</v>
      </c>
      <c r="T183" s="8">
        <f t="shared" si="7"/>
        <v>-9.4466666666666672</v>
      </c>
      <c r="U183" s="9">
        <f t="shared" si="8"/>
        <v>-1.6700058927519152</v>
      </c>
    </row>
    <row r="184" spans="1:21" outlineLevel="2">
      <c r="A184" t="s">
        <v>192</v>
      </c>
      <c r="B184" t="s">
        <v>193</v>
      </c>
      <c r="C184" t="s">
        <v>140</v>
      </c>
      <c r="D184" t="s">
        <v>141</v>
      </c>
      <c r="E184" s="4">
        <v>0</v>
      </c>
      <c r="F184" s="4">
        <v>0</v>
      </c>
      <c r="G184" s="4">
        <v>0</v>
      </c>
      <c r="H184" s="4">
        <v>-4547.3000000000029</v>
      </c>
      <c r="I184" s="4">
        <v>0</v>
      </c>
      <c r="J184" s="4">
        <v>4547.3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S184" s="8">
        <f t="shared" si="6"/>
        <v>0</v>
      </c>
      <c r="T184" s="8">
        <f t="shared" si="7"/>
        <v>0</v>
      </c>
      <c r="U184" s="9" t="e">
        <f t="shared" si="8"/>
        <v>#DIV/0!</v>
      </c>
    </row>
    <row r="185" spans="1:21" outlineLevel="2">
      <c r="A185" t="s">
        <v>192</v>
      </c>
      <c r="B185" t="s">
        <v>193</v>
      </c>
      <c r="C185" t="s">
        <v>144</v>
      </c>
      <c r="D185" t="s">
        <v>145</v>
      </c>
      <c r="E185" s="4">
        <v>0</v>
      </c>
      <c r="F185" s="4">
        <v>0</v>
      </c>
      <c r="G185" s="4">
        <v>-64.38</v>
      </c>
      <c r="H185" s="4">
        <v>-64.38</v>
      </c>
      <c r="I185" s="4">
        <v>-64.38</v>
      </c>
      <c r="J185" s="4">
        <v>-64.38</v>
      </c>
      <c r="K185" s="4">
        <v>-64.38</v>
      </c>
      <c r="L185" s="4">
        <v>-96.57</v>
      </c>
      <c r="M185" s="4">
        <v>-64.38</v>
      </c>
      <c r="N185" s="4">
        <v>-64.38</v>
      </c>
      <c r="O185" s="4">
        <v>-64.38</v>
      </c>
      <c r="P185" s="4">
        <v>-64.38</v>
      </c>
      <c r="Q185" s="4">
        <v>877.03</v>
      </c>
      <c r="R185" s="4">
        <v>135.56999999999994</v>
      </c>
      <c r="S185" s="8">
        <f t="shared" si="6"/>
        <v>87.15666666666668</v>
      </c>
      <c r="T185" s="8">
        <f t="shared" si="7"/>
        <v>48.413333333333256</v>
      </c>
      <c r="U185" s="9">
        <f t="shared" si="8"/>
        <v>0.55547481546640054</v>
      </c>
    </row>
    <row r="186" spans="1:21" outlineLevel="2">
      <c r="A186" t="s">
        <v>192</v>
      </c>
      <c r="B186" t="s">
        <v>193</v>
      </c>
      <c r="C186" t="s">
        <v>146</v>
      </c>
      <c r="D186" t="s">
        <v>147</v>
      </c>
      <c r="E186" s="4">
        <v>0</v>
      </c>
      <c r="F186" s="4">
        <v>0</v>
      </c>
      <c r="G186" s="4">
        <v>734.05000000000007</v>
      </c>
      <c r="H186" s="4">
        <v>509.86</v>
      </c>
      <c r="I186" s="4">
        <v>521.94000000000005</v>
      </c>
      <c r="J186" s="4">
        <v>509.32</v>
      </c>
      <c r="K186" s="4">
        <v>539.81999999999994</v>
      </c>
      <c r="L186" s="4">
        <v>539.4</v>
      </c>
      <c r="M186" s="4">
        <v>522</v>
      </c>
      <c r="N186" s="4">
        <v>539.40000000000009</v>
      </c>
      <c r="O186" s="4">
        <v>522</v>
      </c>
      <c r="P186" s="4">
        <v>612.41000000000008</v>
      </c>
      <c r="Q186" s="4">
        <v>541.9</v>
      </c>
      <c r="R186" s="4">
        <v>487.30000000000007</v>
      </c>
      <c r="S186" s="8">
        <f t="shared" si="6"/>
        <v>546.18500000000006</v>
      </c>
      <c r="T186" s="8">
        <f t="shared" si="7"/>
        <v>-58.884999999999991</v>
      </c>
      <c r="U186" s="9">
        <f t="shared" si="8"/>
        <v>-0.10781145582540712</v>
      </c>
    </row>
    <row r="187" spans="1:21" outlineLevel="2">
      <c r="A187" t="s">
        <v>192</v>
      </c>
      <c r="B187" t="s">
        <v>193</v>
      </c>
      <c r="C187" t="s">
        <v>150</v>
      </c>
      <c r="D187" t="s">
        <v>151</v>
      </c>
      <c r="E187" s="4">
        <v>0</v>
      </c>
      <c r="F187" s="4">
        <v>0</v>
      </c>
      <c r="G187" s="4">
        <v>0</v>
      </c>
      <c r="H187" s="4">
        <v>1029.95</v>
      </c>
      <c r="I187" s="4">
        <v>450.6</v>
      </c>
      <c r="J187" s="4">
        <v>298.68</v>
      </c>
      <c r="K187" s="4">
        <v>358.9</v>
      </c>
      <c r="L187" s="4">
        <v>358.9</v>
      </c>
      <c r="M187" s="4">
        <v>358.9</v>
      </c>
      <c r="N187" s="4">
        <v>339.16</v>
      </c>
      <c r="O187" s="4">
        <v>339.16</v>
      </c>
      <c r="P187" s="4">
        <v>339.16</v>
      </c>
      <c r="Q187" s="4">
        <v>273.14</v>
      </c>
      <c r="R187" s="4">
        <v>149.10000000000002</v>
      </c>
      <c r="S187" s="8">
        <f t="shared" si="6"/>
        <v>334.73666666666668</v>
      </c>
      <c r="T187" s="8">
        <f t="shared" si="7"/>
        <v>-185.63666666666666</v>
      </c>
      <c r="U187" s="9">
        <f t="shared" si="8"/>
        <v>-0.55457523824698018</v>
      </c>
    </row>
    <row r="188" spans="1:21" outlineLevel="2">
      <c r="A188" t="s">
        <v>192</v>
      </c>
      <c r="B188" t="s">
        <v>193</v>
      </c>
      <c r="C188" t="s">
        <v>152</v>
      </c>
      <c r="D188" t="s">
        <v>153</v>
      </c>
      <c r="E188" s="4">
        <v>0</v>
      </c>
      <c r="F188" s="4">
        <v>0</v>
      </c>
      <c r="G188" s="4">
        <v>556.29999999999995</v>
      </c>
      <c r="H188" s="4">
        <v>385.67</v>
      </c>
      <c r="I188" s="4">
        <v>394.78</v>
      </c>
      <c r="J188" s="4">
        <v>424.95</v>
      </c>
      <c r="K188" s="4">
        <v>408.46000000000004</v>
      </c>
      <c r="L188" s="4">
        <v>408.14</v>
      </c>
      <c r="M188" s="4">
        <v>394.96000000000004</v>
      </c>
      <c r="N188" s="4">
        <v>408.16</v>
      </c>
      <c r="O188" s="4">
        <v>394.99</v>
      </c>
      <c r="P188" s="4">
        <v>463.83000000000004</v>
      </c>
      <c r="Q188" s="4">
        <v>409.78</v>
      </c>
      <c r="R188" s="4">
        <v>368.48</v>
      </c>
      <c r="S188" s="8">
        <f t="shared" si="6"/>
        <v>413.30999999999995</v>
      </c>
      <c r="T188" s="8">
        <f t="shared" si="7"/>
        <v>-44.829999999999927</v>
      </c>
      <c r="U188" s="9">
        <f t="shared" si="8"/>
        <v>-0.10846580048873711</v>
      </c>
    </row>
    <row r="189" spans="1:21" outlineLevel="2">
      <c r="A189" t="s">
        <v>192</v>
      </c>
      <c r="B189" t="s">
        <v>193</v>
      </c>
      <c r="C189" t="s">
        <v>154</v>
      </c>
      <c r="D189" t="s">
        <v>155</v>
      </c>
      <c r="E189" s="4">
        <v>0</v>
      </c>
      <c r="F189" s="4">
        <v>0</v>
      </c>
      <c r="G189" s="4">
        <v>247.47</v>
      </c>
      <c r="H189" s="4">
        <v>119.42999999999999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303.37</v>
      </c>
      <c r="R189" s="4">
        <v>63.53</v>
      </c>
      <c r="S189" s="8">
        <f t="shared" si="6"/>
        <v>50.561666666666667</v>
      </c>
      <c r="T189" s="8">
        <f t="shared" si="7"/>
        <v>12.968333333333334</v>
      </c>
      <c r="U189" s="9">
        <f t="shared" si="8"/>
        <v>0.25648547977716979</v>
      </c>
    </row>
    <row r="190" spans="1:21" outlineLevel="2">
      <c r="A190" t="s">
        <v>192</v>
      </c>
      <c r="B190" t="s">
        <v>193</v>
      </c>
      <c r="C190" t="s">
        <v>33</v>
      </c>
      <c r="D190" t="s">
        <v>34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S190" s="8">
        <f t="shared" si="6"/>
        <v>0</v>
      </c>
      <c r="T190" s="8">
        <f t="shared" si="7"/>
        <v>0</v>
      </c>
      <c r="U190" s="9" t="e">
        <f t="shared" si="8"/>
        <v>#DIV/0!</v>
      </c>
    </row>
    <row r="191" spans="1:21" outlineLevel="2">
      <c r="A191" t="s">
        <v>192</v>
      </c>
      <c r="B191" t="s">
        <v>193</v>
      </c>
      <c r="C191" t="s">
        <v>180</v>
      </c>
      <c r="D191" t="s">
        <v>181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50.38</v>
      </c>
      <c r="Q191" s="4">
        <v>0</v>
      </c>
      <c r="S191" s="8">
        <f t="shared" si="6"/>
        <v>8.3966666666666665</v>
      </c>
      <c r="T191" s="8">
        <f t="shared" si="7"/>
        <v>-8.3966666666666665</v>
      </c>
      <c r="U191" s="9">
        <f t="shared" si="8"/>
        <v>-1</v>
      </c>
    </row>
    <row r="192" spans="1:21" outlineLevel="2">
      <c r="A192" t="s">
        <v>192</v>
      </c>
      <c r="B192" t="s">
        <v>193</v>
      </c>
      <c r="C192" t="s">
        <v>39</v>
      </c>
      <c r="D192" t="s">
        <v>40</v>
      </c>
      <c r="E192" s="4">
        <v>0</v>
      </c>
      <c r="F192" s="4">
        <v>0</v>
      </c>
      <c r="G192" s="4">
        <v>0</v>
      </c>
      <c r="H192" s="4">
        <v>-334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S192" s="8">
        <f t="shared" si="6"/>
        <v>0</v>
      </c>
      <c r="T192" s="8">
        <f t="shared" si="7"/>
        <v>0</v>
      </c>
      <c r="U192" s="9" t="e">
        <f t="shared" si="8"/>
        <v>#DIV/0!</v>
      </c>
    </row>
    <row r="193" spans="1:22" outlineLevel="2">
      <c r="A193" t="s">
        <v>192</v>
      </c>
      <c r="B193" t="s">
        <v>193</v>
      </c>
      <c r="C193" t="s">
        <v>47</v>
      </c>
      <c r="D193" t="s">
        <v>48</v>
      </c>
      <c r="E193" s="4">
        <v>191186.8</v>
      </c>
      <c r="F193" s="4">
        <v>112291.83000000002</v>
      </c>
      <c r="G193" s="4">
        <v>168374.38999999998</v>
      </c>
      <c r="H193" s="4">
        <v>172257.98</v>
      </c>
      <c r="I193" s="4">
        <v>190163.74000000005</v>
      </c>
      <c r="J193" s="4">
        <v>196245.18000000005</v>
      </c>
      <c r="K193" s="4">
        <v>134545</v>
      </c>
      <c r="L193" s="4">
        <v>165076.64000000001</v>
      </c>
      <c r="M193" s="4">
        <v>181138.97</v>
      </c>
      <c r="N193" s="4">
        <v>162728.60999999999</v>
      </c>
      <c r="O193" s="4">
        <v>157200.07999999999</v>
      </c>
      <c r="P193" s="4">
        <v>153638.44</v>
      </c>
      <c r="Q193" s="4">
        <v>186093.02</v>
      </c>
      <c r="R193" s="4">
        <v>100306.49999999999</v>
      </c>
      <c r="S193" s="8">
        <f t="shared" si="6"/>
        <v>167645.96</v>
      </c>
      <c r="T193" s="8">
        <f t="shared" si="7"/>
        <v>-67339.460000000006</v>
      </c>
      <c r="U193" s="9">
        <f t="shared" si="8"/>
        <v>-0.40167660467332472</v>
      </c>
      <c r="V193" t="s">
        <v>896</v>
      </c>
    </row>
    <row r="194" spans="1:22" outlineLevel="2">
      <c r="A194" t="s">
        <v>192</v>
      </c>
      <c r="B194" t="s">
        <v>193</v>
      </c>
      <c r="C194" t="s">
        <v>49</v>
      </c>
      <c r="D194" t="s">
        <v>50</v>
      </c>
      <c r="E194" s="4">
        <v>0</v>
      </c>
      <c r="F194" s="4">
        <v>0</v>
      </c>
      <c r="G194" s="4">
        <v>1567</v>
      </c>
      <c r="H194" s="4">
        <v>-21000</v>
      </c>
      <c r="I194" s="4">
        <v>-10478.040000000003</v>
      </c>
      <c r="J194" s="4">
        <v>0</v>
      </c>
      <c r="K194" s="4">
        <v>31500</v>
      </c>
      <c r="L194" s="4">
        <v>0</v>
      </c>
      <c r="M194" s="4">
        <v>754.87000000000012</v>
      </c>
      <c r="N194" s="4">
        <v>0</v>
      </c>
      <c r="O194" s="4">
        <v>0</v>
      </c>
      <c r="P194" s="4">
        <v>0</v>
      </c>
      <c r="Q194" s="4">
        <v>0</v>
      </c>
      <c r="R194" s="4">
        <v>5456.4299999999994</v>
      </c>
      <c r="S194" s="8">
        <f t="shared" si="6"/>
        <v>125.81166666666668</v>
      </c>
      <c r="T194" s="8">
        <f t="shared" si="7"/>
        <v>5330.6183333333329</v>
      </c>
      <c r="U194" s="9">
        <f t="shared" si="8"/>
        <v>42.36982526792692</v>
      </c>
    </row>
    <row r="195" spans="1:22" outlineLevel="2">
      <c r="A195" t="s">
        <v>192</v>
      </c>
      <c r="B195" t="s">
        <v>193</v>
      </c>
      <c r="C195" t="s">
        <v>53</v>
      </c>
      <c r="D195" t="s">
        <v>54</v>
      </c>
      <c r="E195" s="4">
        <v>0</v>
      </c>
      <c r="F195" s="4">
        <v>0</v>
      </c>
      <c r="G195" s="4">
        <v>5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S195" s="8">
        <f t="shared" ref="S195:S258" si="9">AVERAGE(L195:Q195)</f>
        <v>0</v>
      </c>
      <c r="T195" s="8">
        <f t="shared" ref="T195:T258" si="10">R195-S195</f>
        <v>0</v>
      </c>
      <c r="U195" s="9" t="e">
        <f t="shared" ref="U195:U258" si="11">(R195-S195)/S195</f>
        <v>#DIV/0!</v>
      </c>
    </row>
    <row r="196" spans="1:22" outlineLevel="2">
      <c r="A196" t="s">
        <v>192</v>
      </c>
      <c r="B196" t="s">
        <v>193</v>
      </c>
      <c r="C196" t="s">
        <v>55</v>
      </c>
      <c r="D196" t="s">
        <v>56</v>
      </c>
      <c r="E196" s="4">
        <v>0</v>
      </c>
      <c r="F196" s="4">
        <v>16545.32</v>
      </c>
      <c r="G196" s="4">
        <v>-717.77</v>
      </c>
      <c r="H196" s="4">
        <v>-3799.3999999999996</v>
      </c>
      <c r="I196" s="4">
        <v>15352.28</v>
      </c>
      <c r="J196" s="4">
        <v>0</v>
      </c>
      <c r="K196" s="4">
        <v>251.04</v>
      </c>
      <c r="L196" s="4">
        <v>244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S196" s="8">
        <f t="shared" si="9"/>
        <v>40.666666666666664</v>
      </c>
      <c r="T196" s="8">
        <f t="shared" si="10"/>
        <v>-40.666666666666664</v>
      </c>
      <c r="U196" s="9">
        <f t="shared" si="11"/>
        <v>-1</v>
      </c>
    </row>
    <row r="197" spans="1:22" outlineLevel="2">
      <c r="A197" t="s">
        <v>192</v>
      </c>
      <c r="B197" t="s">
        <v>193</v>
      </c>
      <c r="C197" t="s">
        <v>196</v>
      </c>
      <c r="D197" t="s">
        <v>197</v>
      </c>
      <c r="E197" s="4">
        <v>0</v>
      </c>
      <c r="F197" s="4">
        <v>0</v>
      </c>
      <c r="G197" s="4">
        <v>20028.359999999997</v>
      </c>
      <c r="H197" s="4">
        <v>-3494.0299999999997</v>
      </c>
      <c r="I197" s="4">
        <v>29073.96</v>
      </c>
      <c r="J197" s="4">
        <v>18641.11</v>
      </c>
      <c r="K197" s="4">
        <v>9086.67</v>
      </c>
      <c r="L197" s="4">
        <v>16855.469999999998</v>
      </c>
      <c r="M197" s="4">
        <v>6218.4999999999991</v>
      </c>
      <c r="N197" s="4">
        <v>36062.249999999993</v>
      </c>
      <c r="O197" s="4">
        <v>19489.950000000004</v>
      </c>
      <c r="P197" s="4">
        <v>22798.730000000003</v>
      </c>
      <c r="Q197" s="4">
        <v>16395.850000000002</v>
      </c>
      <c r="R197" s="4">
        <v>9936</v>
      </c>
      <c r="S197" s="8">
        <f t="shared" si="9"/>
        <v>19636.791666666668</v>
      </c>
      <c r="T197" s="8">
        <f t="shared" si="10"/>
        <v>-9700.7916666666679</v>
      </c>
      <c r="U197" s="9">
        <f t="shared" si="11"/>
        <v>-0.4940110294663716</v>
      </c>
    </row>
    <row r="198" spans="1:22" outlineLevel="2">
      <c r="A198" t="s">
        <v>192</v>
      </c>
      <c r="B198" t="s">
        <v>193</v>
      </c>
      <c r="C198" t="s">
        <v>65</v>
      </c>
      <c r="D198" t="s">
        <v>66</v>
      </c>
      <c r="E198" s="4">
        <v>0</v>
      </c>
      <c r="F198" s="4">
        <v>0</v>
      </c>
      <c r="G198" s="4">
        <v>0</v>
      </c>
      <c r="H198" s="4">
        <v>2185</v>
      </c>
      <c r="I198" s="4">
        <v>0</v>
      </c>
      <c r="J198" s="4">
        <v>0</v>
      </c>
      <c r="K198" s="4">
        <v>0</v>
      </c>
      <c r="L198" s="4">
        <v>0</v>
      </c>
      <c r="M198" s="4">
        <v>152.63</v>
      </c>
      <c r="N198" s="4">
        <v>5867.31</v>
      </c>
      <c r="O198" s="4">
        <v>5001.9800000000005</v>
      </c>
      <c r="P198" s="4">
        <v>270.63</v>
      </c>
      <c r="Q198" s="4">
        <v>0</v>
      </c>
      <c r="R198" s="4">
        <v>5137.34</v>
      </c>
      <c r="S198" s="8">
        <f t="shared" si="9"/>
        <v>1882.0916666666669</v>
      </c>
      <c r="T198" s="8">
        <f t="shared" si="10"/>
        <v>3255.248333333333</v>
      </c>
      <c r="U198" s="9">
        <f t="shared" si="11"/>
        <v>1.729590747882453</v>
      </c>
    </row>
    <row r="199" spans="1:22" outlineLevel="2">
      <c r="A199" t="s">
        <v>192</v>
      </c>
      <c r="B199" t="s">
        <v>193</v>
      </c>
      <c r="C199" t="s">
        <v>83</v>
      </c>
      <c r="D199" t="s">
        <v>84</v>
      </c>
      <c r="E199" s="4">
        <v>12330.630000000003</v>
      </c>
      <c r="F199" s="4">
        <v>4964.1099999999988</v>
      </c>
      <c r="G199" s="4">
        <v>2928.5500000000011</v>
      </c>
      <c r="H199" s="4">
        <v>507.36999999999762</v>
      </c>
      <c r="I199" s="4">
        <v>11695.410000000007</v>
      </c>
      <c r="J199" s="4">
        <v>16104.019999999999</v>
      </c>
      <c r="K199" s="4">
        <v>13633.749999999998</v>
      </c>
      <c r="L199" s="4">
        <v>5347.0200000000013</v>
      </c>
      <c r="M199" s="4">
        <v>7542.3100000000077</v>
      </c>
      <c r="N199" s="4">
        <v>5955.8600000000024</v>
      </c>
      <c r="O199" s="4">
        <v>4097.1699999999992</v>
      </c>
      <c r="P199" s="4">
        <v>7997.5200000000023</v>
      </c>
      <c r="Q199" s="4">
        <v>9953.8900000000049</v>
      </c>
      <c r="R199" s="4">
        <v>10682.240000000003</v>
      </c>
      <c r="S199" s="8">
        <f t="shared" si="9"/>
        <v>6815.6283333333367</v>
      </c>
      <c r="T199" s="8">
        <f t="shared" si="10"/>
        <v>3866.6116666666667</v>
      </c>
      <c r="U199" s="9">
        <f t="shared" si="11"/>
        <v>0.56731551040659711</v>
      </c>
    </row>
    <row r="200" spans="1:22" outlineLevel="2">
      <c r="A200" t="s">
        <v>192</v>
      </c>
      <c r="B200" t="s">
        <v>193</v>
      </c>
      <c r="C200" t="s">
        <v>87</v>
      </c>
      <c r="D200" t="s">
        <v>88</v>
      </c>
      <c r="E200" s="4">
        <v>0</v>
      </c>
      <c r="F200" s="4">
        <v>0</v>
      </c>
      <c r="G200" s="4">
        <v>0</v>
      </c>
      <c r="H200" s="4">
        <v>-4463.6000000000004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2505.46</v>
      </c>
      <c r="O200" s="4">
        <v>0</v>
      </c>
      <c r="P200" s="4">
        <v>0</v>
      </c>
      <c r="Q200" s="4">
        <v>0</v>
      </c>
      <c r="S200" s="8">
        <f t="shared" si="9"/>
        <v>417.57666666666665</v>
      </c>
      <c r="T200" s="8">
        <f t="shared" si="10"/>
        <v>-417.57666666666665</v>
      </c>
      <c r="U200" s="9">
        <f t="shared" si="11"/>
        <v>-1</v>
      </c>
    </row>
    <row r="201" spans="1:22" outlineLevel="2">
      <c r="A201" t="s">
        <v>192</v>
      </c>
      <c r="B201" t="s">
        <v>193</v>
      </c>
      <c r="C201" t="s">
        <v>89</v>
      </c>
      <c r="D201" t="s">
        <v>90</v>
      </c>
      <c r="E201" s="4">
        <v>0</v>
      </c>
      <c r="F201" s="4">
        <v>0</v>
      </c>
      <c r="G201" s="4">
        <v>11087.619999999999</v>
      </c>
      <c r="H201" s="4">
        <v>-78.84</v>
      </c>
      <c r="I201" s="4">
        <v>0</v>
      </c>
      <c r="J201" s="4">
        <v>-2089.6000000000004</v>
      </c>
      <c r="K201" s="4">
        <v>602.54000000000008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S201" s="8">
        <f t="shared" si="9"/>
        <v>0</v>
      </c>
      <c r="T201" s="8">
        <f t="shared" si="10"/>
        <v>0</v>
      </c>
      <c r="U201" s="9" t="e">
        <f t="shared" si="11"/>
        <v>#DIV/0!</v>
      </c>
    </row>
    <row r="202" spans="1:22" outlineLevel="2">
      <c r="A202" t="s">
        <v>192</v>
      </c>
      <c r="B202" t="s">
        <v>193</v>
      </c>
      <c r="C202" t="s">
        <v>93</v>
      </c>
      <c r="D202" t="s">
        <v>94</v>
      </c>
      <c r="E202" s="4">
        <v>0</v>
      </c>
      <c r="F202" s="4">
        <v>1369.3799999999999</v>
      </c>
      <c r="G202" s="4">
        <v>366.31</v>
      </c>
      <c r="H202" s="4">
        <v>8747.14</v>
      </c>
      <c r="I202" s="4">
        <v>1122.1699999999983</v>
      </c>
      <c r="J202" s="4">
        <v>1511.97</v>
      </c>
      <c r="K202" s="4">
        <v>-2.8421709430404007E-13</v>
      </c>
      <c r="L202" s="4">
        <v>0</v>
      </c>
      <c r="M202" s="4">
        <v>-5.92</v>
      </c>
      <c r="N202" s="4">
        <v>-1.1368683772161603E-13</v>
      </c>
      <c r="O202" s="4">
        <v>0</v>
      </c>
      <c r="P202" s="4">
        <v>2224.2000000000003</v>
      </c>
      <c r="Q202" s="4">
        <v>3501.2200000000003</v>
      </c>
      <c r="R202" s="4">
        <v>-10000</v>
      </c>
      <c r="S202" s="8">
        <f t="shared" si="9"/>
        <v>953.25</v>
      </c>
      <c r="T202" s="8">
        <f t="shared" si="10"/>
        <v>-10953.25</v>
      </c>
      <c r="U202" s="9">
        <f t="shared" si="11"/>
        <v>-11.49042748492001</v>
      </c>
    </row>
    <row r="203" spans="1:22" outlineLevel="2">
      <c r="A203" t="s">
        <v>192</v>
      </c>
      <c r="B203" t="s">
        <v>193</v>
      </c>
      <c r="C203" t="s">
        <v>101</v>
      </c>
      <c r="D203" t="s">
        <v>102</v>
      </c>
      <c r="E203" s="4">
        <v>6218.26</v>
      </c>
      <c r="F203" s="4">
        <v>11785.429999999993</v>
      </c>
      <c r="G203" s="4">
        <v>32502.550000000003</v>
      </c>
      <c r="H203" s="4">
        <v>7271.9900000000061</v>
      </c>
      <c r="I203" s="4">
        <v>7434.42</v>
      </c>
      <c r="J203" s="4">
        <v>-15898.910000000005</v>
      </c>
      <c r="K203" s="4">
        <v>4960.6799999999994</v>
      </c>
      <c r="L203" s="4">
        <v>3554.7299999999996</v>
      </c>
      <c r="M203" s="4">
        <v>1779.17</v>
      </c>
      <c r="N203" s="4">
        <v>4240.79</v>
      </c>
      <c r="O203" s="4">
        <v>8157</v>
      </c>
      <c r="P203" s="4">
        <v>10950.740000000003</v>
      </c>
      <c r="Q203" s="4">
        <v>8802.0299999999988</v>
      </c>
      <c r="R203" s="4">
        <v>39133.560000000005</v>
      </c>
      <c r="S203" s="8">
        <f t="shared" si="9"/>
        <v>6247.41</v>
      </c>
      <c r="T203" s="8">
        <f t="shared" si="10"/>
        <v>32886.150000000009</v>
      </c>
      <c r="U203" s="9">
        <f t="shared" si="11"/>
        <v>5.2639653872564809</v>
      </c>
      <c r="V203" t="s">
        <v>896</v>
      </c>
    </row>
    <row r="204" spans="1:22" outlineLevel="2">
      <c r="A204" t="s">
        <v>192</v>
      </c>
      <c r="B204" t="s">
        <v>193</v>
      </c>
      <c r="C204" t="s">
        <v>198</v>
      </c>
      <c r="D204" t="s">
        <v>199</v>
      </c>
      <c r="E204" s="4">
        <v>0</v>
      </c>
      <c r="F204" s="4">
        <v>227.35999999999996</v>
      </c>
      <c r="G204" s="4">
        <v>32.479999999999997</v>
      </c>
      <c r="H204" s="4">
        <v>-167.52</v>
      </c>
      <c r="I204" s="4">
        <v>32.479999999999997</v>
      </c>
      <c r="J204" s="4">
        <v>97.44</v>
      </c>
      <c r="K204" s="4">
        <v>32.479999999999997</v>
      </c>
      <c r="L204" s="4">
        <v>-32.479999999999997</v>
      </c>
      <c r="M204" s="4">
        <v>3277.19</v>
      </c>
      <c r="N204" s="4">
        <v>0</v>
      </c>
      <c r="O204" s="4">
        <v>752.48</v>
      </c>
      <c r="P204" s="4">
        <v>32.479999999999997</v>
      </c>
      <c r="Q204" s="4">
        <v>0</v>
      </c>
      <c r="S204" s="8">
        <f t="shared" si="9"/>
        <v>671.61166666666668</v>
      </c>
      <c r="T204" s="8">
        <f t="shared" si="10"/>
        <v>-671.61166666666668</v>
      </c>
      <c r="U204" s="9">
        <f t="shared" si="11"/>
        <v>-1</v>
      </c>
    </row>
    <row r="205" spans="1:22" outlineLevel="2">
      <c r="A205" t="s">
        <v>192</v>
      </c>
      <c r="B205" t="s">
        <v>193</v>
      </c>
      <c r="C205" t="s">
        <v>111</v>
      </c>
      <c r="D205" t="s">
        <v>112</v>
      </c>
      <c r="E205" s="4">
        <v>220</v>
      </c>
      <c r="F205" s="4">
        <v>0</v>
      </c>
      <c r="G205" s="4">
        <v>0</v>
      </c>
      <c r="H205" s="4">
        <v>-110.99</v>
      </c>
      <c r="I205" s="4">
        <v>0</v>
      </c>
      <c r="J205" s="4">
        <v>0</v>
      </c>
      <c r="K205" s="4">
        <v>1206.75</v>
      </c>
      <c r="L205" s="4">
        <v>0</v>
      </c>
      <c r="M205" s="4">
        <v>-75.319999999999709</v>
      </c>
      <c r="N205" s="4">
        <v>3161.58</v>
      </c>
      <c r="O205" s="4">
        <v>3974.7799999999988</v>
      </c>
      <c r="P205" s="4">
        <v>0</v>
      </c>
      <c r="Q205" s="4">
        <v>0</v>
      </c>
      <c r="S205" s="8">
        <f t="shared" si="9"/>
        <v>1176.8399999999999</v>
      </c>
      <c r="T205" s="8">
        <f t="shared" si="10"/>
        <v>-1176.8399999999999</v>
      </c>
      <c r="U205" s="9">
        <f t="shared" si="11"/>
        <v>-1</v>
      </c>
    </row>
    <row r="206" spans="1:22" outlineLevel="2">
      <c r="A206" t="s">
        <v>192</v>
      </c>
      <c r="B206" t="s">
        <v>193</v>
      </c>
      <c r="C206" t="s">
        <v>127</v>
      </c>
      <c r="D206" t="s">
        <v>120</v>
      </c>
      <c r="E206" s="4">
        <v>0</v>
      </c>
      <c r="F206" s="4">
        <v>0</v>
      </c>
      <c r="G206" s="4">
        <v>0</v>
      </c>
      <c r="H206" s="4">
        <v>847.45</v>
      </c>
      <c r="I206" s="4">
        <v>0</v>
      </c>
      <c r="J206" s="4">
        <v>0</v>
      </c>
      <c r="K206" s="4">
        <v>0</v>
      </c>
      <c r="L206" s="4">
        <v>1503.04</v>
      </c>
      <c r="M206" s="4">
        <v>0</v>
      </c>
      <c r="N206" s="4">
        <v>805</v>
      </c>
      <c r="O206" s="4">
        <v>0</v>
      </c>
      <c r="P206" s="4">
        <v>696.97</v>
      </c>
      <c r="Q206" s="4">
        <v>57.07</v>
      </c>
      <c r="R206" s="4">
        <v>310.8</v>
      </c>
      <c r="S206" s="8">
        <f t="shared" si="9"/>
        <v>510.34666666666675</v>
      </c>
      <c r="T206" s="8">
        <f t="shared" si="10"/>
        <v>-199.54666666666674</v>
      </c>
      <c r="U206" s="9">
        <f t="shared" si="11"/>
        <v>-0.39100219458668622</v>
      </c>
    </row>
    <row r="207" spans="1:22" outlineLevel="1">
      <c r="A207" s="1" t="s">
        <v>689</v>
      </c>
      <c r="E207" s="4">
        <f>SUBTOTAL(9,E177:E206)</f>
        <v>211413.79</v>
      </c>
      <c r="F207" s="4">
        <f>SUBTOTAL(9,F177:F206)</f>
        <v>156659.75</v>
      </c>
      <c r="G207" s="4">
        <f>SUBTOTAL(9,G177:G206)</f>
        <v>234676.86999999997</v>
      </c>
      <c r="H207" s="4">
        <f>SUBTOTAL(9,H177:H206)</f>
        <v>173004.78000000009</v>
      </c>
      <c r="I207" s="4">
        <f>SUBTOTAL(9,I177:I206)</f>
        <v>237220.54000000004</v>
      </c>
      <c r="J207" s="4">
        <f>SUBTOTAL(9,J177:J206)</f>
        <v>225420.28000000003</v>
      </c>
      <c r="K207" s="4">
        <f>SUBTOTAL(9,K177:K206)</f>
        <v>202459.91000000003</v>
      </c>
      <c r="L207" s="4">
        <f>SUBTOTAL(9,L177:L206)</f>
        <v>199152.29</v>
      </c>
      <c r="M207" s="4">
        <f>SUBTOTAL(9,M177:M206)</f>
        <v>207213.88</v>
      </c>
      <c r="N207" s="4">
        <f>SUBTOTAL(9,N177:N206)</f>
        <v>233521.63999999998</v>
      </c>
      <c r="O207" s="4">
        <f>SUBTOTAL(9,O177:O206)</f>
        <v>205085.21000000002</v>
      </c>
      <c r="P207" s="4">
        <f>SUBTOTAL(9,P177:P206)</f>
        <v>206319.68000000002</v>
      </c>
      <c r="Q207" s="4">
        <f>SUBTOTAL(9,Q177:Q206)</f>
        <v>235990.42</v>
      </c>
      <c r="R207" s="4">
        <f>SUBTOTAL(9,R177:R206)</f>
        <v>167039.83999999997</v>
      </c>
      <c r="S207" s="8">
        <f t="shared" si="9"/>
        <v>214547.18666666665</v>
      </c>
      <c r="T207" s="8">
        <f t="shared" si="10"/>
        <v>-47507.346666666679</v>
      </c>
      <c r="U207" s="9">
        <f t="shared" si="11"/>
        <v>-0.22143076031324027</v>
      </c>
      <c r="V207" t="s">
        <v>896</v>
      </c>
    </row>
    <row r="208" spans="1:22" outlineLevel="2">
      <c r="A208" t="s">
        <v>200</v>
      </c>
      <c r="B208" t="s">
        <v>201</v>
      </c>
      <c r="C208" t="s">
        <v>21</v>
      </c>
      <c r="D208" t="s">
        <v>22</v>
      </c>
      <c r="E208" s="4">
        <v>130.81</v>
      </c>
      <c r="F208" s="4">
        <v>102.78</v>
      </c>
      <c r="G208" s="4">
        <v>12.18</v>
      </c>
      <c r="H208" s="4">
        <v>18.62</v>
      </c>
      <c r="I208" s="4">
        <v>106.5</v>
      </c>
      <c r="J208" s="4">
        <v>0</v>
      </c>
      <c r="K208" s="4">
        <v>839</v>
      </c>
      <c r="L208" s="4">
        <v>65.41</v>
      </c>
      <c r="M208" s="4">
        <v>0</v>
      </c>
      <c r="N208" s="4">
        <v>0</v>
      </c>
      <c r="O208" s="4">
        <v>27.07</v>
      </c>
      <c r="P208" s="4">
        <v>0</v>
      </c>
      <c r="Q208" s="4">
        <v>0</v>
      </c>
      <c r="R208" s="4">
        <v>52.019999999999996</v>
      </c>
      <c r="S208" s="8">
        <f t="shared" si="9"/>
        <v>15.413333333333332</v>
      </c>
      <c r="T208" s="8">
        <f t="shared" si="10"/>
        <v>36.606666666666662</v>
      </c>
      <c r="U208" s="9">
        <f t="shared" si="11"/>
        <v>2.375</v>
      </c>
    </row>
    <row r="209" spans="1:22" outlineLevel="2">
      <c r="A209" t="s">
        <v>200</v>
      </c>
      <c r="B209" t="s">
        <v>201</v>
      </c>
      <c r="C209" t="s">
        <v>27</v>
      </c>
      <c r="D209" t="s">
        <v>28</v>
      </c>
      <c r="E209" s="4">
        <v>13473.849999999999</v>
      </c>
      <c r="F209" s="4">
        <v>33538.47</v>
      </c>
      <c r="G209" s="4">
        <v>1317.31</v>
      </c>
      <c r="H209" s="4">
        <v>968.64</v>
      </c>
      <c r="I209" s="4">
        <v>21134.36</v>
      </c>
      <c r="J209" s="4">
        <v>14960</v>
      </c>
      <c r="K209" s="4">
        <v>789.12</v>
      </c>
      <c r="L209" s="4">
        <v>11256.43</v>
      </c>
      <c r="M209" s="4">
        <v>0</v>
      </c>
      <c r="N209" s="4">
        <v>0</v>
      </c>
      <c r="O209" s="4">
        <v>12733.89</v>
      </c>
      <c r="P209" s="4">
        <v>9139.91</v>
      </c>
      <c r="Q209" s="4">
        <v>873.12</v>
      </c>
      <c r="R209" s="4">
        <v>6030.3700000000008</v>
      </c>
      <c r="S209" s="8">
        <f t="shared" si="9"/>
        <v>5667.2249999999995</v>
      </c>
      <c r="T209" s="8">
        <f t="shared" si="10"/>
        <v>363.14500000000135</v>
      </c>
      <c r="U209" s="9">
        <f t="shared" si="11"/>
        <v>6.4078098187384719E-2</v>
      </c>
    </row>
    <row r="210" spans="1:22" outlineLevel="2">
      <c r="A210" t="s">
        <v>200</v>
      </c>
      <c r="B210" t="s">
        <v>201</v>
      </c>
      <c r="C210" t="s">
        <v>158</v>
      </c>
      <c r="D210" t="s">
        <v>159</v>
      </c>
      <c r="E210" s="4">
        <v>150000</v>
      </c>
      <c r="F210" s="4">
        <v>150000</v>
      </c>
      <c r="G210" s="4">
        <v>164795.41999999998</v>
      </c>
      <c r="H210" s="4">
        <v>150000</v>
      </c>
      <c r="I210" s="4">
        <v>150000</v>
      </c>
      <c r="J210" s="4">
        <v>186315.51</v>
      </c>
      <c r="K210" s="4">
        <v>150000</v>
      </c>
      <c r="L210" s="4">
        <v>150000</v>
      </c>
      <c r="M210" s="4">
        <v>253232.16000000003</v>
      </c>
      <c r="N210" s="4">
        <v>150000</v>
      </c>
      <c r="O210" s="4">
        <v>150000</v>
      </c>
      <c r="P210" s="4">
        <v>261889.81000000003</v>
      </c>
      <c r="Q210" s="4">
        <v>110416.67</v>
      </c>
      <c r="R210" s="4">
        <v>-110416.67</v>
      </c>
      <c r="S210" s="8">
        <f t="shared" si="9"/>
        <v>179256.44000000003</v>
      </c>
      <c r="T210" s="8">
        <f t="shared" si="10"/>
        <v>-289673.11000000004</v>
      </c>
      <c r="U210" s="9">
        <f t="shared" si="11"/>
        <v>-1.6159704499319523</v>
      </c>
      <c r="V210" t="s">
        <v>897</v>
      </c>
    </row>
    <row r="211" spans="1:22" outlineLevel="2">
      <c r="A211" t="s">
        <v>200</v>
      </c>
      <c r="B211" t="s">
        <v>201</v>
      </c>
      <c r="C211" t="s">
        <v>168</v>
      </c>
      <c r="D211" t="s">
        <v>169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2522.5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S211" s="8">
        <f t="shared" si="9"/>
        <v>0</v>
      </c>
      <c r="T211" s="8">
        <f t="shared" si="10"/>
        <v>0</v>
      </c>
      <c r="U211" s="9" t="e">
        <f t="shared" si="11"/>
        <v>#DIV/0!</v>
      </c>
    </row>
    <row r="212" spans="1:22" outlineLevel="2">
      <c r="A212" t="s">
        <v>200</v>
      </c>
      <c r="B212" t="s">
        <v>201</v>
      </c>
      <c r="C212" t="s">
        <v>99</v>
      </c>
      <c r="D212" t="s">
        <v>100</v>
      </c>
      <c r="E212" s="4">
        <v>117167</v>
      </c>
      <c r="F212" s="4">
        <v>73417</v>
      </c>
      <c r="G212" s="4">
        <v>168416</v>
      </c>
      <c r="H212" s="4">
        <v>95500.33</v>
      </c>
      <c r="I212" s="4">
        <v>95500.33</v>
      </c>
      <c r="J212" s="4">
        <v>124249.34000000003</v>
      </c>
      <c r="K212" s="4">
        <v>105083.33</v>
      </c>
      <c r="L212" s="4">
        <v>105083.33</v>
      </c>
      <c r="M212" s="4">
        <v>105083.32999999999</v>
      </c>
      <c r="N212" s="4">
        <v>105083.33</v>
      </c>
      <c r="O212" s="4">
        <v>119393.33</v>
      </c>
      <c r="P212" s="4">
        <v>24523.330000000031</v>
      </c>
      <c r="Q212" s="4">
        <v>119393.33</v>
      </c>
      <c r="R212" s="4">
        <v>105083.33</v>
      </c>
      <c r="S212" s="8">
        <f t="shared" si="9"/>
        <v>96426.66333333333</v>
      </c>
      <c r="T212" s="8">
        <f t="shared" si="10"/>
        <v>8656.6666666666715</v>
      </c>
      <c r="U212" s="9">
        <f t="shared" si="11"/>
        <v>8.9774615935239818E-2</v>
      </c>
    </row>
    <row r="213" spans="1:22" outlineLevel="2">
      <c r="A213" t="s">
        <v>200</v>
      </c>
      <c r="B213" t="s">
        <v>201</v>
      </c>
      <c r="C213" t="s">
        <v>101</v>
      </c>
      <c r="D213" t="s">
        <v>102</v>
      </c>
      <c r="E213" s="4">
        <v>7547.12</v>
      </c>
      <c r="F213" s="4">
        <v>5784.69</v>
      </c>
      <c r="G213" s="4">
        <v>5784.69</v>
      </c>
      <c r="H213" s="4">
        <v>5784.69</v>
      </c>
      <c r="I213" s="4">
        <v>5784.69</v>
      </c>
      <c r="J213" s="4">
        <v>5784.69</v>
      </c>
      <c r="K213" s="4">
        <v>5784.69</v>
      </c>
      <c r="L213" s="4">
        <v>5784.69</v>
      </c>
      <c r="M213" s="4">
        <v>73660.77</v>
      </c>
      <c r="N213" s="4">
        <v>0</v>
      </c>
      <c r="O213" s="4">
        <v>0</v>
      </c>
      <c r="P213" s="4">
        <v>0</v>
      </c>
      <c r="Q213" s="4">
        <v>0</v>
      </c>
      <c r="S213" s="8">
        <f t="shared" si="9"/>
        <v>13240.910000000002</v>
      </c>
      <c r="T213" s="8">
        <f t="shared" si="10"/>
        <v>-13240.910000000002</v>
      </c>
      <c r="U213" s="9">
        <f t="shared" si="11"/>
        <v>-1</v>
      </c>
    </row>
    <row r="214" spans="1:22" outlineLevel="2">
      <c r="A214" t="s">
        <v>200</v>
      </c>
      <c r="B214" t="s">
        <v>201</v>
      </c>
      <c r="C214" t="s">
        <v>103</v>
      </c>
      <c r="D214" t="s">
        <v>104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1.8189894035458565E-12</v>
      </c>
      <c r="S214" s="8">
        <f t="shared" si="9"/>
        <v>3.0316490059097606E-13</v>
      </c>
      <c r="T214" s="8">
        <f t="shared" si="10"/>
        <v>-3.0316490059097606E-13</v>
      </c>
      <c r="U214" s="9">
        <f t="shared" si="11"/>
        <v>-1</v>
      </c>
    </row>
    <row r="215" spans="1:22" outlineLevel="1">
      <c r="A215" s="1" t="s">
        <v>690</v>
      </c>
      <c r="E215" s="4">
        <f>SUBTOTAL(9,E208:E214)</f>
        <v>288318.78000000003</v>
      </c>
      <c r="F215" s="4">
        <f>SUBTOTAL(9,F208:F214)</f>
        <v>262842.94</v>
      </c>
      <c r="G215" s="4">
        <f>SUBTOTAL(9,G208:G214)</f>
        <v>340325.6</v>
      </c>
      <c r="H215" s="4">
        <f>SUBTOTAL(9,H208:H214)</f>
        <v>252272.28000000003</v>
      </c>
      <c r="I215" s="4">
        <f>SUBTOTAL(9,I208:I214)</f>
        <v>272525.88</v>
      </c>
      <c r="J215" s="4">
        <f>SUBTOTAL(9,J208:J214)</f>
        <v>333832.04000000004</v>
      </c>
      <c r="K215" s="4">
        <f>SUBTOTAL(9,K208:K214)</f>
        <v>262496.14</v>
      </c>
      <c r="L215" s="4">
        <f>SUBTOTAL(9,L208:L214)</f>
        <v>272189.86</v>
      </c>
      <c r="M215" s="4">
        <f>SUBTOTAL(9,M208:M214)</f>
        <v>431976.26</v>
      </c>
      <c r="N215" s="4">
        <f>SUBTOTAL(9,N208:N214)</f>
        <v>255083.33000000002</v>
      </c>
      <c r="O215" s="4">
        <f>SUBTOTAL(9,O208:O214)</f>
        <v>282154.28999999998</v>
      </c>
      <c r="P215" s="4">
        <f>SUBTOTAL(9,P208:P214)</f>
        <v>295553.05000000005</v>
      </c>
      <c r="Q215" s="4">
        <f>SUBTOTAL(9,Q208:Q214)</f>
        <v>230683.12</v>
      </c>
      <c r="R215" s="4">
        <f>SUBTOTAL(9,R208:R214)</f>
        <v>749.05000000000291</v>
      </c>
      <c r="S215" s="8">
        <f t="shared" si="9"/>
        <v>294606.65166666667</v>
      </c>
      <c r="T215" s="8">
        <f t="shared" si="10"/>
        <v>-293857.60166666668</v>
      </c>
      <c r="U215" s="9">
        <f t="shared" si="11"/>
        <v>-0.9974574572713738</v>
      </c>
      <c r="V215" t="s">
        <v>897</v>
      </c>
    </row>
    <row r="216" spans="1:22" outlineLevel="2">
      <c r="A216" t="s">
        <v>202</v>
      </c>
      <c r="B216" t="s">
        <v>203</v>
      </c>
      <c r="C216" t="s">
        <v>21</v>
      </c>
      <c r="D216" t="s">
        <v>22</v>
      </c>
      <c r="E216" s="4">
        <v>3565.4299999999994</v>
      </c>
      <c r="F216" s="4">
        <v>6037.9500000000016</v>
      </c>
      <c r="G216" s="4">
        <v>12231.81</v>
      </c>
      <c r="H216" s="4">
        <v>10522.999999999996</v>
      </c>
      <c r="I216" s="4">
        <v>9891.1</v>
      </c>
      <c r="J216" s="4">
        <v>7176.25</v>
      </c>
      <c r="K216" s="4">
        <v>16030.399999999996</v>
      </c>
      <c r="L216" s="4">
        <v>13389.59</v>
      </c>
      <c r="M216" s="4">
        <v>9672.9100000000017</v>
      </c>
      <c r="N216" s="4">
        <v>6235.6499999999978</v>
      </c>
      <c r="O216" s="4">
        <v>19206.93</v>
      </c>
      <c r="P216" s="4">
        <v>23008.480000000007</v>
      </c>
      <c r="Q216" s="4">
        <v>13420.980000000001</v>
      </c>
      <c r="R216" s="4">
        <v>4738.09</v>
      </c>
      <c r="S216" s="8">
        <f t="shared" si="9"/>
        <v>14155.756666666668</v>
      </c>
      <c r="T216" s="8">
        <f t="shared" si="10"/>
        <v>-9417.6666666666679</v>
      </c>
      <c r="U216" s="9">
        <f t="shared" si="11"/>
        <v>-0.66528882124987077</v>
      </c>
    </row>
    <row r="217" spans="1:22" outlineLevel="2">
      <c r="A217" t="s">
        <v>202</v>
      </c>
      <c r="B217" t="s">
        <v>203</v>
      </c>
      <c r="C217" t="s">
        <v>23</v>
      </c>
      <c r="D217" t="s">
        <v>24</v>
      </c>
      <c r="E217" s="4">
        <v>16028.799999999994</v>
      </c>
      <c r="F217" s="4">
        <v>18670.609999999997</v>
      </c>
      <c r="G217" s="4">
        <v>16452.700000000026</v>
      </c>
      <c r="H217" s="4">
        <v>41131.970000000008</v>
      </c>
      <c r="I217" s="4">
        <v>20521.990000000005</v>
      </c>
      <c r="J217" s="4">
        <v>14037.220000000003</v>
      </c>
      <c r="K217" s="4">
        <v>29280.18</v>
      </c>
      <c r="L217" s="4">
        <v>30032.959999999952</v>
      </c>
      <c r="M217" s="4">
        <v>7053.8300000000008</v>
      </c>
      <c r="N217" s="4">
        <v>3226.1300000000006</v>
      </c>
      <c r="O217" s="4">
        <v>5610.4500000000007</v>
      </c>
      <c r="P217" s="4">
        <v>3882.92</v>
      </c>
      <c r="Q217" s="4">
        <v>3463.7599999999984</v>
      </c>
      <c r="R217" s="4">
        <v>9935.119999999999</v>
      </c>
      <c r="S217" s="8">
        <f t="shared" si="9"/>
        <v>8878.3416666666581</v>
      </c>
      <c r="T217" s="8">
        <f t="shared" si="10"/>
        <v>1056.7783333333409</v>
      </c>
      <c r="U217" s="9">
        <f t="shared" si="11"/>
        <v>0.11902879760766231</v>
      </c>
    </row>
    <row r="218" spans="1:22" outlineLevel="2">
      <c r="A218" t="s">
        <v>202</v>
      </c>
      <c r="B218" t="s">
        <v>203</v>
      </c>
      <c r="C218" t="s">
        <v>25</v>
      </c>
      <c r="D218" t="s">
        <v>26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2245.3200000000002</v>
      </c>
      <c r="N218" s="4">
        <v>1442.23</v>
      </c>
      <c r="O218" s="4">
        <v>10164.299999999996</v>
      </c>
      <c r="P218" s="4">
        <v>7632.87</v>
      </c>
      <c r="Q218" s="4">
        <v>9364.6300000000028</v>
      </c>
      <c r="R218" s="4">
        <v>6015.62</v>
      </c>
      <c r="S218" s="8">
        <f t="shared" si="9"/>
        <v>5141.5583333333334</v>
      </c>
      <c r="T218" s="8">
        <f t="shared" si="10"/>
        <v>874.0616666666665</v>
      </c>
      <c r="U218" s="9">
        <f t="shared" si="11"/>
        <v>0.16999936789591999</v>
      </c>
    </row>
    <row r="219" spans="1:22" outlineLevel="2">
      <c r="A219" t="s">
        <v>202</v>
      </c>
      <c r="B219" t="s">
        <v>203</v>
      </c>
      <c r="C219" t="s">
        <v>27</v>
      </c>
      <c r="D219" t="s">
        <v>28</v>
      </c>
      <c r="E219" s="4">
        <v>829.04</v>
      </c>
      <c r="F219" s="4">
        <v>18769.030000000002</v>
      </c>
      <c r="G219" s="4">
        <v>21655.34</v>
      </c>
      <c r="H219" s="4">
        <v>4981.6400000000003</v>
      </c>
      <c r="I219" s="4">
        <v>3060.9100000000003</v>
      </c>
      <c r="J219" s="4">
        <v>11683</v>
      </c>
      <c r="K219" s="4">
        <v>571.58000000000004</v>
      </c>
      <c r="L219" s="4">
        <v>16177.220000000001</v>
      </c>
      <c r="M219" s="4">
        <v>5624.7499999999964</v>
      </c>
      <c r="N219" s="4">
        <v>26308.71</v>
      </c>
      <c r="O219" s="4">
        <v>29231.75</v>
      </c>
      <c r="P219" s="4">
        <v>43358.360000000008</v>
      </c>
      <c r="Q219" s="4">
        <v>18935.769999999997</v>
      </c>
      <c r="R219" s="4">
        <v>16984.980000000003</v>
      </c>
      <c r="S219" s="8">
        <f t="shared" si="9"/>
        <v>23272.76</v>
      </c>
      <c r="T219" s="8">
        <f t="shared" si="10"/>
        <v>-6287.7799999999952</v>
      </c>
      <c r="U219" s="9">
        <f t="shared" si="11"/>
        <v>-0.27017766693765566</v>
      </c>
    </row>
    <row r="220" spans="1:22" outlineLevel="2">
      <c r="A220" t="s">
        <v>202</v>
      </c>
      <c r="B220" t="s">
        <v>203</v>
      </c>
      <c r="C220" t="s">
        <v>194</v>
      </c>
      <c r="D220" t="s">
        <v>195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3700</v>
      </c>
      <c r="K220" s="4">
        <v>-3700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S220" s="8">
        <f t="shared" si="9"/>
        <v>0</v>
      </c>
      <c r="T220" s="8">
        <f t="shared" si="10"/>
        <v>0</v>
      </c>
      <c r="U220" s="9" t="e">
        <f t="shared" si="11"/>
        <v>#DIV/0!</v>
      </c>
    </row>
    <row r="221" spans="1:22" outlineLevel="2">
      <c r="A221" t="s">
        <v>202</v>
      </c>
      <c r="B221" t="s">
        <v>203</v>
      </c>
      <c r="C221" t="s">
        <v>136</v>
      </c>
      <c r="D221" t="s">
        <v>137</v>
      </c>
      <c r="E221" s="4">
        <v>885549.24999999977</v>
      </c>
      <c r="F221" s="4">
        <v>411684.61</v>
      </c>
      <c r="G221" s="4">
        <v>448863.71</v>
      </c>
      <c r="H221" s="4">
        <v>432642.86000000004</v>
      </c>
      <c r="I221" s="4">
        <v>339495.61</v>
      </c>
      <c r="J221" s="4">
        <v>404181.27999999997</v>
      </c>
      <c r="K221" s="4">
        <v>479129.3</v>
      </c>
      <c r="L221" s="4">
        <v>434655.65</v>
      </c>
      <c r="M221" s="4">
        <v>417575.18000000005</v>
      </c>
      <c r="N221" s="4">
        <v>338837.74000000005</v>
      </c>
      <c r="O221" s="4">
        <v>415406.32</v>
      </c>
      <c r="P221" s="4">
        <v>476592.4</v>
      </c>
      <c r="Q221" s="4">
        <v>509210.81999999995</v>
      </c>
      <c r="R221" s="4">
        <v>457220.3</v>
      </c>
      <c r="S221" s="8">
        <f t="shared" si="9"/>
        <v>432046.35166666663</v>
      </c>
      <c r="T221" s="8">
        <f t="shared" si="10"/>
        <v>25173.948333333363</v>
      </c>
      <c r="U221" s="9">
        <f t="shared" si="11"/>
        <v>5.8266776784995568E-2</v>
      </c>
    </row>
    <row r="222" spans="1:22" outlineLevel="2">
      <c r="A222" t="s">
        <v>202</v>
      </c>
      <c r="B222" t="s">
        <v>203</v>
      </c>
      <c r="C222" t="s">
        <v>204</v>
      </c>
      <c r="D222" t="s">
        <v>205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300000</v>
      </c>
      <c r="Q222" s="4">
        <v>0</v>
      </c>
      <c r="S222" s="8">
        <f t="shared" si="9"/>
        <v>50000</v>
      </c>
      <c r="T222" s="8">
        <f t="shared" si="10"/>
        <v>-50000</v>
      </c>
      <c r="U222" s="9">
        <f t="shared" si="11"/>
        <v>-1</v>
      </c>
    </row>
    <row r="223" spans="1:22" outlineLevel="2">
      <c r="A223" t="s">
        <v>202</v>
      </c>
      <c r="B223" t="s">
        <v>203</v>
      </c>
      <c r="C223" t="s">
        <v>31</v>
      </c>
      <c r="D223" t="s">
        <v>32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S223" s="8">
        <f t="shared" si="9"/>
        <v>0</v>
      </c>
      <c r="T223" s="8">
        <f t="shared" si="10"/>
        <v>0</v>
      </c>
      <c r="U223" s="9" t="e">
        <f t="shared" si="11"/>
        <v>#DIV/0!</v>
      </c>
    </row>
    <row r="224" spans="1:22" outlineLevel="2">
      <c r="A224" t="s">
        <v>202</v>
      </c>
      <c r="B224" t="s">
        <v>203</v>
      </c>
      <c r="C224" t="s">
        <v>142</v>
      </c>
      <c r="D224" t="s">
        <v>143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125000</v>
      </c>
      <c r="K224" s="4">
        <v>0</v>
      </c>
      <c r="L224" s="4">
        <v>26355</v>
      </c>
      <c r="M224" s="4">
        <v>0</v>
      </c>
      <c r="N224" s="4">
        <v>0</v>
      </c>
      <c r="O224" s="4">
        <v>162500</v>
      </c>
      <c r="P224" s="4">
        <v>0</v>
      </c>
      <c r="Q224" s="4">
        <v>0</v>
      </c>
      <c r="R224" s="4">
        <v>123787.48</v>
      </c>
      <c r="S224" s="8">
        <f t="shared" si="9"/>
        <v>31475.833333333332</v>
      </c>
      <c r="T224" s="8">
        <f t="shared" si="10"/>
        <v>92311.646666666667</v>
      </c>
      <c r="U224" s="9">
        <f t="shared" si="11"/>
        <v>2.932778480845093</v>
      </c>
      <c r="V224" t="s">
        <v>896</v>
      </c>
    </row>
    <row r="225" spans="1:22" outlineLevel="2">
      <c r="A225" t="s">
        <v>202</v>
      </c>
      <c r="B225" t="s">
        <v>203</v>
      </c>
      <c r="C225" t="s">
        <v>206</v>
      </c>
      <c r="D225" t="s">
        <v>207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27796.66</v>
      </c>
      <c r="Q225" s="4">
        <v>19593.32</v>
      </c>
      <c r="R225" s="4">
        <v>9796.66</v>
      </c>
      <c r="S225" s="8">
        <f t="shared" si="9"/>
        <v>7898.329999999999</v>
      </c>
      <c r="T225" s="8">
        <f t="shared" si="10"/>
        <v>1898.3300000000008</v>
      </c>
      <c r="U225" s="9">
        <f t="shared" si="11"/>
        <v>0.24034574397372624</v>
      </c>
    </row>
    <row r="226" spans="1:22" outlineLevel="2">
      <c r="A226" t="s">
        <v>202</v>
      </c>
      <c r="B226" t="s">
        <v>203</v>
      </c>
      <c r="C226" t="s">
        <v>144</v>
      </c>
      <c r="D226" t="s">
        <v>145</v>
      </c>
      <c r="E226" s="4">
        <v>205128.82</v>
      </c>
      <c r="F226" s="4">
        <v>74243.45</v>
      </c>
      <c r="G226" s="4">
        <v>212627.49</v>
      </c>
      <c r="H226" s="4">
        <v>146953.57999999999</v>
      </c>
      <c r="I226" s="4">
        <v>225725.56000000003</v>
      </c>
      <c r="J226" s="4">
        <v>65750.540000000008</v>
      </c>
      <c r="K226" s="4">
        <v>186102.11</v>
      </c>
      <c r="L226" s="4">
        <v>191134</v>
      </c>
      <c r="M226" s="4">
        <v>205658.80000000002</v>
      </c>
      <c r="N226" s="4">
        <v>168646.89</v>
      </c>
      <c r="O226" s="4">
        <v>144458.26999999996</v>
      </c>
      <c r="P226" s="4">
        <v>135786.02999999997</v>
      </c>
      <c r="Q226" s="4">
        <v>278387.28000000003</v>
      </c>
      <c r="R226" s="4">
        <v>59583.979999999981</v>
      </c>
      <c r="S226" s="8">
        <f t="shared" si="9"/>
        <v>187345.21166666667</v>
      </c>
      <c r="T226" s="8">
        <f t="shared" si="10"/>
        <v>-127761.23166666669</v>
      </c>
      <c r="U226" s="9">
        <f t="shared" si="11"/>
        <v>-0.68195621617479829</v>
      </c>
      <c r="V226" t="s">
        <v>896</v>
      </c>
    </row>
    <row r="227" spans="1:22" outlineLevel="2">
      <c r="A227" t="s">
        <v>202</v>
      </c>
      <c r="B227" t="s">
        <v>203</v>
      </c>
      <c r="C227" t="s">
        <v>146</v>
      </c>
      <c r="D227" t="s">
        <v>147</v>
      </c>
      <c r="E227" s="4">
        <v>72163.009999999951</v>
      </c>
      <c r="F227" s="4">
        <v>29735.100000000006</v>
      </c>
      <c r="G227" s="4">
        <v>125836.43</v>
      </c>
      <c r="H227" s="4">
        <v>21987.549999999996</v>
      </c>
      <c r="I227" s="4">
        <v>24053.989999999998</v>
      </c>
      <c r="J227" s="4">
        <v>22269.62</v>
      </c>
      <c r="K227" s="4">
        <v>6447.0699999999988</v>
      </c>
      <c r="L227" s="4">
        <v>7619.04</v>
      </c>
      <c r="M227" s="4">
        <v>59698.77</v>
      </c>
      <c r="N227" s="4">
        <v>7709.46</v>
      </c>
      <c r="O227" s="4">
        <v>7460.7899999999991</v>
      </c>
      <c r="P227" s="4">
        <v>28827.040000000001</v>
      </c>
      <c r="Q227" s="4">
        <v>50921.15</v>
      </c>
      <c r="R227" s="4">
        <v>45722.080000000002</v>
      </c>
      <c r="S227" s="8">
        <f t="shared" si="9"/>
        <v>27039.375</v>
      </c>
      <c r="T227" s="8">
        <f t="shared" si="10"/>
        <v>18682.705000000002</v>
      </c>
      <c r="U227" s="9">
        <f t="shared" si="11"/>
        <v>0.69094440977278515</v>
      </c>
      <c r="V227" t="s">
        <v>896</v>
      </c>
    </row>
    <row r="228" spans="1:22" outlineLevel="2">
      <c r="A228" t="s">
        <v>202</v>
      </c>
      <c r="B228" t="s">
        <v>203</v>
      </c>
      <c r="C228" t="s">
        <v>148</v>
      </c>
      <c r="D228" t="s">
        <v>149</v>
      </c>
      <c r="E228" s="4">
        <v>2.57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S228" s="8">
        <f t="shared" si="9"/>
        <v>0</v>
      </c>
      <c r="T228" s="8">
        <f t="shared" si="10"/>
        <v>0</v>
      </c>
      <c r="U228" s="9" t="e">
        <f t="shared" si="11"/>
        <v>#DIV/0!</v>
      </c>
    </row>
    <row r="229" spans="1:22" outlineLevel="2">
      <c r="A229" t="s">
        <v>202</v>
      </c>
      <c r="B229" t="s">
        <v>203</v>
      </c>
      <c r="C229" t="s">
        <v>150</v>
      </c>
      <c r="D229" t="s">
        <v>151</v>
      </c>
      <c r="E229" s="4">
        <v>1008667</v>
      </c>
      <c r="F229" s="4">
        <v>-336717</v>
      </c>
      <c r="G229" s="4">
        <v>134390</v>
      </c>
      <c r="H229" s="4">
        <v>650259.56999999995</v>
      </c>
      <c r="I229" s="4">
        <v>448262.26</v>
      </c>
      <c r="J229" s="4">
        <v>1589413.88</v>
      </c>
      <c r="K229" s="4">
        <v>510735.04</v>
      </c>
      <c r="L229" s="4">
        <v>510735.04</v>
      </c>
      <c r="M229" s="4">
        <v>5510735.04</v>
      </c>
      <c r="N229" s="4">
        <v>482761.94</v>
      </c>
      <c r="O229" s="4">
        <v>482761.94</v>
      </c>
      <c r="P229" s="4">
        <v>-517238.06</v>
      </c>
      <c r="Q229" s="4">
        <v>414502.27</v>
      </c>
      <c r="R229" s="4">
        <v>263385.80999999994</v>
      </c>
      <c r="S229" s="8">
        <f t="shared" si="9"/>
        <v>1147376.361666667</v>
      </c>
      <c r="T229" s="8">
        <f t="shared" si="10"/>
        <v>-883990.5516666671</v>
      </c>
      <c r="U229" s="9">
        <f t="shared" si="11"/>
        <v>-0.77044514877628434</v>
      </c>
      <c r="V229" t="s">
        <v>896</v>
      </c>
    </row>
    <row r="230" spans="1:22" outlineLevel="2">
      <c r="A230" t="s">
        <v>202</v>
      </c>
      <c r="B230" t="s">
        <v>203</v>
      </c>
      <c r="C230" t="s">
        <v>208</v>
      </c>
      <c r="D230" t="s">
        <v>209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373558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S230" s="8">
        <f t="shared" si="9"/>
        <v>62259.666666666664</v>
      </c>
      <c r="T230" s="8">
        <f t="shared" si="10"/>
        <v>-62259.666666666664</v>
      </c>
      <c r="U230" s="9">
        <f t="shared" si="11"/>
        <v>-1</v>
      </c>
    </row>
    <row r="231" spans="1:22" outlineLevel="2">
      <c r="A231" t="s">
        <v>202</v>
      </c>
      <c r="B231" t="s">
        <v>203</v>
      </c>
      <c r="C231" t="s">
        <v>210</v>
      </c>
      <c r="D231" t="s">
        <v>211</v>
      </c>
      <c r="E231" s="4">
        <v>0</v>
      </c>
      <c r="F231" s="4">
        <v>0</v>
      </c>
      <c r="G231" s="4">
        <v>0</v>
      </c>
      <c r="H231" s="4">
        <v>-1010.81</v>
      </c>
      <c r="I231" s="4">
        <v>-140.22</v>
      </c>
      <c r="J231" s="4">
        <v>0</v>
      </c>
      <c r="K231" s="4">
        <v>-28.71</v>
      </c>
      <c r="L231" s="4">
        <v>-558.35</v>
      </c>
      <c r="M231" s="4">
        <v>-645.66</v>
      </c>
      <c r="N231" s="4">
        <v>0</v>
      </c>
      <c r="O231" s="4">
        <v>0</v>
      </c>
      <c r="P231" s="4">
        <v>0</v>
      </c>
      <c r="Q231" s="4">
        <v>0</v>
      </c>
      <c r="S231" s="8">
        <f t="shared" si="9"/>
        <v>-200.66833333333332</v>
      </c>
      <c r="T231" s="8">
        <f t="shared" si="10"/>
        <v>200.66833333333332</v>
      </c>
      <c r="U231" s="9">
        <f t="shared" si="11"/>
        <v>-1</v>
      </c>
    </row>
    <row r="232" spans="1:22" outlineLevel="2">
      <c r="A232" t="s">
        <v>202</v>
      </c>
      <c r="B232" t="s">
        <v>203</v>
      </c>
      <c r="C232" t="s">
        <v>152</v>
      </c>
      <c r="D232" t="s">
        <v>153</v>
      </c>
      <c r="E232" s="4">
        <v>47213.760000000009</v>
      </c>
      <c r="F232" s="4">
        <v>36606.639999999999</v>
      </c>
      <c r="G232" s="4">
        <v>143297.63</v>
      </c>
      <c r="H232" s="4">
        <v>2093.6199999999994</v>
      </c>
      <c r="I232" s="4">
        <v>5047.6600000000008</v>
      </c>
      <c r="J232" s="4">
        <v>21409.749999999996</v>
      </c>
      <c r="K232" s="4">
        <v>19085.79</v>
      </c>
      <c r="L232" s="4">
        <v>16805.329999999998</v>
      </c>
      <c r="M232" s="4">
        <v>30458.76</v>
      </c>
      <c r="N232" s="4">
        <v>18877.600000000002</v>
      </c>
      <c r="O232" s="4">
        <v>27831.449999999986</v>
      </c>
      <c r="P232" s="4">
        <v>322530.34999999998</v>
      </c>
      <c r="Q232" s="4">
        <v>41332.57</v>
      </c>
      <c r="R232" s="4">
        <v>786741.81</v>
      </c>
      <c r="S232" s="8">
        <f t="shared" si="9"/>
        <v>76306.009999999995</v>
      </c>
      <c r="T232" s="8">
        <f t="shared" si="10"/>
        <v>710435.8</v>
      </c>
      <c r="U232" s="9">
        <f t="shared" si="11"/>
        <v>9.3103518320509764</v>
      </c>
      <c r="V232" t="s">
        <v>896</v>
      </c>
    </row>
    <row r="233" spans="1:22" outlineLevel="2">
      <c r="A233" t="s">
        <v>202</v>
      </c>
      <c r="B233" t="s">
        <v>203</v>
      </c>
      <c r="C233" t="s">
        <v>154</v>
      </c>
      <c r="D233" t="s">
        <v>155</v>
      </c>
      <c r="E233" s="4">
        <v>1640.9</v>
      </c>
      <c r="F233" s="4">
        <v>35.01</v>
      </c>
      <c r="G233" s="4">
        <v>55.99</v>
      </c>
      <c r="H233" s="4">
        <v>0</v>
      </c>
      <c r="I233" s="4">
        <v>0</v>
      </c>
      <c r="J233" s="4">
        <v>0</v>
      </c>
      <c r="K233" s="4">
        <v>366.9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1825.8000000000002</v>
      </c>
      <c r="S233" s="8">
        <f t="shared" si="9"/>
        <v>304.3</v>
      </c>
      <c r="T233" s="8">
        <f t="shared" si="10"/>
        <v>-304.3</v>
      </c>
      <c r="U233" s="9">
        <f t="shared" si="11"/>
        <v>-1</v>
      </c>
    </row>
    <row r="234" spans="1:22" outlineLevel="2">
      <c r="A234" t="s">
        <v>202</v>
      </c>
      <c r="B234" t="s">
        <v>203</v>
      </c>
      <c r="C234" t="s">
        <v>33</v>
      </c>
      <c r="D234" t="s">
        <v>34</v>
      </c>
      <c r="E234" s="4">
        <v>0</v>
      </c>
      <c r="F234" s="4">
        <v>31890</v>
      </c>
      <c r="G234" s="4">
        <v>12330</v>
      </c>
      <c r="H234" s="4">
        <v>2795</v>
      </c>
      <c r="I234" s="4">
        <v>0</v>
      </c>
      <c r="J234" s="4">
        <v>811.37</v>
      </c>
      <c r="K234" s="4">
        <v>0</v>
      </c>
      <c r="L234" s="4">
        <v>1950</v>
      </c>
      <c r="M234" s="4">
        <v>0</v>
      </c>
      <c r="N234" s="4">
        <v>0</v>
      </c>
      <c r="O234" s="4">
        <v>0</v>
      </c>
      <c r="P234" s="4">
        <v>1800</v>
      </c>
      <c r="Q234" s="4">
        <v>0</v>
      </c>
      <c r="S234" s="8">
        <f t="shared" si="9"/>
        <v>625</v>
      </c>
      <c r="T234" s="8">
        <f t="shared" si="10"/>
        <v>-625</v>
      </c>
      <c r="U234" s="9">
        <f t="shared" si="11"/>
        <v>-1</v>
      </c>
    </row>
    <row r="235" spans="1:22" outlineLevel="2">
      <c r="A235" t="s">
        <v>202</v>
      </c>
      <c r="B235" t="s">
        <v>203</v>
      </c>
      <c r="C235" t="s">
        <v>212</v>
      </c>
      <c r="D235" t="s">
        <v>213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43750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S235" s="8">
        <f t="shared" si="9"/>
        <v>7291.666666666667</v>
      </c>
      <c r="T235" s="8">
        <f t="shared" si="10"/>
        <v>-7291.666666666667</v>
      </c>
      <c r="U235" s="9">
        <f t="shared" si="11"/>
        <v>-1</v>
      </c>
    </row>
    <row r="236" spans="1:22" outlineLevel="2">
      <c r="A236" t="s">
        <v>202</v>
      </c>
      <c r="B236" t="s">
        <v>203</v>
      </c>
      <c r="C236" t="s">
        <v>35</v>
      </c>
      <c r="D236" t="s">
        <v>36</v>
      </c>
      <c r="E236" s="4">
        <v>0</v>
      </c>
      <c r="F236" s="4">
        <v>520.01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S236" s="8">
        <f t="shared" si="9"/>
        <v>0</v>
      </c>
      <c r="T236" s="8">
        <f t="shared" si="10"/>
        <v>0</v>
      </c>
      <c r="U236" s="9" t="e">
        <f t="shared" si="11"/>
        <v>#DIV/0!</v>
      </c>
    </row>
    <row r="237" spans="1:22" outlineLevel="2">
      <c r="A237" t="s">
        <v>202</v>
      </c>
      <c r="B237" t="s">
        <v>203</v>
      </c>
      <c r="C237" t="s">
        <v>156</v>
      </c>
      <c r="D237" t="s">
        <v>157</v>
      </c>
      <c r="E237" s="4">
        <v>2696.2</v>
      </c>
      <c r="F237" s="4">
        <v>2053.7799999999997</v>
      </c>
      <c r="G237" s="4">
        <v>2066.25</v>
      </c>
      <c r="H237" s="4">
        <v>554.79</v>
      </c>
      <c r="I237" s="4">
        <v>0</v>
      </c>
      <c r="J237" s="4">
        <v>0</v>
      </c>
      <c r="K237" s="4">
        <v>0</v>
      </c>
      <c r="L237" s="4">
        <v>5310.84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S237" s="8">
        <f t="shared" si="9"/>
        <v>885.14</v>
      </c>
      <c r="T237" s="8">
        <f t="shared" si="10"/>
        <v>-885.14</v>
      </c>
      <c r="U237" s="9">
        <f t="shared" si="11"/>
        <v>-1</v>
      </c>
    </row>
    <row r="238" spans="1:22" outlineLevel="2">
      <c r="A238" t="s">
        <v>202</v>
      </c>
      <c r="B238" t="s">
        <v>203</v>
      </c>
      <c r="C238" t="s">
        <v>214</v>
      </c>
      <c r="D238" t="s">
        <v>215</v>
      </c>
      <c r="E238" s="4">
        <v>0</v>
      </c>
      <c r="F238" s="4">
        <v>194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S238" s="8">
        <f t="shared" si="9"/>
        <v>0</v>
      </c>
      <c r="T238" s="8">
        <f t="shared" si="10"/>
        <v>0</v>
      </c>
      <c r="U238" s="9" t="e">
        <f t="shared" si="11"/>
        <v>#DIV/0!</v>
      </c>
    </row>
    <row r="239" spans="1:22" outlineLevel="2">
      <c r="A239" t="s">
        <v>202</v>
      </c>
      <c r="B239" t="s">
        <v>203</v>
      </c>
      <c r="C239" t="s">
        <v>180</v>
      </c>
      <c r="D239" t="s">
        <v>181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S239" s="8">
        <f t="shared" si="9"/>
        <v>0</v>
      </c>
      <c r="T239" s="8">
        <f t="shared" si="10"/>
        <v>0</v>
      </c>
      <c r="U239" s="9" t="e">
        <f t="shared" si="11"/>
        <v>#DIV/0!</v>
      </c>
    </row>
    <row r="240" spans="1:22" outlineLevel="2">
      <c r="A240" t="s">
        <v>202</v>
      </c>
      <c r="B240" t="s">
        <v>203</v>
      </c>
      <c r="C240" t="s">
        <v>216</v>
      </c>
      <c r="D240" t="s">
        <v>217</v>
      </c>
      <c r="E240" s="4">
        <v>0</v>
      </c>
      <c r="F240" s="4">
        <v>489.91</v>
      </c>
      <c r="G240" s="4">
        <v>-489.91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S240" s="8">
        <f t="shared" si="9"/>
        <v>0</v>
      </c>
      <c r="T240" s="8">
        <f t="shared" si="10"/>
        <v>0</v>
      </c>
      <c r="U240" s="9" t="e">
        <f t="shared" si="11"/>
        <v>#DIV/0!</v>
      </c>
    </row>
    <row r="241" spans="1:22" outlineLevel="2">
      <c r="A241" t="s">
        <v>202</v>
      </c>
      <c r="B241" t="s">
        <v>203</v>
      </c>
      <c r="C241" t="s">
        <v>158</v>
      </c>
      <c r="D241" t="s">
        <v>159</v>
      </c>
      <c r="E241" s="4">
        <v>1339015.04</v>
      </c>
      <c r="F241" s="4">
        <v>1339015.3700000003</v>
      </c>
      <c r="G241" s="4">
        <v>937799.39000000106</v>
      </c>
      <c r="H241" s="4">
        <v>1342704.9500000002</v>
      </c>
      <c r="I241" s="4">
        <v>1339015.3699999999</v>
      </c>
      <c r="J241" s="4">
        <v>8774677.7400000002</v>
      </c>
      <c r="K241" s="4">
        <v>1339015.3699999999</v>
      </c>
      <c r="L241" s="4">
        <v>1339015.3700000001</v>
      </c>
      <c r="M241" s="4">
        <v>24326161.749999996</v>
      </c>
      <c r="N241" s="4">
        <v>1339015.3700000001</v>
      </c>
      <c r="O241" s="4">
        <v>1339015.3699999999</v>
      </c>
      <c r="P241" s="4">
        <v>8137240.3099999977</v>
      </c>
      <c r="Q241" s="4">
        <v>900000</v>
      </c>
      <c r="R241" s="4">
        <v>1120833.3400000001</v>
      </c>
      <c r="S241" s="8">
        <f t="shared" si="9"/>
        <v>6230074.6949999994</v>
      </c>
      <c r="T241" s="8">
        <f t="shared" si="10"/>
        <v>-5109241.3549999995</v>
      </c>
      <c r="U241" s="9">
        <f t="shared" si="11"/>
        <v>-0.82009311366691406</v>
      </c>
      <c r="V241" t="s">
        <v>896</v>
      </c>
    </row>
    <row r="242" spans="1:22" outlineLevel="2">
      <c r="A242" t="s">
        <v>202</v>
      </c>
      <c r="B242" t="s">
        <v>203</v>
      </c>
      <c r="C242" t="s">
        <v>160</v>
      </c>
      <c r="D242" t="s">
        <v>161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8278.7999999999993</v>
      </c>
      <c r="N242" s="4">
        <v>0</v>
      </c>
      <c r="O242" s="4">
        <v>0</v>
      </c>
      <c r="P242" s="4">
        <v>314.14999999999998</v>
      </c>
      <c r="Q242" s="4">
        <v>0</v>
      </c>
      <c r="S242" s="8">
        <f t="shared" si="9"/>
        <v>1432.1583333333331</v>
      </c>
      <c r="T242" s="8">
        <f t="shared" si="10"/>
        <v>-1432.1583333333331</v>
      </c>
      <c r="U242" s="9">
        <f t="shared" si="11"/>
        <v>-1</v>
      </c>
    </row>
    <row r="243" spans="1:22" outlineLevel="2">
      <c r="A243" t="s">
        <v>202</v>
      </c>
      <c r="B243" t="s">
        <v>203</v>
      </c>
      <c r="C243" t="s">
        <v>218</v>
      </c>
      <c r="D243" t="s">
        <v>219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6638</v>
      </c>
      <c r="S243" s="8">
        <f t="shared" si="9"/>
        <v>0</v>
      </c>
      <c r="T243" s="8">
        <f t="shared" si="10"/>
        <v>6638</v>
      </c>
      <c r="U243" s="9" t="e">
        <f t="shared" si="11"/>
        <v>#DIV/0!</v>
      </c>
      <c r="V243" t="s">
        <v>895</v>
      </c>
    </row>
    <row r="244" spans="1:22" outlineLevel="2">
      <c r="A244" t="s">
        <v>202</v>
      </c>
      <c r="B244" t="s">
        <v>203</v>
      </c>
      <c r="C244" t="s">
        <v>47</v>
      </c>
      <c r="D244" t="s">
        <v>48</v>
      </c>
      <c r="E244" s="4">
        <v>1175.7</v>
      </c>
      <c r="F244" s="4">
        <v>-12167.95</v>
      </c>
      <c r="G244" s="4">
        <v>1182.72</v>
      </c>
      <c r="H244" s="4">
        <v>0</v>
      </c>
      <c r="I244" s="4">
        <v>-2572.41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S244" s="8">
        <f t="shared" si="9"/>
        <v>0</v>
      </c>
      <c r="T244" s="8">
        <f t="shared" si="10"/>
        <v>0</v>
      </c>
      <c r="U244" s="9" t="e">
        <f t="shared" si="11"/>
        <v>#DIV/0!</v>
      </c>
    </row>
    <row r="245" spans="1:22" outlineLevel="2">
      <c r="A245" t="s">
        <v>202</v>
      </c>
      <c r="B245" t="s">
        <v>203</v>
      </c>
      <c r="C245" t="s">
        <v>49</v>
      </c>
      <c r="D245" t="s">
        <v>50</v>
      </c>
      <c r="E245" s="4">
        <v>0</v>
      </c>
      <c r="F245" s="4">
        <v>19833</v>
      </c>
      <c r="G245" s="4">
        <v>6618.7599999999993</v>
      </c>
      <c r="H245" s="4">
        <v>6618.65</v>
      </c>
      <c r="I245" s="4">
        <v>6618.65</v>
      </c>
      <c r="J245" s="4">
        <v>-26436.35</v>
      </c>
      <c r="K245" s="4">
        <v>7.7599999999993088</v>
      </c>
      <c r="L245" s="4">
        <v>7.65</v>
      </c>
      <c r="M245" s="4">
        <v>0</v>
      </c>
      <c r="N245" s="4">
        <v>15.410000000000002</v>
      </c>
      <c r="O245" s="4">
        <v>7.65</v>
      </c>
      <c r="P245" s="4">
        <v>7.76</v>
      </c>
      <c r="Q245" s="4">
        <v>7.65</v>
      </c>
      <c r="R245" s="4">
        <v>7.7600000000000007</v>
      </c>
      <c r="S245" s="8">
        <f t="shared" si="9"/>
        <v>7.6866666666666665</v>
      </c>
      <c r="T245" s="8">
        <f t="shared" si="10"/>
        <v>7.3333333333334139E-2</v>
      </c>
      <c r="U245" s="9">
        <f t="shared" si="11"/>
        <v>9.5403295750217873E-3</v>
      </c>
    </row>
    <row r="246" spans="1:22" outlineLevel="2">
      <c r="A246" t="s">
        <v>202</v>
      </c>
      <c r="B246" t="s">
        <v>203</v>
      </c>
      <c r="C246" t="s">
        <v>164</v>
      </c>
      <c r="D246" t="s">
        <v>165</v>
      </c>
      <c r="E246" s="4">
        <v>700</v>
      </c>
      <c r="F246" s="4">
        <v>490</v>
      </c>
      <c r="G246" s="4">
        <v>455</v>
      </c>
      <c r="H246" s="4">
        <v>632.64</v>
      </c>
      <c r="I246" s="4">
        <v>280</v>
      </c>
      <c r="J246" s="4">
        <v>420</v>
      </c>
      <c r="K246" s="4">
        <v>420</v>
      </c>
      <c r="L246" s="4">
        <v>630</v>
      </c>
      <c r="M246" s="4">
        <v>420</v>
      </c>
      <c r="N246" s="4">
        <v>350</v>
      </c>
      <c r="O246" s="4">
        <v>350</v>
      </c>
      <c r="P246" s="4">
        <v>350</v>
      </c>
      <c r="Q246" s="4">
        <v>630</v>
      </c>
      <c r="R246" s="4">
        <v>420</v>
      </c>
      <c r="S246" s="8">
        <f t="shared" si="9"/>
        <v>455</v>
      </c>
      <c r="T246" s="8">
        <f t="shared" si="10"/>
        <v>-35</v>
      </c>
      <c r="U246" s="9">
        <f t="shared" si="11"/>
        <v>-7.6923076923076927E-2</v>
      </c>
    </row>
    <row r="247" spans="1:22" outlineLevel="2">
      <c r="A247" t="s">
        <v>202</v>
      </c>
      <c r="B247" t="s">
        <v>203</v>
      </c>
      <c r="C247" t="s">
        <v>220</v>
      </c>
      <c r="D247" t="s">
        <v>221</v>
      </c>
      <c r="E247" s="4">
        <v>0</v>
      </c>
      <c r="F247" s="4">
        <v>0</v>
      </c>
      <c r="G247" s="4">
        <v>0</v>
      </c>
      <c r="H247" s="4">
        <v>411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S247" s="8">
        <f t="shared" si="9"/>
        <v>0</v>
      </c>
      <c r="T247" s="8">
        <f t="shared" si="10"/>
        <v>0</v>
      </c>
      <c r="U247" s="9" t="e">
        <f t="shared" si="11"/>
        <v>#DIV/0!</v>
      </c>
    </row>
    <row r="248" spans="1:22" outlineLevel="2">
      <c r="A248" t="s">
        <v>202</v>
      </c>
      <c r="B248" t="s">
        <v>203</v>
      </c>
      <c r="C248" t="s">
        <v>55</v>
      </c>
      <c r="D248" t="s">
        <v>56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126.35</v>
      </c>
      <c r="K248" s="4">
        <v>0</v>
      </c>
      <c r="L248" s="4">
        <v>0</v>
      </c>
      <c r="M248" s="4">
        <v>0</v>
      </c>
      <c r="N248" s="4">
        <v>0</v>
      </c>
      <c r="O248" s="4">
        <v>26.1</v>
      </c>
      <c r="P248" s="4">
        <v>0</v>
      </c>
      <c r="Q248" s="4">
        <v>0</v>
      </c>
      <c r="S248" s="8">
        <f t="shared" si="9"/>
        <v>4.3500000000000005</v>
      </c>
      <c r="T248" s="8">
        <f t="shared" si="10"/>
        <v>-4.3500000000000005</v>
      </c>
      <c r="U248" s="9">
        <f t="shared" si="11"/>
        <v>-1</v>
      </c>
    </row>
    <row r="249" spans="1:22" outlineLevel="2">
      <c r="A249" t="s">
        <v>202</v>
      </c>
      <c r="B249" t="s">
        <v>203</v>
      </c>
      <c r="C249" t="s">
        <v>196</v>
      </c>
      <c r="D249" t="s">
        <v>197</v>
      </c>
      <c r="E249" s="4">
        <v>0</v>
      </c>
      <c r="F249" s="4">
        <v>226.2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S249" s="8">
        <f t="shared" si="9"/>
        <v>0</v>
      </c>
      <c r="T249" s="8">
        <f t="shared" si="10"/>
        <v>0</v>
      </c>
      <c r="U249" s="9" t="e">
        <f t="shared" si="11"/>
        <v>#DIV/0!</v>
      </c>
    </row>
    <row r="250" spans="1:22" outlineLevel="2">
      <c r="A250" t="s">
        <v>202</v>
      </c>
      <c r="B250" t="s">
        <v>203</v>
      </c>
      <c r="C250" t="s">
        <v>63</v>
      </c>
      <c r="D250" t="s">
        <v>64</v>
      </c>
      <c r="E250" s="4">
        <v>0</v>
      </c>
      <c r="F250" s="4">
        <v>3170.73</v>
      </c>
      <c r="G250" s="4">
        <v>-196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17.600000000000001</v>
      </c>
      <c r="P250" s="4">
        <v>0</v>
      </c>
      <c r="Q250" s="4">
        <v>0</v>
      </c>
      <c r="S250" s="8">
        <f t="shared" si="9"/>
        <v>2.9333333333333336</v>
      </c>
      <c r="T250" s="8">
        <f t="shared" si="10"/>
        <v>-2.9333333333333336</v>
      </c>
      <c r="U250" s="9">
        <f t="shared" si="11"/>
        <v>-1</v>
      </c>
    </row>
    <row r="251" spans="1:22" outlineLevel="2">
      <c r="A251" t="s">
        <v>202</v>
      </c>
      <c r="B251" t="s">
        <v>203</v>
      </c>
      <c r="C251" t="s">
        <v>65</v>
      </c>
      <c r="D251" t="s">
        <v>66</v>
      </c>
      <c r="E251" s="4">
        <v>0</v>
      </c>
      <c r="F251" s="4">
        <v>0</v>
      </c>
      <c r="G251" s="4">
        <v>0</v>
      </c>
      <c r="H251" s="4">
        <v>134.86000000000001</v>
      </c>
      <c r="I251" s="4">
        <v>0</v>
      </c>
      <c r="J251" s="4">
        <v>578.02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S251" s="8">
        <f t="shared" si="9"/>
        <v>0</v>
      </c>
      <c r="T251" s="8">
        <f t="shared" si="10"/>
        <v>0</v>
      </c>
      <c r="U251" s="9" t="e">
        <f t="shared" si="11"/>
        <v>#DIV/0!</v>
      </c>
    </row>
    <row r="252" spans="1:22" outlineLevel="2">
      <c r="A252" t="s">
        <v>202</v>
      </c>
      <c r="B252" t="s">
        <v>203</v>
      </c>
      <c r="C252" t="s">
        <v>83</v>
      </c>
      <c r="D252" t="s">
        <v>84</v>
      </c>
      <c r="E252" s="4">
        <v>394.68000000000006</v>
      </c>
      <c r="F252" s="4">
        <v>787.51</v>
      </c>
      <c r="G252" s="4">
        <v>504.23999999999995</v>
      </c>
      <c r="H252" s="4">
        <v>1380.9700000000003</v>
      </c>
      <c r="I252" s="4">
        <v>946.20999999999981</v>
      </c>
      <c r="J252" s="4">
        <v>513.49</v>
      </c>
      <c r="K252" s="4">
        <v>1240.7399999999998</v>
      </c>
      <c r="L252" s="4">
        <v>1008.9799999999999</v>
      </c>
      <c r="M252" s="4">
        <v>819.62</v>
      </c>
      <c r="N252" s="4">
        <v>806.9</v>
      </c>
      <c r="O252" s="4">
        <v>727.17999999999984</v>
      </c>
      <c r="P252" s="4">
        <v>735.13999999999987</v>
      </c>
      <c r="Q252" s="4">
        <v>5775.4599999999991</v>
      </c>
      <c r="R252" s="4">
        <v>452.38</v>
      </c>
      <c r="S252" s="8">
        <f t="shared" si="9"/>
        <v>1645.5466666666664</v>
      </c>
      <c r="T252" s="8">
        <f t="shared" si="10"/>
        <v>-1193.1666666666665</v>
      </c>
      <c r="U252" s="9">
        <f t="shared" si="11"/>
        <v>-0.7250883191806573</v>
      </c>
    </row>
    <row r="253" spans="1:22" outlineLevel="2">
      <c r="A253" t="s">
        <v>202</v>
      </c>
      <c r="B253" t="s">
        <v>203</v>
      </c>
      <c r="C253" t="s">
        <v>87</v>
      </c>
      <c r="D253" t="s">
        <v>88</v>
      </c>
      <c r="E253" s="4">
        <v>0</v>
      </c>
      <c r="F253" s="4">
        <v>0</v>
      </c>
      <c r="G253" s="4">
        <v>0</v>
      </c>
      <c r="H253" s="4">
        <v>1594.93</v>
      </c>
      <c r="I253" s="4">
        <v>0</v>
      </c>
      <c r="J253" s="4">
        <v>29.6</v>
      </c>
      <c r="K253" s="4">
        <v>0</v>
      </c>
      <c r="L253" s="4">
        <v>0</v>
      </c>
      <c r="M253" s="4">
        <v>0</v>
      </c>
      <c r="N253" s="4">
        <v>2193.9</v>
      </c>
      <c r="O253" s="4">
        <v>0</v>
      </c>
      <c r="P253" s="4">
        <v>0</v>
      </c>
      <c r="Q253" s="4">
        <v>60.6</v>
      </c>
      <c r="S253" s="8">
        <f t="shared" si="9"/>
        <v>375.75</v>
      </c>
      <c r="T253" s="8">
        <f t="shared" si="10"/>
        <v>-375.75</v>
      </c>
      <c r="U253" s="9">
        <f t="shared" si="11"/>
        <v>-1</v>
      </c>
    </row>
    <row r="254" spans="1:22" outlineLevel="2">
      <c r="A254" t="s">
        <v>202</v>
      </c>
      <c r="B254" t="s">
        <v>203</v>
      </c>
      <c r="C254" t="s">
        <v>166</v>
      </c>
      <c r="D254" t="s">
        <v>167</v>
      </c>
      <c r="E254" s="4">
        <v>0</v>
      </c>
      <c r="F254" s="4">
        <v>1700</v>
      </c>
      <c r="G254" s="4">
        <v>0</v>
      </c>
      <c r="H254" s="4">
        <v>3841.95</v>
      </c>
      <c r="I254" s="4">
        <v>1794.97</v>
      </c>
      <c r="J254" s="4">
        <v>0</v>
      </c>
      <c r="K254" s="4">
        <v>0</v>
      </c>
      <c r="L254" s="4">
        <v>3850</v>
      </c>
      <c r="M254" s="4">
        <v>0</v>
      </c>
      <c r="N254" s="4">
        <v>0</v>
      </c>
      <c r="O254" s="4">
        <v>0</v>
      </c>
      <c r="P254" s="4">
        <v>0</v>
      </c>
      <c r="Q254" s="4">
        <v>1952.21</v>
      </c>
      <c r="S254" s="8">
        <f t="shared" si="9"/>
        <v>967.03499999999997</v>
      </c>
      <c r="T254" s="8">
        <f t="shared" si="10"/>
        <v>-967.03499999999997</v>
      </c>
      <c r="U254" s="9">
        <f t="shared" si="11"/>
        <v>-1</v>
      </c>
    </row>
    <row r="255" spans="1:22" outlineLevel="2">
      <c r="A255" t="s">
        <v>202</v>
      </c>
      <c r="B255" t="s">
        <v>203</v>
      </c>
      <c r="C255" t="s">
        <v>93</v>
      </c>
      <c r="D255" t="s">
        <v>94</v>
      </c>
      <c r="E255" s="4">
        <v>0</v>
      </c>
      <c r="F255" s="4">
        <v>389.77</v>
      </c>
      <c r="G255" s="4">
        <v>0</v>
      </c>
      <c r="H255" s="4">
        <v>0</v>
      </c>
      <c r="I255" s="4">
        <v>668.92</v>
      </c>
      <c r="J255" s="4">
        <v>0</v>
      </c>
      <c r="K255" s="4">
        <v>237.52</v>
      </c>
      <c r="L255" s="4">
        <v>123.95</v>
      </c>
      <c r="M255" s="4">
        <v>125.14</v>
      </c>
      <c r="N255" s="4">
        <v>0</v>
      </c>
      <c r="O255" s="4">
        <v>132.47</v>
      </c>
      <c r="P255" s="4">
        <v>214.89</v>
      </c>
      <c r="Q255" s="4">
        <v>0</v>
      </c>
      <c r="S255" s="8">
        <f t="shared" si="9"/>
        <v>99.408333333333346</v>
      </c>
      <c r="T255" s="8">
        <f t="shared" si="10"/>
        <v>-99.408333333333346</v>
      </c>
      <c r="U255" s="9">
        <f t="shared" si="11"/>
        <v>-1</v>
      </c>
    </row>
    <row r="256" spans="1:22" outlineLevel="2">
      <c r="A256" t="s">
        <v>202</v>
      </c>
      <c r="B256" t="s">
        <v>203</v>
      </c>
      <c r="C256" t="s">
        <v>222</v>
      </c>
      <c r="D256" t="s">
        <v>223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17340</v>
      </c>
      <c r="S256" s="8">
        <f t="shared" si="9"/>
        <v>0</v>
      </c>
      <c r="T256" s="8">
        <f t="shared" si="10"/>
        <v>17340</v>
      </c>
      <c r="U256" s="9" t="e">
        <f t="shared" si="11"/>
        <v>#DIV/0!</v>
      </c>
      <c r="V256" t="s">
        <v>895</v>
      </c>
    </row>
    <row r="257" spans="1:22" outlineLevel="2">
      <c r="A257" t="s">
        <v>202</v>
      </c>
      <c r="B257" t="s">
        <v>203</v>
      </c>
      <c r="C257" t="s">
        <v>224</v>
      </c>
      <c r="D257" t="s">
        <v>225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2000</v>
      </c>
      <c r="S257" s="8">
        <f t="shared" si="9"/>
        <v>333.33333333333331</v>
      </c>
      <c r="T257" s="8">
        <f t="shared" si="10"/>
        <v>-333.33333333333331</v>
      </c>
      <c r="U257" s="9">
        <f t="shared" si="11"/>
        <v>-1</v>
      </c>
    </row>
    <row r="258" spans="1:22" outlineLevel="2">
      <c r="A258" t="s">
        <v>202</v>
      </c>
      <c r="B258" t="s">
        <v>203</v>
      </c>
      <c r="C258" t="s">
        <v>168</v>
      </c>
      <c r="D258" t="s">
        <v>169</v>
      </c>
      <c r="E258" s="4">
        <v>5500</v>
      </c>
      <c r="F258" s="4">
        <v>0</v>
      </c>
      <c r="G258" s="4">
        <v>2415.1</v>
      </c>
      <c r="H258" s="4">
        <v>-485.1</v>
      </c>
      <c r="I258" s="4">
        <v>5380</v>
      </c>
      <c r="J258" s="4">
        <v>4884</v>
      </c>
      <c r="K258" s="4">
        <v>-1717.17</v>
      </c>
      <c r="L258" s="4">
        <v>1362.5</v>
      </c>
      <c r="M258" s="4">
        <v>138.59999999999991</v>
      </c>
      <c r="N258" s="4">
        <v>0</v>
      </c>
      <c r="O258" s="4">
        <v>2040.6599999999999</v>
      </c>
      <c r="P258" s="4">
        <v>-1663.1999999999998</v>
      </c>
      <c r="Q258" s="4">
        <v>0</v>
      </c>
      <c r="R258" s="4">
        <v>12839.3</v>
      </c>
      <c r="S258" s="8">
        <f t="shared" si="9"/>
        <v>313.09333333333331</v>
      </c>
      <c r="T258" s="8">
        <f t="shared" si="10"/>
        <v>12526.206666666665</v>
      </c>
      <c r="U258" s="9">
        <f t="shared" si="11"/>
        <v>40.007899667830678</v>
      </c>
    </row>
    <row r="259" spans="1:22" outlineLevel="2">
      <c r="A259" t="s">
        <v>202</v>
      </c>
      <c r="B259" t="s">
        <v>203</v>
      </c>
      <c r="C259" t="s">
        <v>99</v>
      </c>
      <c r="D259" t="s">
        <v>100</v>
      </c>
      <c r="E259" s="4">
        <v>10400</v>
      </c>
      <c r="F259" s="4">
        <v>-5200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10000</v>
      </c>
      <c r="P259" s="4">
        <v>0</v>
      </c>
      <c r="Q259" s="4">
        <v>0</v>
      </c>
      <c r="S259" s="8">
        <f t="shared" ref="S259:S322" si="12">AVERAGE(L259:Q259)</f>
        <v>1666.6666666666667</v>
      </c>
      <c r="T259" s="8">
        <f t="shared" ref="T259:T322" si="13">R259-S259</f>
        <v>-1666.6666666666667</v>
      </c>
      <c r="U259" s="9">
        <f t="shared" ref="U259:U322" si="14">(R259-S259)/S259</f>
        <v>-1</v>
      </c>
    </row>
    <row r="260" spans="1:22" outlineLevel="2">
      <c r="A260" t="s">
        <v>202</v>
      </c>
      <c r="B260" t="s">
        <v>203</v>
      </c>
      <c r="C260" t="s">
        <v>101</v>
      </c>
      <c r="D260" t="s">
        <v>102</v>
      </c>
      <c r="E260" s="4">
        <v>373.86999999999995</v>
      </c>
      <c r="F260" s="4">
        <v>136459.72</v>
      </c>
      <c r="G260" s="4">
        <v>104646.54000000001</v>
      </c>
      <c r="H260" s="4">
        <v>-46594.64</v>
      </c>
      <c r="I260" s="4">
        <v>1599.3899999999994</v>
      </c>
      <c r="J260" s="4">
        <v>93450</v>
      </c>
      <c r="K260" s="4">
        <v>-93750</v>
      </c>
      <c r="L260" s="4">
        <v>-4.3600000000000003</v>
      </c>
      <c r="M260" s="4">
        <v>4000</v>
      </c>
      <c r="N260" s="4">
        <v>0</v>
      </c>
      <c r="O260" s="4">
        <v>0</v>
      </c>
      <c r="P260" s="4">
        <v>14536.17</v>
      </c>
      <c r="Q260" s="4">
        <v>4089.98</v>
      </c>
      <c r="R260" s="4">
        <v>7613.91</v>
      </c>
      <c r="S260" s="8">
        <f t="shared" si="12"/>
        <v>3770.2983333333336</v>
      </c>
      <c r="T260" s="8">
        <f t="shared" si="13"/>
        <v>3843.6116666666662</v>
      </c>
      <c r="U260" s="9">
        <f t="shared" si="14"/>
        <v>1.0194449687668392</v>
      </c>
    </row>
    <row r="261" spans="1:22" outlineLevel="2">
      <c r="A261" t="s">
        <v>202</v>
      </c>
      <c r="B261" t="s">
        <v>203</v>
      </c>
      <c r="C261" t="s">
        <v>103</v>
      </c>
      <c r="D261" t="s">
        <v>104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80000</v>
      </c>
      <c r="S261" s="8">
        <f t="shared" si="12"/>
        <v>13333.333333333334</v>
      </c>
      <c r="T261" s="8">
        <f t="shared" si="13"/>
        <v>-13333.333333333334</v>
      </c>
      <c r="U261" s="9">
        <f t="shared" si="14"/>
        <v>-1</v>
      </c>
    </row>
    <row r="262" spans="1:22" outlineLevel="2">
      <c r="A262" t="s">
        <v>202</v>
      </c>
      <c r="B262" t="s">
        <v>203</v>
      </c>
      <c r="C262" t="s">
        <v>105</v>
      </c>
      <c r="D262" t="s">
        <v>106</v>
      </c>
      <c r="E262" s="4">
        <v>0</v>
      </c>
      <c r="F262" s="4">
        <v>25000</v>
      </c>
      <c r="G262" s="4">
        <v>0</v>
      </c>
      <c r="H262" s="4">
        <v>0</v>
      </c>
      <c r="I262" s="4">
        <v>-32490</v>
      </c>
      <c r="J262" s="4">
        <v>0</v>
      </c>
      <c r="K262" s="4">
        <v>0</v>
      </c>
      <c r="L262" s="4">
        <v>12676.44</v>
      </c>
      <c r="M262" s="4">
        <v>0</v>
      </c>
      <c r="N262" s="4">
        <v>549.1</v>
      </c>
      <c r="O262" s="4">
        <v>0</v>
      </c>
      <c r="P262" s="4">
        <v>14080</v>
      </c>
      <c r="Q262" s="4">
        <v>0</v>
      </c>
      <c r="S262" s="8">
        <f t="shared" si="12"/>
        <v>4550.9233333333332</v>
      </c>
      <c r="T262" s="8">
        <f t="shared" si="13"/>
        <v>-4550.9233333333332</v>
      </c>
      <c r="U262" s="9">
        <f t="shared" si="14"/>
        <v>-1</v>
      </c>
    </row>
    <row r="263" spans="1:22" outlineLevel="2">
      <c r="A263" t="s">
        <v>202</v>
      </c>
      <c r="B263" t="s">
        <v>203</v>
      </c>
      <c r="C263" t="s">
        <v>111</v>
      </c>
      <c r="D263" t="s">
        <v>112</v>
      </c>
      <c r="E263" s="4">
        <v>0</v>
      </c>
      <c r="F263" s="4">
        <v>4100</v>
      </c>
      <c r="G263" s="4">
        <v>1562.39</v>
      </c>
      <c r="H263" s="4">
        <v>0</v>
      </c>
      <c r="I263" s="4">
        <v>0</v>
      </c>
      <c r="J263" s="4">
        <v>69030.100000000006</v>
      </c>
      <c r="K263" s="4">
        <v>0</v>
      </c>
      <c r="L263" s="4">
        <v>0</v>
      </c>
      <c r="M263" s="4">
        <v>3278.1400000000003</v>
      </c>
      <c r="N263" s="4">
        <v>0</v>
      </c>
      <c r="O263" s="4">
        <v>0</v>
      </c>
      <c r="P263" s="4">
        <v>0</v>
      </c>
      <c r="Q263" s="4">
        <v>0</v>
      </c>
      <c r="S263" s="8">
        <f t="shared" si="12"/>
        <v>546.35666666666668</v>
      </c>
      <c r="T263" s="8">
        <f t="shared" si="13"/>
        <v>-546.35666666666668</v>
      </c>
      <c r="U263" s="9">
        <f t="shared" si="14"/>
        <v>-1</v>
      </c>
    </row>
    <row r="264" spans="1:22" outlineLevel="2">
      <c r="A264" t="s">
        <v>202</v>
      </c>
      <c r="B264" t="s">
        <v>203</v>
      </c>
      <c r="C264" t="s">
        <v>170</v>
      </c>
      <c r="D264" t="s">
        <v>171</v>
      </c>
      <c r="E264" s="4">
        <v>270</v>
      </c>
      <c r="F264" s="4">
        <v>180</v>
      </c>
      <c r="G264" s="4">
        <v>180</v>
      </c>
      <c r="H264" s="4">
        <v>180</v>
      </c>
      <c r="I264" s="4">
        <v>180</v>
      </c>
      <c r="J264" s="4">
        <v>180</v>
      </c>
      <c r="K264" s="4">
        <v>180</v>
      </c>
      <c r="L264" s="4">
        <v>270</v>
      </c>
      <c r="M264" s="4">
        <v>180</v>
      </c>
      <c r="N264" s="4">
        <v>180</v>
      </c>
      <c r="O264" s="4">
        <v>180</v>
      </c>
      <c r="P264" s="4">
        <v>270</v>
      </c>
      <c r="Q264" s="4">
        <v>90</v>
      </c>
      <c r="S264" s="8">
        <f t="shared" si="12"/>
        <v>195</v>
      </c>
      <c r="T264" s="8">
        <f t="shared" si="13"/>
        <v>-195</v>
      </c>
      <c r="U264" s="9">
        <f t="shared" si="14"/>
        <v>-1</v>
      </c>
    </row>
    <row r="265" spans="1:22" outlineLevel="2">
      <c r="A265" t="s">
        <v>202</v>
      </c>
      <c r="B265" t="s">
        <v>203</v>
      </c>
      <c r="C265" t="s">
        <v>226</v>
      </c>
      <c r="D265" t="s">
        <v>227</v>
      </c>
      <c r="E265" s="4">
        <v>41666.660000000003</v>
      </c>
      <c r="F265" s="4">
        <v>41666.660000000003</v>
      </c>
      <c r="G265" s="4">
        <v>41666.660000000003</v>
      </c>
      <c r="H265" s="4">
        <v>41666.660000000003</v>
      </c>
      <c r="I265" s="4">
        <v>41666.660000000003</v>
      </c>
      <c r="J265" s="4">
        <v>41666.660000000003</v>
      </c>
      <c r="K265" s="4">
        <v>41666.660000000003</v>
      </c>
      <c r="L265" s="4">
        <v>41666.660000000003</v>
      </c>
      <c r="M265" s="4">
        <v>41666.660000000003</v>
      </c>
      <c r="N265" s="4">
        <v>41666.660000000003</v>
      </c>
      <c r="O265" s="4">
        <v>41666.660000000003</v>
      </c>
      <c r="P265" s="4">
        <v>41666.660000000003</v>
      </c>
      <c r="Q265" s="4">
        <v>41666.660000000003</v>
      </c>
      <c r="R265" s="4">
        <v>41666.660000000003</v>
      </c>
      <c r="S265" s="8">
        <f t="shared" si="12"/>
        <v>41666.660000000003</v>
      </c>
      <c r="T265" s="8">
        <f t="shared" si="13"/>
        <v>0</v>
      </c>
      <c r="U265" s="9">
        <f t="shared" si="14"/>
        <v>0</v>
      </c>
    </row>
    <row r="266" spans="1:22" outlineLevel="2">
      <c r="A266" t="s">
        <v>202</v>
      </c>
      <c r="B266" t="s">
        <v>203</v>
      </c>
      <c r="C266" t="s">
        <v>127</v>
      </c>
      <c r="D266" t="s">
        <v>120</v>
      </c>
      <c r="E266" s="4">
        <v>2174.0500000000002</v>
      </c>
      <c r="F266" s="4">
        <v>4064.83</v>
      </c>
      <c r="G266" s="4">
        <v>2329.2799999999997</v>
      </c>
      <c r="H266" s="4">
        <v>2113.96</v>
      </c>
      <c r="I266" s="4">
        <v>8103.84</v>
      </c>
      <c r="J266" s="4">
        <v>3433.9700000000007</v>
      </c>
      <c r="K266" s="4">
        <v>4053.37</v>
      </c>
      <c r="L266" s="4">
        <v>3827.37</v>
      </c>
      <c r="M266" s="4">
        <v>896.13000000000011</v>
      </c>
      <c r="N266" s="4">
        <v>10054.660000000003</v>
      </c>
      <c r="O266" s="4">
        <v>7526.9699999999984</v>
      </c>
      <c r="P266" s="4">
        <v>12409.010000000002</v>
      </c>
      <c r="Q266" s="4">
        <v>3531.62</v>
      </c>
      <c r="R266" s="4">
        <v>2004.1200000000001</v>
      </c>
      <c r="S266" s="8">
        <f t="shared" si="12"/>
        <v>6374.293333333334</v>
      </c>
      <c r="T266" s="8">
        <f t="shared" si="13"/>
        <v>-4370.1733333333341</v>
      </c>
      <c r="U266" s="9">
        <f t="shared" si="14"/>
        <v>-0.68559338342341747</v>
      </c>
    </row>
    <row r="267" spans="1:22" outlineLevel="2">
      <c r="A267" t="s">
        <v>202</v>
      </c>
      <c r="B267" t="s">
        <v>203</v>
      </c>
      <c r="C267" t="s">
        <v>190</v>
      </c>
      <c r="D267" t="s">
        <v>191</v>
      </c>
      <c r="E267" s="4">
        <v>3622191.14</v>
      </c>
      <c r="F267" s="4">
        <v>-163046.55999999994</v>
      </c>
      <c r="G267" s="4">
        <v>1844063.0199999998</v>
      </c>
      <c r="H267" s="4">
        <v>857819.03000000026</v>
      </c>
      <c r="I267" s="4">
        <v>122145.35999999999</v>
      </c>
      <c r="J267" s="4">
        <v>43204.43</v>
      </c>
      <c r="K267" s="4">
        <v>16966.330000000002</v>
      </c>
      <c r="L267" s="4">
        <v>100689.81999999999</v>
      </c>
      <c r="M267" s="4">
        <v>0</v>
      </c>
      <c r="N267" s="4">
        <v>-719238.81</v>
      </c>
      <c r="O267" s="4">
        <v>0</v>
      </c>
      <c r="P267" s="4">
        <v>1195371.1499999999</v>
      </c>
      <c r="Q267" s="4">
        <v>0</v>
      </c>
      <c r="S267" s="8">
        <f t="shared" si="12"/>
        <v>96137.026666666628</v>
      </c>
      <c r="T267" s="8">
        <f t="shared" si="13"/>
        <v>-96137.026666666628</v>
      </c>
      <c r="U267" s="9">
        <f t="shared" si="14"/>
        <v>-1</v>
      </c>
    </row>
    <row r="268" spans="1:22" outlineLevel="1">
      <c r="A268" s="1" t="s">
        <v>691</v>
      </c>
      <c r="E268" s="4">
        <f>SUBTOTAL(9,E216:E267)</f>
        <v>7267345.9199999999</v>
      </c>
      <c r="F268" s="4">
        <f>SUBTOTAL(9,F216:F267)</f>
        <v>1690882.3800000004</v>
      </c>
      <c r="G268" s="4">
        <f>SUBTOTAL(9,G216:G267)</f>
        <v>4072544.540000001</v>
      </c>
      <c r="H268" s="4">
        <f>SUBTOTAL(9,H216:H267)</f>
        <v>3524932.6300000008</v>
      </c>
      <c r="I268" s="4">
        <f>SUBTOTAL(9,I216:I267)</f>
        <v>2569255.8199999994</v>
      </c>
      <c r="J268" s="4">
        <f>SUBTOTAL(9,J216:J267)</f>
        <v>11271190.92</v>
      </c>
      <c r="K268" s="4">
        <f>SUBTOTAL(9,K216:K267)</f>
        <v>2552340.2400000002</v>
      </c>
      <c r="L268" s="4">
        <f>SUBTOTAL(9,L216:L267)</f>
        <v>3176038.7000000007</v>
      </c>
      <c r="M268" s="4">
        <f>SUBTOTAL(9,M216:M267)</f>
        <v>30634042.539999999</v>
      </c>
      <c r="N268" s="4">
        <f>SUBTOTAL(9,N216:N267)</f>
        <v>1729639.5400000005</v>
      </c>
      <c r="O268" s="4">
        <f>SUBTOTAL(9,O216:O267)</f>
        <v>2706322.8600000008</v>
      </c>
      <c r="P268" s="4">
        <f>SUBTOTAL(9,P216:P267)</f>
        <v>10269509.09</v>
      </c>
      <c r="Q268" s="4">
        <f>SUBTOTAL(9,Q216:Q267)</f>
        <v>2400762.5300000003</v>
      </c>
      <c r="R268" s="4">
        <f>SUBTOTAL(9,R216:R267)</f>
        <v>2993727.4</v>
      </c>
      <c r="S268" s="8">
        <f t="shared" si="12"/>
        <v>8486052.5433333348</v>
      </c>
      <c r="T268" s="8">
        <f t="shared" si="13"/>
        <v>-5492325.1433333345</v>
      </c>
      <c r="U268" s="9">
        <f t="shared" si="14"/>
        <v>-0.64721790435390592</v>
      </c>
      <c r="V268" t="s">
        <v>896</v>
      </c>
    </row>
    <row r="269" spans="1:22" outlineLevel="2">
      <c r="A269" t="s">
        <v>228</v>
      </c>
      <c r="B269" t="s">
        <v>229</v>
      </c>
      <c r="C269" t="s">
        <v>21</v>
      </c>
      <c r="D269" t="s">
        <v>22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297.29000000000002</v>
      </c>
      <c r="K269" s="4">
        <v>297.66000000000003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S269" s="8">
        <f t="shared" si="12"/>
        <v>0</v>
      </c>
      <c r="T269" s="8">
        <f t="shared" si="13"/>
        <v>0</v>
      </c>
      <c r="U269" s="9" t="e">
        <f t="shared" si="14"/>
        <v>#DIV/0!</v>
      </c>
    </row>
    <row r="270" spans="1:22" outlineLevel="2">
      <c r="A270" t="s">
        <v>228</v>
      </c>
      <c r="B270" t="s">
        <v>229</v>
      </c>
      <c r="C270" t="s">
        <v>23</v>
      </c>
      <c r="D270" t="s">
        <v>24</v>
      </c>
      <c r="E270" s="4">
        <v>0</v>
      </c>
      <c r="F270" s="4">
        <v>-2519.9499999999998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828.43</v>
      </c>
      <c r="S270" s="8">
        <f t="shared" si="12"/>
        <v>0</v>
      </c>
      <c r="T270" s="8">
        <f t="shared" si="13"/>
        <v>828.43</v>
      </c>
      <c r="U270" s="9" t="e">
        <f t="shared" si="14"/>
        <v>#DIV/0!</v>
      </c>
      <c r="V270" t="s">
        <v>895</v>
      </c>
    </row>
    <row r="271" spans="1:22" outlineLevel="2">
      <c r="A271" t="s">
        <v>228</v>
      </c>
      <c r="B271" t="s">
        <v>229</v>
      </c>
      <c r="C271" t="s">
        <v>27</v>
      </c>
      <c r="D271" t="s">
        <v>28</v>
      </c>
      <c r="E271" s="4">
        <v>1616.7700000000009</v>
      </c>
      <c r="F271" s="4">
        <v>-376.77</v>
      </c>
      <c r="G271" s="4">
        <v>2438.3000000000006</v>
      </c>
      <c r="H271" s="4">
        <v>-2.2737367544323206E-13</v>
      </c>
      <c r="I271" s="4">
        <v>0</v>
      </c>
      <c r="J271" s="4">
        <v>0</v>
      </c>
      <c r="K271" s="4">
        <v>-2888.2099999999991</v>
      </c>
      <c r="L271" s="4">
        <v>-1095.9499999999998</v>
      </c>
      <c r="M271" s="4">
        <v>4118.9299999999994</v>
      </c>
      <c r="N271" s="4">
        <v>2.2737367544323206E-13</v>
      </c>
      <c r="O271" s="4">
        <v>2.8421709430404007E-13</v>
      </c>
      <c r="P271" s="4">
        <v>330526.00000000006</v>
      </c>
      <c r="Q271" s="4">
        <v>141.7900000000011</v>
      </c>
      <c r="R271" s="4">
        <v>3.2684965844964609E-13</v>
      </c>
      <c r="S271" s="8">
        <f t="shared" si="12"/>
        <v>55615.128333333334</v>
      </c>
      <c r="T271" s="8">
        <f t="shared" si="13"/>
        <v>-55615.128333333334</v>
      </c>
      <c r="U271" s="9">
        <f t="shared" si="14"/>
        <v>-1</v>
      </c>
    </row>
    <row r="272" spans="1:22" outlineLevel="2">
      <c r="A272" t="s">
        <v>228</v>
      </c>
      <c r="B272" t="s">
        <v>229</v>
      </c>
      <c r="C272" t="s">
        <v>156</v>
      </c>
      <c r="D272" t="s">
        <v>157</v>
      </c>
      <c r="E272" s="4">
        <v>0</v>
      </c>
      <c r="F272" s="4">
        <v>416.05</v>
      </c>
      <c r="G272" s="4">
        <v>308.68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S272" s="8">
        <f t="shared" si="12"/>
        <v>0</v>
      </c>
      <c r="T272" s="8">
        <f t="shared" si="13"/>
        <v>0</v>
      </c>
      <c r="U272" s="9" t="e">
        <f t="shared" si="14"/>
        <v>#DIV/0!</v>
      </c>
    </row>
    <row r="273" spans="1:22" outlineLevel="2">
      <c r="A273" t="s">
        <v>228</v>
      </c>
      <c r="B273" t="s">
        <v>229</v>
      </c>
      <c r="C273" t="s">
        <v>158</v>
      </c>
      <c r="D273" t="s">
        <v>159</v>
      </c>
      <c r="E273" s="4">
        <v>50000</v>
      </c>
      <c r="F273" s="4">
        <v>50000</v>
      </c>
      <c r="G273" s="4">
        <v>-100000</v>
      </c>
      <c r="H273" s="4">
        <v>50000</v>
      </c>
      <c r="I273" s="4">
        <v>50000</v>
      </c>
      <c r="J273" s="4">
        <v>-100000</v>
      </c>
      <c r="K273" s="4">
        <v>50000</v>
      </c>
      <c r="L273" s="4">
        <v>50000</v>
      </c>
      <c r="M273" s="4">
        <v>-100000</v>
      </c>
      <c r="N273" s="4">
        <v>50000</v>
      </c>
      <c r="O273" s="4">
        <v>50000</v>
      </c>
      <c r="P273" s="4">
        <v>-100000</v>
      </c>
      <c r="Q273" s="4">
        <v>0</v>
      </c>
      <c r="S273" s="8">
        <f t="shared" si="12"/>
        <v>-8333.3333333333339</v>
      </c>
      <c r="T273" s="8">
        <f t="shared" si="13"/>
        <v>8333.3333333333339</v>
      </c>
      <c r="U273" s="9">
        <f t="shared" si="14"/>
        <v>-1</v>
      </c>
    </row>
    <row r="274" spans="1:22" outlineLevel="2">
      <c r="A274" t="s">
        <v>228</v>
      </c>
      <c r="B274" t="s">
        <v>229</v>
      </c>
      <c r="C274" t="s">
        <v>230</v>
      </c>
      <c r="D274" t="s">
        <v>231</v>
      </c>
      <c r="E274" s="4">
        <v>454646.36</v>
      </c>
      <c r="F274" s="4">
        <v>306417.81</v>
      </c>
      <c r="G274" s="4">
        <v>285544.34999999998</v>
      </c>
      <c r="H274" s="4">
        <v>278557.80999999994</v>
      </c>
      <c r="I274" s="4">
        <v>278557.81</v>
      </c>
      <c r="J274" s="4">
        <v>204809.2</v>
      </c>
      <c r="K274" s="4">
        <v>281535.21000000002</v>
      </c>
      <c r="L274" s="4">
        <v>317264.05000000005</v>
      </c>
      <c r="M274" s="4">
        <v>281535.21000000002</v>
      </c>
      <c r="N274" s="4">
        <v>105115.88</v>
      </c>
      <c r="O274" s="4">
        <v>104115.88</v>
      </c>
      <c r="P274" s="4">
        <v>104115.88</v>
      </c>
      <c r="Q274" s="4">
        <v>0</v>
      </c>
      <c r="S274" s="8">
        <f t="shared" si="12"/>
        <v>152024.48333333334</v>
      </c>
      <c r="T274" s="8">
        <f t="shared" si="13"/>
        <v>-152024.48333333334</v>
      </c>
      <c r="U274" s="9">
        <f t="shared" si="14"/>
        <v>-1</v>
      </c>
    </row>
    <row r="275" spans="1:22" outlineLevel="2">
      <c r="A275" t="s">
        <v>228</v>
      </c>
      <c r="B275" t="s">
        <v>229</v>
      </c>
      <c r="C275" t="s">
        <v>232</v>
      </c>
      <c r="D275" t="s">
        <v>233</v>
      </c>
      <c r="E275" s="4">
        <v>283959.57</v>
      </c>
      <c r="F275" s="4">
        <v>283959.57</v>
      </c>
      <c r="G275" s="4">
        <v>283959.58</v>
      </c>
      <c r="H275" s="4">
        <v>283959.58</v>
      </c>
      <c r="I275" s="4">
        <v>283959.58</v>
      </c>
      <c r="J275" s="4">
        <v>108211.37</v>
      </c>
      <c r="K275" s="4">
        <v>291764.53999999998</v>
      </c>
      <c r="L275" s="4">
        <v>385424.11999999994</v>
      </c>
      <c r="M275" s="4">
        <v>291764.53999999998</v>
      </c>
      <c r="N275" s="4">
        <v>291764.52999999997</v>
      </c>
      <c r="O275" s="4">
        <v>291764.53999999998</v>
      </c>
      <c r="P275" s="4">
        <v>291764.53999999998</v>
      </c>
      <c r="Q275" s="4">
        <v>0</v>
      </c>
      <c r="S275" s="8">
        <f t="shared" si="12"/>
        <v>258747.04500000001</v>
      </c>
      <c r="T275" s="8">
        <f t="shared" si="13"/>
        <v>-258747.04500000001</v>
      </c>
      <c r="U275" s="9">
        <f t="shared" si="14"/>
        <v>-1</v>
      </c>
    </row>
    <row r="276" spans="1:22" outlineLevel="2">
      <c r="A276" t="s">
        <v>228</v>
      </c>
      <c r="B276" t="s">
        <v>229</v>
      </c>
      <c r="C276" t="s">
        <v>218</v>
      </c>
      <c r="D276" t="s">
        <v>219</v>
      </c>
      <c r="E276" s="4">
        <v>2978.5299999999997</v>
      </c>
      <c r="F276" s="4">
        <v>4776.4799999999996</v>
      </c>
      <c r="G276" s="4">
        <v>4729.83</v>
      </c>
      <c r="H276" s="4">
        <v>2319.92</v>
      </c>
      <c r="I276" s="4">
        <v>2173.2600000000002</v>
      </c>
      <c r="J276" s="4">
        <v>2372.35</v>
      </c>
      <c r="K276" s="4">
        <v>2422.63</v>
      </c>
      <c r="L276" s="4">
        <v>2412.37</v>
      </c>
      <c r="M276" s="4">
        <v>2412.37</v>
      </c>
      <c r="N276" s="4">
        <v>2099.1</v>
      </c>
      <c r="O276" s="4">
        <v>2412.37</v>
      </c>
      <c r="P276" s="4">
        <v>2412.37</v>
      </c>
      <c r="Q276" s="4">
        <v>0</v>
      </c>
      <c r="S276" s="8">
        <f t="shared" si="12"/>
        <v>1958.0966666666664</v>
      </c>
      <c r="T276" s="8">
        <f t="shared" si="13"/>
        <v>-1958.0966666666664</v>
      </c>
      <c r="U276" s="9">
        <f t="shared" si="14"/>
        <v>-1</v>
      </c>
    </row>
    <row r="277" spans="1:22" outlineLevel="2">
      <c r="A277" t="s">
        <v>228</v>
      </c>
      <c r="B277" t="s">
        <v>229</v>
      </c>
      <c r="C277" t="s">
        <v>234</v>
      </c>
      <c r="D277" t="s">
        <v>235</v>
      </c>
      <c r="E277" s="4">
        <v>68460.62</v>
      </c>
      <c r="F277" s="4">
        <v>68460.62000000001</v>
      </c>
      <c r="G277" s="4">
        <v>68460.62</v>
      </c>
      <c r="H277" s="4">
        <v>68460.62000000001</v>
      </c>
      <c r="I277" s="4">
        <v>68460.62</v>
      </c>
      <c r="J277" s="4">
        <v>547620.47</v>
      </c>
      <c r="K277" s="4">
        <v>-3628.9900000000489</v>
      </c>
      <c r="L277" s="4">
        <v>152464.42999999996</v>
      </c>
      <c r="M277" s="4">
        <v>170998.42999999996</v>
      </c>
      <c r="N277" s="4">
        <v>170998.42999999996</v>
      </c>
      <c r="O277" s="4">
        <v>170998.42999999996</v>
      </c>
      <c r="P277" s="4">
        <v>170998.42999999996</v>
      </c>
      <c r="Q277" s="4">
        <v>-1.6370904631912708E-11</v>
      </c>
      <c r="R277" s="4">
        <v>2.3210322552813523E-11</v>
      </c>
      <c r="S277" s="8">
        <f t="shared" si="12"/>
        <v>139409.69166666662</v>
      </c>
      <c r="T277" s="8">
        <f t="shared" si="13"/>
        <v>-139409.69166666659</v>
      </c>
      <c r="U277" s="9">
        <f t="shared" si="14"/>
        <v>-0.99999999999999978</v>
      </c>
    </row>
    <row r="278" spans="1:22" outlineLevel="2">
      <c r="A278" t="s">
        <v>228</v>
      </c>
      <c r="B278" t="s">
        <v>229</v>
      </c>
      <c r="C278" t="s">
        <v>47</v>
      </c>
      <c r="D278" t="s">
        <v>48</v>
      </c>
      <c r="E278" s="4">
        <v>-509.82000000000016</v>
      </c>
      <c r="F278" s="4">
        <v>-2990.3299999999995</v>
      </c>
      <c r="G278" s="4">
        <v>1670.2499999999991</v>
      </c>
      <c r="H278" s="4">
        <v>3039.3099999999995</v>
      </c>
      <c r="I278" s="4">
        <v>3039.3099999999995</v>
      </c>
      <c r="J278" s="4">
        <v>3039.3100000000013</v>
      </c>
      <c r="K278" s="4">
        <v>-2856.0599999999995</v>
      </c>
      <c r="L278" s="4">
        <v>3287.6300000000006</v>
      </c>
      <c r="M278" s="4">
        <v>2790.99</v>
      </c>
      <c r="N278" s="4">
        <v>3287.6300000000015</v>
      </c>
      <c r="O278" s="4">
        <v>-5853.59</v>
      </c>
      <c r="P278" s="4">
        <v>13786.390000000003</v>
      </c>
      <c r="Q278" s="4">
        <v>-4465.25</v>
      </c>
      <c r="R278" s="4">
        <v>-20557.490000000002</v>
      </c>
      <c r="S278" s="8">
        <f t="shared" si="12"/>
        <v>2138.9666666666672</v>
      </c>
      <c r="T278" s="8">
        <f t="shared" si="13"/>
        <v>-22696.456666666669</v>
      </c>
      <c r="U278" s="9">
        <f t="shared" si="14"/>
        <v>-10.610944537081767</v>
      </c>
      <c r="V278" t="s">
        <v>897</v>
      </c>
    </row>
    <row r="279" spans="1:22" outlineLevel="2">
      <c r="A279" t="s">
        <v>228</v>
      </c>
      <c r="B279" t="s">
        <v>229</v>
      </c>
      <c r="C279" t="s">
        <v>49</v>
      </c>
      <c r="D279" t="s">
        <v>50</v>
      </c>
      <c r="E279" s="4">
        <v>0</v>
      </c>
      <c r="F279" s="4">
        <v>0</v>
      </c>
      <c r="G279" s="4">
        <v>65.06</v>
      </c>
      <c r="H279" s="4">
        <v>-17151.310000000001</v>
      </c>
      <c r="I279" s="4">
        <v>0</v>
      </c>
      <c r="J279" s="4">
        <v>0</v>
      </c>
      <c r="K279" s="4">
        <v>5895.37</v>
      </c>
      <c r="L279" s="4">
        <v>0</v>
      </c>
      <c r="M279" s="4">
        <v>0</v>
      </c>
      <c r="N279" s="4">
        <v>0</v>
      </c>
      <c r="O279" s="4">
        <v>0</v>
      </c>
      <c r="P279" s="4">
        <v>4454.54</v>
      </c>
      <c r="Q279" s="4">
        <v>0</v>
      </c>
      <c r="R279" s="4">
        <v>11863.18</v>
      </c>
      <c r="S279" s="8">
        <f t="shared" si="12"/>
        <v>742.42333333333329</v>
      </c>
      <c r="T279" s="8">
        <f t="shared" si="13"/>
        <v>11120.756666666666</v>
      </c>
      <c r="U279" s="9">
        <f t="shared" si="14"/>
        <v>14.978996708975563</v>
      </c>
    </row>
    <row r="280" spans="1:22" outlineLevel="2">
      <c r="A280" t="s">
        <v>228</v>
      </c>
      <c r="B280" t="s">
        <v>229</v>
      </c>
      <c r="C280" t="s">
        <v>51</v>
      </c>
      <c r="D280" t="s">
        <v>52</v>
      </c>
      <c r="E280" s="4">
        <v>58993.910000000018</v>
      </c>
      <c r="F280" s="4">
        <v>6628.3500000000122</v>
      </c>
      <c r="G280" s="4">
        <v>37378.71000000005</v>
      </c>
      <c r="H280" s="4">
        <v>3320.7399999999943</v>
      </c>
      <c r="I280" s="4">
        <v>101215.4</v>
      </c>
      <c r="J280" s="4">
        <v>2313.3500000000004</v>
      </c>
      <c r="K280" s="4">
        <v>52647.340000000011</v>
      </c>
      <c r="L280" s="4">
        <v>177.0499999999991</v>
      </c>
      <c r="M280" s="4">
        <v>184.8</v>
      </c>
      <c r="N280" s="4">
        <v>51296.41</v>
      </c>
      <c r="O280" s="4">
        <v>811.17</v>
      </c>
      <c r="P280" s="4">
        <v>459</v>
      </c>
      <c r="Q280" s="4">
        <v>62668.789999999979</v>
      </c>
      <c r="R280" s="4">
        <v>4476.6199999999944</v>
      </c>
      <c r="S280" s="8">
        <f t="shared" si="12"/>
        <v>19266.203333333327</v>
      </c>
      <c r="T280" s="8">
        <f t="shared" si="13"/>
        <v>-14789.583333333332</v>
      </c>
      <c r="U280" s="9">
        <f t="shared" si="14"/>
        <v>-0.76764389316628912</v>
      </c>
    </row>
    <row r="281" spans="1:22" outlineLevel="2">
      <c r="A281" t="s">
        <v>228</v>
      </c>
      <c r="B281" t="s">
        <v>229</v>
      </c>
      <c r="C281" t="s">
        <v>164</v>
      </c>
      <c r="D281" t="s">
        <v>165</v>
      </c>
      <c r="E281" s="4">
        <v>0</v>
      </c>
      <c r="F281" s="4">
        <v>0</v>
      </c>
      <c r="G281" s="4">
        <v>514.23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S281" s="8">
        <f t="shared" si="12"/>
        <v>0</v>
      </c>
      <c r="T281" s="8">
        <f t="shared" si="13"/>
        <v>0</v>
      </c>
      <c r="U281" s="9" t="e">
        <f t="shared" si="14"/>
        <v>#DIV/0!</v>
      </c>
    </row>
    <row r="282" spans="1:22" outlineLevel="2">
      <c r="A282" t="s">
        <v>228</v>
      </c>
      <c r="B282" t="s">
        <v>229</v>
      </c>
      <c r="C282" t="s">
        <v>53</v>
      </c>
      <c r="D282" t="s">
        <v>54</v>
      </c>
      <c r="E282" s="4">
        <v>-3.099387413385557E-10</v>
      </c>
      <c r="F282" s="4">
        <v>2.7455371309770271E-11</v>
      </c>
      <c r="G282" s="4">
        <v>-4673.7300000000914</v>
      </c>
      <c r="H282" s="4">
        <v>-2.4010660126805305E-10</v>
      </c>
      <c r="I282" s="4">
        <v>-4.1393377614440396E-10</v>
      </c>
      <c r="J282" s="4">
        <v>0</v>
      </c>
      <c r="K282" s="4">
        <v>-1.3281464816827793E-10</v>
      </c>
      <c r="L282" s="4">
        <v>1.0913936421275139E-10</v>
      </c>
      <c r="M282" s="4">
        <v>-2.8740032576024532E-10</v>
      </c>
      <c r="N282" s="4">
        <v>1.4438228390645236E-10</v>
      </c>
      <c r="O282" s="4">
        <v>-1.3429257705865894E-10</v>
      </c>
      <c r="P282" s="4">
        <v>284857.00000000006</v>
      </c>
      <c r="Q282" s="4">
        <v>344540.28999999992</v>
      </c>
      <c r="R282" s="4">
        <v>-344540.29000000004</v>
      </c>
      <c r="S282" s="8">
        <f t="shared" si="12"/>
        <v>104899.5483333333</v>
      </c>
      <c r="T282" s="8">
        <f t="shared" si="13"/>
        <v>-449439.83833333332</v>
      </c>
      <c r="U282" s="9">
        <f t="shared" si="14"/>
        <v>-4.2844782982780254</v>
      </c>
      <c r="V282" t="s">
        <v>897</v>
      </c>
    </row>
    <row r="283" spans="1:22" outlineLevel="2">
      <c r="A283" t="s">
        <v>228</v>
      </c>
      <c r="B283" t="s">
        <v>229</v>
      </c>
      <c r="C283" t="s">
        <v>55</v>
      </c>
      <c r="D283" t="s">
        <v>56</v>
      </c>
      <c r="E283" s="4">
        <v>9752.7999999999993</v>
      </c>
      <c r="F283" s="4">
        <v>-9752.7999999999993</v>
      </c>
      <c r="G283" s="4">
        <v>8962.619999999999</v>
      </c>
      <c r="H283" s="4">
        <v>8954.93</v>
      </c>
      <c r="I283" s="4">
        <v>5162.6000000000004</v>
      </c>
      <c r="J283" s="4">
        <v>6080.51</v>
      </c>
      <c r="K283" s="4">
        <v>5096.8500000000004</v>
      </c>
      <c r="L283" s="4">
        <v>8699.8100000000013</v>
      </c>
      <c r="M283" s="4">
        <v>7381.8600000000006</v>
      </c>
      <c r="N283" s="4">
        <v>11816.130000000003</v>
      </c>
      <c r="O283" s="4">
        <v>13493.099999999999</v>
      </c>
      <c r="P283" s="4">
        <v>17463.630000000005</v>
      </c>
      <c r="Q283" s="4">
        <v>16217.54</v>
      </c>
      <c r="R283" s="4">
        <v>13864.599999999999</v>
      </c>
      <c r="S283" s="8">
        <f t="shared" si="12"/>
        <v>12512.011666666667</v>
      </c>
      <c r="T283" s="8">
        <f t="shared" si="13"/>
        <v>1352.5883333333313</v>
      </c>
      <c r="U283" s="9">
        <f t="shared" si="14"/>
        <v>0.10810318671111623</v>
      </c>
    </row>
    <row r="284" spans="1:22" outlineLevel="2">
      <c r="A284" t="s">
        <v>228</v>
      </c>
      <c r="B284" t="s">
        <v>229</v>
      </c>
      <c r="C284" t="s">
        <v>59</v>
      </c>
      <c r="D284" t="s">
        <v>60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23.3</v>
      </c>
      <c r="S284" s="8">
        <f t="shared" si="12"/>
        <v>3.8833333333333333</v>
      </c>
      <c r="T284" s="8">
        <f t="shared" si="13"/>
        <v>-3.8833333333333333</v>
      </c>
      <c r="U284" s="9">
        <f t="shared" si="14"/>
        <v>-1</v>
      </c>
    </row>
    <row r="285" spans="1:22" outlineLevel="2">
      <c r="A285" t="s">
        <v>228</v>
      </c>
      <c r="B285" t="s">
        <v>229</v>
      </c>
      <c r="C285" t="s">
        <v>168</v>
      </c>
      <c r="D285" t="s">
        <v>169</v>
      </c>
      <c r="E285" s="4">
        <v>0</v>
      </c>
      <c r="F285" s="4">
        <v>0</v>
      </c>
      <c r="G285" s="4">
        <v>-1540</v>
      </c>
      <c r="H285" s="4">
        <v>0</v>
      </c>
      <c r="I285" s="4">
        <v>0</v>
      </c>
      <c r="J285" s="4">
        <v>42106.39</v>
      </c>
      <c r="K285" s="4">
        <v>-1446.0000000000036</v>
      </c>
      <c r="L285" s="4">
        <v>18488.300000000003</v>
      </c>
      <c r="M285" s="4">
        <v>10190.200000000003</v>
      </c>
      <c r="N285" s="4">
        <v>2170.2999999999993</v>
      </c>
      <c r="O285" s="4">
        <v>16352.71</v>
      </c>
      <c r="P285" s="4">
        <v>12558</v>
      </c>
      <c r="Q285" s="4">
        <v>0</v>
      </c>
      <c r="R285" s="4">
        <v>3092.5</v>
      </c>
      <c r="S285" s="8">
        <f t="shared" si="12"/>
        <v>9959.9183333333349</v>
      </c>
      <c r="T285" s="8">
        <f t="shared" si="13"/>
        <v>-6867.4183333333349</v>
      </c>
      <c r="U285" s="9">
        <f t="shared" si="14"/>
        <v>-0.68950548623976338</v>
      </c>
    </row>
    <row r="286" spans="1:22" outlineLevel="2">
      <c r="A286" t="s">
        <v>228</v>
      </c>
      <c r="B286" t="s">
        <v>229</v>
      </c>
      <c r="C286" t="s">
        <v>99</v>
      </c>
      <c r="D286" t="s">
        <v>100</v>
      </c>
      <c r="E286" s="4">
        <v>7500</v>
      </c>
      <c r="F286" s="4">
        <v>7500</v>
      </c>
      <c r="G286" s="4">
        <v>7500</v>
      </c>
      <c r="H286" s="4">
        <v>7500</v>
      </c>
      <c r="I286" s="4">
        <v>7500</v>
      </c>
      <c r="J286" s="4">
        <v>7500</v>
      </c>
      <c r="K286" s="4">
        <v>7500</v>
      </c>
      <c r="L286" s="4">
        <v>7500</v>
      </c>
      <c r="M286" s="4">
        <v>7500</v>
      </c>
      <c r="N286" s="4">
        <v>7500</v>
      </c>
      <c r="O286" s="4">
        <v>7500</v>
      </c>
      <c r="P286" s="4">
        <v>7500</v>
      </c>
      <c r="Q286" s="4">
        <v>7500</v>
      </c>
      <c r="R286" s="4">
        <v>7500</v>
      </c>
      <c r="S286" s="8">
        <f t="shared" si="12"/>
        <v>7500</v>
      </c>
      <c r="T286" s="8">
        <f t="shared" si="13"/>
        <v>0</v>
      </c>
      <c r="U286" s="9">
        <f t="shared" si="14"/>
        <v>0</v>
      </c>
    </row>
    <row r="287" spans="1:22" outlineLevel="2">
      <c r="A287" t="s">
        <v>228</v>
      </c>
      <c r="B287" t="s">
        <v>229</v>
      </c>
      <c r="C287" t="s">
        <v>101</v>
      </c>
      <c r="D287" t="s">
        <v>102</v>
      </c>
      <c r="E287" s="4">
        <v>1841.7</v>
      </c>
      <c r="F287" s="4">
        <v>-1841.7000000000003</v>
      </c>
      <c r="G287" s="4">
        <v>4035.43</v>
      </c>
      <c r="H287" s="4">
        <v>3699.39</v>
      </c>
      <c r="I287" s="4">
        <v>12136.830000000002</v>
      </c>
      <c r="J287" s="4">
        <v>108178.1</v>
      </c>
      <c r="K287" s="4">
        <v>1938.000000000003</v>
      </c>
      <c r="L287" s="4">
        <v>3234.2</v>
      </c>
      <c r="M287" s="4">
        <v>3276.01</v>
      </c>
      <c r="N287" s="4">
        <v>1938</v>
      </c>
      <c r="O287" s="4">
        <v>2065.5500000000002</v>
      </c>
      <c r="P287" s="4">
        <v>2543.5700000000002</v>
      </c>
      <c r="Q287" s="4">
        <v>1938</v>
      </c>
      <c r="R287" s="4">
        <v>2744.17</v>
      </c>
      <c r="S287" s="8">
        <f t="shared" si="12"/>
        <v>2499.2216666666664</v>
      </c>
      <c r="T287" s="8">
        <f t="shared" si="13"/>
        <v>244.94833333333372</v>
      </c>
      <c r="U287" s="9">
        <f t="shared" si="14"/>
        <v>9.8009847065719968E-2</v>
      </c>
    </row>
    <row r="288" spans="1:22" outlineLevel="2">
      <c r="A288" t="s">
        <v>228</v>
      </c>
      <c r="B288" t="s">
        <v>229</v>
      </c>
      <c r="C288" t="s">
        <v>236</v>
      </c>
      <c r="D288" t="s">
        <v>237</v>
      </c>
      <c r="E288" s="4">
        <v>-350000</v>
      </c>
      <c r="F288" s="4">
        <v>700000</v>
      </c>
      <c r="G288" s="4">
        <v>-350000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S288" s="8">
        <f t="shared" si="12"/>
        <v>0</v>
      </c>
      <c r="T288" s="8">
        <f t="shared" si="13"/>
        <v>0</v>
      </c>
      <c r="U288" s="9" t="e">
        <f t="shared" si="14"/>
        <v>#DIV/0!</v>
      </c>
    </row>
    <row r="289" spans="1:22" outlineLevel="2">
      <c r="A289" t="s">
        <v>228</v>
      </c>
      <c r="B289" t="s">
        <v>229</v>
      </c>
      <c r="C289" t="s">
        <v>186</v>
      </c>
      <c r="D289" t="s">
        <v>187</v>
      </c>
      <c r="E289" s="4">
        <v>0</v>
      </c>
      <c r="F289" s="4">
        <v>165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40</v>
      </c>
      <c r="O289" s="4">
        <v>0</v>
      </c>
      <c r="P289" s="4">
        <v>0</v>
      </c>
      <c r="Q289" s="4">
        <v>0</v>
      </c>
      <c r="S289" s="8">
        <f t="shared" si="12"/>
        <v>6.666666666666667</v>
      </c>
      <c r="T289" s="8">
        <f t="shared" si="13"/>
        <v>-6.666666666666667</v>
      </c>
      <c r="U289" s="9">
        <f t="shared" si="14"/>
        <v>-1</v>
      </c>
    </row>
    <row r="290" spans="1:22" outlineLevel="2">
      <c r="A290" t="s">
        <v>228</v>
      </c>
      <c r="B290" t="s">
        <v>229</v>
      </c>
      <c r="C290" t="s">
        <v>127</v>
      </c>
      <c r="D290" t="s">
        <v>120</v>
      </c>
      <c r="E290" s="4">
        <v>0</v>
      </c>
      <c r="F290" s="4">
        <v>569.33999999999992</v>
      </c>
      <c r="G290" s="4">
        <v>-3450.01</v>
      </c>
      <c r="H290" s="4">
        <v>603.5</v>
      </c>
      <c r="I290" s="4">
        <v>1660.27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-25.68</v>
      </c>
      <c r="S290" s="8">
        <f t="shared" si="12"/>
        <v>0</v>
      </c>
      <c r="T290" s="8">
        <f t="shared" si="13"/>
        <v>-25.68</v>
      </c>
      <c r="U290" s="9" t="e">
        <f t="shared" si="14"/>
        <v>#DIV/0!</v>
      </c>
      <c r="V290" t="s">
        <v>895</v>
      </c>
    </row>
    <row r="291" spans="1:22" outlineLevel="2">
      <c r="A291" t="s">
        <v>228</v>
      </c>
      <c r="B291" t="s">
        <v>229</v>
      </c>
      <c r="C291" t="s">
        <v>238</v>
      </c>
      <c r="D291" t="s">
        <v>239</v>
      </c>
      <c r="E291" s="4">
        <v>0</v>
      </c>
      <c r="F291" s="4">
        <v>0</v>
      </c>
      <c r="G291" s="4">
        <v>367.77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S291" s="8">
        <f t="shared" si="12"/>
        <v>0</v>
      </c>
      <c r="T291" s="8">
        <f t="shared" si="13"/>
        <v>0</v>
      </c>
      <c r="U291" s="9" t="e">
        <f t="shared" si="14"/>
        <v>#DIV/0!</v>
      </c>
    </row>
    <row r="292" spans="1:22" outlineLevel="2">
      <c r="A292" t="s">
        <v>228</v>
      </c>
      <c r="B292" t="s">
        <v>229</v>
      </c>
      <c r="C292" t="s">
        <v>240</v>
      </c>
      <c r="D292" t="s">
        <v>241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44411.27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19492</v>
      </c>
      <c r="Q292" s="4">
        <v>0</v>
      </c>
      <c r="S292" s="8">
        <f t="shared" si="12"/>
        <v>3248.6666666666665</v>
      </c>
      <c r="T292" s="8">
        <f t="shared" si="13"/>
        <v>-3248.6666666666665</v>
      </c>
      <c r="U292" s="9">
        <f t="shared" si="14"/>
        <v>-1</v>
      </c>
    </row>
    <row r="293" spans="1:22" outlineLevel="2">
      <c r="A293" t="s">
        <v>228</v>
      </c>
      <c r="B293" t="s">
        <v>229</v>
      </c>
      <c r="C293" t="s">
        <v>172</v>
      </c>
      <c r="D293" t="s">
        <v>173</v>
      </c>
      <c r="E293" s="4">
        <v>21346.13</v>
      </c>
      <c r="F293" s="4">
        <v>-64038.39</v>
      </c>
      <c r="G293" s="4">
        <v>88293.73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S293" s="8">
        <f t="shared" si="12"/>
        <v>0</v>
      </c>
      <c r="T293" s="8">
        <f t="shared" si="13"/>
        <v>0</v>
      </c>
      <c r="U293" s="9" t="e">
        <f t="shared" si="14"/>
        <v>#DIV/0!</v>
      </c>
    </row>
    <row r="294" spans="1:22" outlineLevel="1">
      <c r="A294" s="1" t="s">
        <v>692</v>
      </c>
      <c r="E294" s="4">
        <f>SUBTOTAL(9,E269:E293)</f>
        <v>610586.56999999972</v>
      </c>
      <c r="F294" s="4">
        <f>SUBTOTAL(9,F269:F293)</f>
        <v>1347373.2800000003</v>
      </c>
      <c r="G294" s="4">
        <f>SUBTOTAL(9,G269:G293)</f>
        <v>334565.42000000004</v>
      </c>
      <c r="H294" s="4">
        <f>SUBTOTAL(9,H269:H293)</f>
        <v>693264.48999999976</v>
      </c>
      <c r="I294" s="4">
        <f>SUBTOTAL(9,I269:I293)</f>
        <v>813865.67999999959</v>
      </c>
      <c r="J294" s="4">
        <f>SUBTOTAL(9,J269:J293)</f>
        <v>976939.61</v>
      </c>
      <c r="K294" s="4">
        <f>SUBTOTAL(9,K269:K293)</f>
        <v>688278.33999999962</v>
      </c>
      <c r="L294" s="4">
        <f>SUBTOTAL(9,L269:L293)</f>
        <v>947856.01000000013</v>
      </c>
      <c r="M294" s="4">
        <f>SUBTOTAL(9,M269:M293)</f>
        <v>682153.33999999973</v>
      </c>
      <c r="N294" s="4">
        <f>SUBTOTAL(9,N269:N293)</f>
        <v>698026.41000000015</v>
      </c>
      <c r="O294" s="4">
        <f>SUBTOTAL(9,O269:O293)</f>
        <v>653660.15999999992</v>
      </c>
      <c r="P294" s="4">
        <f>SUBTOTAL(9,P269:P293)</f>
        <v>1162931.3500000003</v>
      </c>
      <c r="Q294" s="4">
        <f>SUBTOTAL(9,Q269:Q293)</f>
        <v>428564.45999999985</v>
      </c>
      <c r="R294" s="4">
        <f>SUBTOTAL(9,R269:R293)</f>
        <v>-320753.96000000008</v>
      </c>
      <c r="S294" s="8">
        <f t="shared" si="12"/>
        <v>762198.6216666667</v>
      </c>
      <c r="T294" s="8">
        <f t="shared" si="13"/>
        <v>-1082952.5816666668</v>
      </c>
      <c r="U294" s="9">
        <f t="shared" si="14"/>
        <v>-1.4208272632383161</v>
      </c>
      <c r="V294" t="s">
        <v>897</v>
      </c>
    </row>
    <row r="295" spans="1:22" outlineLevel="2">
      <c r="A295" t="s">
        <v>242</v>
      </c>
      <c r="B295" t="s">
        <v>243</v>
      </c>
      <c r="C295" t="s">
        <v>21</v>
      </c>
      <c r="D295" t="s">
        <v>22</v>
      </c>
      <c r="E295" s="4">
        <v>0</v>
      </c>
      <c r="F295" s="4">
        <v>0</v>
      </c>
      <c r="G295" s="4">
        <v>339.63000000000005</v>
      </c>
      <c r="H295" s="4">
        <v>336.15000000000003</v>
      </c>
      <c r="I295" s="4">
        <v>286.48</v>
      </c>
      <c r="J295" s="4">
        <v>0</v>
      </c>
      <c r="K295" s="4">
        <v>0</v>
      </c>
      <c r="L295" s="4">
        <v>0</v>
      </c>
      <c r="M295" s="4">
        <v>75</v>
      </c>
      <c r="N295" s="4">
        <v>103.76</v>
      </c>
      <c r="O295" s="4">
        <v>52.56</v>
      </c>
      <c r="P295" s="4">
        <v>0</v>
      </c>
      <c r="Q295" s="4">
        <v>178.44</v>
      </c>
      <c r="S295" s="8">
        <f t="shared" si="12"/>
        <v>68.293333333333337</v>
      </c>
      <c r="T295" s="8">
        <f t="shared" si="13"/>
        <v>-68.293333333333337</v>
      </c>
      <c r="U295" s="9">
        <f t="shared" si="14"/>
        <v>-1</v>
      </c>
    </row>
    <row r="296" spans="1:22" outlineLevel="2">
      <c r="A296" t="s">
        <v>242</v>
      </c>
      <c r="B296" t="s">
        <v>243</v>
      </c>
      <c r="C296" t="s">
        <v>23</v>
      </c>
      <c r="D296" t="s">
        <v>24</v>
      </c>
      <c r="E296" s="4">
        <v>541.61</v>
      </c>
      <c r="F296" s="4">
        <v>0</v>
      </c>
      <c r="G296" s="4">
        <v>2863.3000000000006</v>
      </c>
      <c r="H296" s="4">
        <v>2565.9899999999998</v>
      </c>
      <c r="I296" s="4">
        <v>732.44</v>
      </c>
      <c r="J296" s="4">
        <v>0</v>
      </c>
      <c r="K296" s="4">
        <v>0</v>
      </c>
      <c r="L296" s="4">
        <v>0</v>
      </c>
      <c r="M296" s="4">
        <v>0</v>
      </c>
      <c r="N296" s="4">
        <v>223.50000000000003</v>
      </c>
      <c r="O296" s="4">
        <v>283.33999999999997</v>
      </c>
      <c r="P296" s="4">
        <v>160.59</v>
      </c>
      <c r="Q296" s="4">
        <v>112.13</v>
      </c>
      <c r="S296" s="8">
        <f t="shared" si="12"/>
        <v>129.92666666666668</v>
      </c>
      <c r="T296" s="8">
        <f t="shared" si="13"/>
        <v>-129.92666666666668</v>
      </c>
      <c r="U296" s="9">
        <f t="shared" si="14"/>
        <v>-1</v>
      </c>
    </row>
    <row r="297" spans="1:22" outlineLevel="2">
      <c r="A297" t="s">
        <v>242</v>
      </c>
      <c r="B297" t="s">
        <v>243</v>
      </c>
      <c r="C297" t="s">
        <v>25</v>
      </c>
      <c r="D297" t="s">
        <v>26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424.29</v>
      </c>
      <c r="O297" s="4">
        <v>482.44</v>
      </c>
      <c r="P297" s="4">
        <v>573.20000000000005</v>
      </c>
      <c r="Q297" s="4">
        <v>119.9</v>
      </c>
      <c r="S297" s="8">
        <f t="shared" si="12"/>
        <v>266.63833333333338</v>
      </c>
      <c r="T297" s="8">
        <f t="shared" si="13"/>
        <v>-266.63833333333338</v>
      </c>
      <c r="U297" s="9">
        <f t="shared" si="14"/>
        <v>-1</v>
      </c>
    </row>
    <row r="298" spans="1:22" outlineLevel="2">
      <c r="A298" t="s">
        <v>242</v>
      </c>
      <c r="B298" t="s">
        <v>243</v>
      </c>
      <c r="C298" t="s">
        <v>27</v>
      </c>
      <c r="D298" t="s">
        <v>28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78.09</v>
      </c>
      <c r="N298" s="4">
        <v>70</v>
      </c>
      <c r="O298" s="4">
        <v>1098.1300000000001</v>
      </c>
      <c r="P298" s="4">
        <v>1396.15</v>
      </c>
      <c r="Q298" s="4">
        <v>837.7</v>
      </c>
      <c r="S298" s="8">
        <f t="shared" si="12"/>
        <v>580.01166666666666</v>
      </c>
      <c r="T298" s="8">
        <f t="shared" si="13"/>
        <v>-580.01166666666666</v>
      </c>
      <c r="U298" s="9">
        <f t="shared" si="14"/>
        <v>-1</v>
      </c>
    </row>
    <row r="299" spans="1:22" outlineLevel="2">
      <c r="A299" t="s">
        <v>242</v>
      </c>
      <c r="B299" t="s">
        <v>243</v>
      </c>
      <c r="C299" t="s">
        <v>136</v>
      </c>
      <c r="D299" t="s">
        <v>137</v>
      </c>
      <c r="E299" s="4">
        <v>99339.98000000001</v>
      </c>
      <c r="F299" s="4">
        <v>98681.319999999992</v>
      </c>
      <c r="G299" s="4">
        <v>84948.32</v>
      </c>
      <c r="H299" s="4">
        <v>84142.420000000013</v>
      </c>
      <c r="I299" s="4">
        <v>86947.15</v>
      </c>
      <c r="J299" s="4">
        <v>88325.11</v>
      </c>
      <c r="K299" s="4">
        <v>97881.5</v>
      </c>
      <c r="L299" s="4">
        <v>91288.48000000001</v>
      </c>
      <c r="M299" s="4">
        <v>80303.8</v>
      </c>
      <c r="N299" s="4">
        <v>98606.95</v>
      </c>
      <c r="O299" s="4">
        <v>95138.959999999992</v>
      </c>
      <c r="P299" s="4">
        <v>98310.26999999999</v>
      </c>
      <c r="Q299" s="4">
        <v>98310.24000000002</v>
      </c>
      <c r="R299" s="4">
        <v>88796.36</v>
      </c>
      <c r="S299" s="8">
        <f t="shared" si="12"/>
        <v>93659.78333333334</v>
      </c>
      <c r="T299" s="8">
        <f t="shared" si="13"/>
        <v>-4863.4233333333395</v>
      </c>
      <c r="U299" s="9">
        <f t="shared" si="14"/>
        <v>-5.1926484989021499E-2</v>
      </c>
    </row>
    <row r="300" spans="1:22" outlineLevel="2">
      <c r="A300" t="s">
        <v>242</v>
      </c>
      <c r="B300" t="s">
        <v>243</v>
      </c>
      <c r="C300" t="s">
        <v>142</v>
      </c>
      <c r="D300" t="s">
        <v>143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5000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S300" s="8">
        <f t="shared" si="12"/>
        <v>0</v>
      </c>
      <c r="T300" s="8">
        <f t="shared" si="13"/>
        <v>0</v>
      </c>
      <c r="U300" s="9" t="e">
        <f t="shared" si="14"/>
        <v>#DIV/0!</v>
      </c>
    </row>
    <row r="301" spans="1:22" outlineLevel="2">
      <c r="A301" t="s">
        <v>242</v>
      </c>
      <c r="B301" t="s">
        <v>243</v>
      </c>
      <c r="C301" t="s">
        <v>144</v>
      </c>
      <c r="D301" t="s">
        <v>145</v>
      </c>
      <c r="E301" s="4">
        <v>19073.63</v>
      </c>
      <c r="F301" s="4">
        <v>4857.16</v>
      </c>
      <c r="G301" s="4">
        <v>18960.75</v>
      </c>
      <c r="H301" s="4">
        <v>12761.900000000001</v>
      </c>
      <c r="I301" s="4">
        <v>21649.46</v>
      </c>
      <c r="J301" s="4">
        <v>4843.6099999999988</v>
      </c>
      <c r="K301" s="4">
        <v>16501.019999999997</v>
      </c>
      <c r="L301" s="4">
        <v>16714.760000000002</v>
      </c>
      <c r="M301" s="4">
        <v>19227.53</v>
      </c>
      <c r="N301" s="4">
        <v>14619.279999999999</v>
      </c>
      <c r="O301" s="4">
        <v>13500.8</v>
      </c>
      <c r="P301" s="4">
        <v>11849.59</v>
      </c>
      <c r="Q301" s="4">
        <v>18252.54</v>
      </c>
      <c r="R301" s="4">
        <v>3658.2700000000004</v>
      </c>
      <c r="S301" s="8">
        <f t="shared" si="12"/>
        <v>15694.083333333334</v>
      </c>
      <c r="T301" s="8">
        <f t="shared" si="13"/>
        <v>-12035.813333333334</v>
      </c>
      <c r="U301" s="9">
        <f t="shared" si="14"/>
        <v>-0.76690132693318602</v>
      </c>
    </row>
    <row r="302" spans="1:22" outlineLevel="2">
      <c r="A302" t="s">
        <v>242</v>
      </c>
      <c r="B302" t="s">
        <v>243</v>
      </c>
      <c r="C302" t="s">
        <v>146</v>
      </c>
      <c r="D302" t="s">
        <v>147</v>
      </c>
      <c r="E302" s="4">
        <v>9934.02</v>
      </c>
      <c r="F302" s="4">
        <v>10187.949999999999</v>
      </c>
      <c r="G302" s="4">
        <v>15910.64</v>
      </c>
      <c r="H302" s="4">
        <v>8414.24</v>
      </c>
      <c r="I302" s="4">
        <v>8203.7900000000009</v>
      </c>
      <c r="J302" s="4">
        <v>7764.6399999999994</v>
      </c>
      <c r="K302" s="4">
        <v>10456.700000000001</v>
      </c>
      <c r="L302" s="4">
        <v>7223.23</v>
      </c>
      <c r="M302" s="4">
        <v>15228.94</v>
      </c>
      <c r="N302" s="4">
        <v>7638.59</v>
      </c>
      <c r="O302" s="4">
        <v>7392.1900000000005</v>
      </c>
      <c r="P302" s="4">
        <v>8000.26</v>
      </c>
      <c r="Q302" s="4">
        <v>9979.43</v>
      </c>
      <c r="R302" s="4">
        <v>8879.68</v>
      </c>
      <c r="S302" s="8">
        <f t="shared" si="12"/>
        <v>9243.7733333333326</v>
      </c>
      <c r="T302" s="8">
        <f t="shared" si="13"/>
        <v>-364.09333333333234</v>
      </c>
      <c r="U302" s="9">
        <f t="shared" si="14"/>
        <v>-3.9387955567928144E-2</v>
      </c>
    </row>
    <row r="303" spans="1:22" outlineLevel="2">
      <c r="A303" t="s">
        <v>242</v>
      </c>
      <c r="B303" t="s">
        <v>243</v>
      </c>
      <c r="C303" t="s">
        <v>150</v>
      </c>
      <c r="D303" t="s">
        <v>151</v>
      </c>
      <c r="E303" s="4">
        <v>0</v>
      </c>
      <c r="F303" s="4">
        <v>33572</v>
      </c>
      <c r="G303" s="4">
        <v>6714.3999999999942</v>
      </c>
      <c r="H303" s="4">
        <v>31705.47</v>
      </c>
      <c r="I303" s="4">
        <v>31496.45</v>
      </c>
      <c r="J303" s="4">
        <v>20877.64</v>
      </c>
      <c r="K303" s="4">
        <v>28470.78</v>
      </c>
      <c r="L303" s="4">
        <v>25770.78</v>
      </c>
      <c r="M303" s="4">
        <v>25770.78</v>
      </c>
      <c r="N303" s="4">
        <v>21876.7</v>
      </c>
      <c r="O303" s="4">
        <v>21876.7</v>
      </c>
      <c r="P303" s="4">
        <v>21876.7</v>
      </c>
      <c r="Q303" s="4">
        <v>16030.25</v>
      </c>
      <c r="R303" s="4">
        <v>16995.47</v>
      </c>
      <c r="S303" s="8">
        <f t="shared" si="12"/>
        <v>22200.318333333329</v>
      </c>
      <c r="T303" s="8">
        <f t="shared" si="13"/>
        <v>-5204.8483333333279</v>
      </c>
      <c r="U303" s="9">
        <f t="shared" si="14"/>
        <v>-0.23444926578004754</v>
      </c>
    </row>
    <row r="304" spans="1:22" outlineLevel="2">
      <c r="A304" t="s">
        <v>242</v>
      </c>
      <c r="B304" t="s">
        <v>243</v>
      </c>
      <c r="C304" t="s">
        <v>152</v>
      </c>
      <c r="D304" t="s">
        <v>153</v>
      </c>
      <c r="E304" s="4">
        <v>7389.4900000000007</v>
      </c>
      <c r="F304" s="4">
        <v>7468.9599999999991</v>
      </c>
      <c r="G304" s="4">
        <v>11917.83</v>
      </c>
      <c r="H304" s="4">
        <v>6181.58</v>
      </c>
      <c r="I304" s="4">
        <v>6568.82</v>
      </c>
      <c r="J304" s="4">
        <v>14210.2</v>
      </c>
      <c r="K304" s="4">
        <v>7594.2</v>
      </c>
      <c r="L304" s="4">
        <v>4566.5</v>
      </c>
      <c r="M304" s="4">
        <v>5586.52</v>
      </c>
      <c r="N304" s="4">
        <v>8111.7800000000007</v>
      </c>
      <c r="O304" s="4">
        <v>5882.94</v>
      </c>
      <c r="P304" s="4">
        <v>6370.5</v>
      </c>
      <c r="Q304" s="4">
        <v>7206.53</v>
      </c>
      <c r="R304" s="4">
        <v>25751.339999999997</v>
      </c>
      <c r="S304" s="8">
        <f t="shared" si="12"/>
        <v>6287.461666666667</v>
      </c>
      <c r="T304" s="8">
        <f t="shared" si="13"/>
        <v>19463.87833333333</v>
      </c>
      <c r="U304" s="9">
        <f t="shared" si="14"/>
        <v>3.0956655269203757</v>
      </c>
      <c r="V304" t="s">
        <v>896</v>
      </c>
    </row>
    <row r="305" spans="1:21" outlineLevel="2">
      <c r="A305" t="s">
        <v>242</v>
      </c>
      <c r="B305" t="s">
        <v>243</v>
      </c>
      <c r="C305" t="s">
        <v>154</v>
      </c>
      <c r="D305" t="s">
        <v>155</v>
      </c>
      <c r="E305" s="4">
        <v>1094.9000000000001</v>
      </c>
      <c r="F305" s="4">
        <v>0</v>
      </c>
      <c r="G305" s="4">
        <v>0</v>
      </c>
      <c r="H305" s="4">
        <v>0</v>
      </c>
      <c r="I305" s="4">
        <v>0</v>
      </c>
      <c r="J305" s="4">
        <v>91</v>
      </c>
      <c r="K305" s="4">
        <v>0</v>
      </c>
      <c r="L305" s="4">
        <v>0</v>
      </c>
      <c r="M305" s="4">
        <v>0</v>
      </c>
      <c r="N305" s="4">
        <v>91</v>
      </c>
      <c r="O305" s="4">
        <v>0</v>
      </c>
      <c r="P305" s="4">
        <v>0</v>
      </c>
      <c r="Q305" s="4">
        <v>819</v>
      </c>
      <c r="S305" s="8">
        <f t="shared" si="12"/>
        <v>151.66666666666666</v>
      </c>
      <c r="T305" s="8">
        <f t="shared" si="13"/>
        <v>-151.66666666666666</v>
      </c>
      <c r="U305" s="9">
        <f t="shared" si="14"/>
        <v>-1</v>
      </c>
    </row>
    <row r="306" spans="1:21" outlineLevel="2">
      <c r="A306" t="s">
        <v>242</v>
      </c>
      <c r="B306" t="s">
        <v>243</v>
      </c>
      <c r="C306" t="s">
        <v>33</v>
      </c>
      <c r="D306" t="s">
        <v>34</v>
      </c>
      <c r="E306" s="4">
        <v>125</v>
      </c>
      <c r="F306" s="4">
        <v>0</v>
      </c>
      <c r="G306" s="4">
        <v>550</v>
      </c>
      <c r="H306" s="4">
        <v>700</v>
      </c>
      <c r="I306" s="4">
        <v>0</v>
      </c>
      <c r="J306" s="4">
        <v>0</v>
      </c>
      <c r="K306" s="4">
        <v>0</v>
      </c>
      <c r="L306" s="4">
        <v>0</v>
      </c>
      <c r="M306" s="4">
        <v>125</v>
      </c>
      <c r="N306" s="4">
        <v>0</v>
      </c>
      <c r="O306" s="4">
        <v>0</v>
      </c>
      <c r="P306" s="4">
        <v>374</v>
      </c>
      <c r="Q306" s="4">
        <v>250</v>
      </c>
      <c r="R306" s="4">
        <v>1850</v>
      </c>
      <c r="S306" s="8">
        <f t="shared" si="12"/>
        <v>124.83333333333333</v>
      </c>
      <c r="T306" s="8">
        <f t="shared" si="13"/>
        <v>1725.1666666666667</v>
      </c>
      <c r="U306" s="9">
        <f t="shared" si="14"/>
        <v>13.819759679572766</v>
      </c>
    </row>
    <row r="307" spans="1:21" outlineLevel="2">
      <c r="A307" t="s">
        <v>242</v>
      </c>
      <c r="B307" t="s">
        <v>243</v>
      </c>
      <c r="C307" t="s">
        <v>180</v>
      </c>
      <c r="D307" t="s">
        <v>181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316.5</v>
      </c>
      <c r="S307" s="8">
        <f t="shared" si="12"/>
        <v>52.75</v>
      </c>
      <c r="T307" s="8">
        <f t="shared" si="13"/>
        <v>-52.75</v>
      </c>
      <c r="U307" s="9">
        <f t="shared" si="14"/>
        <v>-1</v>
      </c>
    </row>
    <row r="308" spans="1:21" outlineLevel="2">
      <c r="A308" t="s">
        <v>242</v>
      </c>
      <c r="B308" t="s">
        <v>243</v>
      </c>
      <c r="C308" t="s">
        <v>158</v>
      </c>
      <c r="D308" t="s">
        <v>159</v>
      </c>
      <c r="E308" s="4">
        <v>19666.669999999998</v>
      </c>
      <c r="F308" s="4">
        <v>19667</v>
      </c>
      <c r="G308" s="4">
        <v>22591.500000000007</v>
      </c>
      <c r="H308" s="4">
        <v>20229.37</v>
      </c>
      <c r="I308" s="4">
        <v>19667</v>
      </c>
      <c r="J308" s="4">
        <v>30163.059999999998</v>
      </c>
      <c r="K308" s="4">
        <v>19667</v>
      </c>
      <c r="L308" s="4">
        <v>19667</v>
      </c>
      <c r="M308" s="4">
        <v>22698.639999999999</v>
      </c>
      <c r="N308" s="4">
        <v>19667</v>
      </c>
      <c r="O308" s="4">
        <v>19667</v>
      </c>
      <c r="P308" s="4">
        <v>23836.269999999997</v>
      </c>
      <c r="Q308" s="4">
        <v>19133.330000000002</v>
      </c>
      <c r="R308" s="4">
        <v>19133.330000000002</v>
      </c>
      <c r="S308" s="8">
        <f t="shared" si="12"/>
        <v>20778.206666666669</v>
      </c>
      <c r="T308" s="8">
        <f t="shared" si="13"/>
        <v>-1644.876666666667</v>
      </c>
      <c r="U308" s="9">
        <f t="shared" si="14"/>
        <v>-7.91635530945725E-2</v>
      </c>
    </row>
    <row r="309" spans="1:21" outlineLevel="2">
      <c r="A309" t="s">
        <v>242</v>
      </c>
      <c r="B309" t="s">
        <v>243</v>
      </c>
      <c r="C309" t="s">
        <v>160</v>
      </c>
      <c r="D309" t="s">
        <v>161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2985.42</v>
      </c>
      <c r="N309" s="4">
        <v>0</v>
      </c>
      <c r="O309" s="4">
        <v>0</v>
      </c>
      <c r="P309" s="4">
        <v>691.13</v>
      </c>
      <c r="Q309" s="4">
        <v>0</v>
      </c>
      <c r="S309" s="8">
        <f t="shared" si="12"/>
        <v>612.75833333333333</v>
      </c>
      <c r="T309" s="8">
        <f t="shared" si="13"/>
        <v>-612.75833333333333</v>
      </c>
      <c r="U309" s="9">
        <f t="shared" si="14"/>
        <v>-1</v>
      </c>
    </row>
    <row r="310" spans="1:21" outlineLevel="2">
      <c r="A310" t="s">
        <v>242</v>
      </c>
      <c r="B310" t="s">
        <v>243</v>
      </c>
      <c r="C310" t="s">
        <v>164</v>
      </c>
      <c r="D310" t="s">
        <v>165</v>
      </c>
      <c r="E310" s="4">
        <v>105</v>
      </c>
      <c r="F310" s="4">
        <v>70</v>
      </c>
      <c r="G310" s="4">
        <v>70</v>
      </c>
      <c r="H310" s="4">
        <v>70</v>
      </c>
      <c r="I310" s="4">
        <v>70</v>
      </c>
      <c r="J310" s="4">
        <v>70</v>
      </c>
      <c r="K310" s="4">
        <v>70</v>
      </c>
      <c r="L310" s="4">
        <v>105</v>
      </c>
      <c r="M310" s="4">
        <v>70</v>
      </c>
      <c r="N310" s="4">
        <v>70</v>
      </c>
      <c r="O310" s="4">
        <v>70</v>
      </c>
      <c r="P310" s="4">
        <v>70</v>
      </c>
      <c r="Q310" s="4">
        <v>665</v>
      </c>
      <c r="R310" s="4">
        <v>630</v>
      </c>
      <c r="S310" s="8">
        <f t="shared" si="12"/>
        <v>175</v>
      </c>
      <c r="T310" s="8">
        <f t="shared" si="13"/>
        <v>455</v>
      </c>
      <c r="U310" s="9">
        <f t="shared" si="14"/>
        <v>2.6</v>
      </c>
    </row>
    <row r="311" spans="1:21" outlineLevel="2">
      <c r="A311" t="s">
        <v>242</v>
      </c>
      <c r="B311" t="s">
        <v>243</v>
      </c>
      <c r="C311" t="s">
        <v>87</v>
      </c>
      <c r="D311" t="s">
        <v>88</v>
      </c>
      <c r="E311" s="4">
        <v>8340.74</v>
      </c>
      <c r="F311" s="4">
        <v>8340.74</v>
      </c>
      <c r="G311" s="4">
        <v>8340.74</v>
      </c>
      <c r="H311" s="4">
        <v>3697.41</v>
      </c>
      <c r="I311" s="4">
        <v>12985.41</v>
      </c>
      <c r="J311" s="4">
        <v>8341.41</v>
      </c>
      <c r="K311" s="4">
        <v>4644</v>
      </c>
      <c r="L311" s="4">
        <v>12267.5</v>
      </c>
      <c r="M311" s="4">
        <v>8455.7000000000007</v>
      </c>
      <c r="N311" s="4">
        <v>8455.7000000000007</v>
      </c>
      <c r="O311" s="4">
        <v>8455.7000000000007</v>
      </c>
      <c r="P311" s="4">
        <v>8455.7000000000007</v>
      </c>
      <c r="Q311" s="4">
        <v>13478.64</v>
      </c>
      <c r="R311" s="4">
        <v>13478.66</v>
      </c>
      <c r="S311" s="8">
        <f t="shared" si="12"/>
        <v>9928.1566666666677</v>
      </c>
      <c r="T311" s="8">
        <f t="shared" si="13"/>
        <v>3550.5033333333322</v>
      </c>
      <c r="U311" s="9">
        <f t="shared" si="14"/>
        <v>0.35761959168653984</v>
      </c>
    </row>
    <row r="312" spans="1:21" outlineLevel="2">
      <c r="A312" t="s">
        <v>242</v>
      </c>
      <c r="B312" t="s">
        <v>243</v>
      </c>
      <c r="C312" t="s">
        <v>166</v>
      </c>
      <c r="D312" t="s">
        <v>167</v>
      </c>
      <c r="E312" s="4">
        <v>110</v>
      </c>
      <c r="F312" s="4">
        <v>0</v>
      </c>
      <c r="G312" s="4">
        <v>0</v>
      </c>
      <c r="H312" s="4">
        <v>1750</v>
      </c>
      <c r="I312" s="4">
        <v>340</v>
      </c>
      <c r="J312" s="4">
        <v>0</v>
      </c>
      <c r="K312" s="4">
        <v>0</v>
      </c>
      <c r="L312" s="4">
        <v>749.86</v>
      </c>
      <c r="M312" s="4">
        <v>0</v>
      </c>
      <c r="N312" s="4">
        <v>0</v>
      </c>
      <c r="O312" s="4">
        <v>232</v>
      </c>
      <c r="P312" s="4">
        <v>852.44</v>
      </c>
      <c r="Q312" s="4">
        <v>0</v>
      </c>
      <c r="S312" s="8">
        <f t="shared" si="12"/>
        <v>305.7166666666667</v>
      </c>
      <c r="T312" s="8">
        <f t="shared" si="13"/>
        <v>-305.7166666666667</v>
      </c>
      <c r="U312" s="9">
        <f t="shared" si="14"/>
        <v>-1</v>
      </c>
    </row>
    <row r="313" spans="1:21" outlineLevel="2">
      <c r="A313" t="s">
        <v>242</v>
      </c>
      <c r="B313" t="s">
        <v>243</v>
      </c>
      <c r="C313" t="s">
        <v>222</v>
      </c>
      <c r="D313" t="s">
        <v>223</v>
      </c>
      <c r="E313" s="4">
        <v>0</v>
      </c>
      <c r="F313" s="4">
        <v>0</v>
      </c>
      <c r="G313" s="4">
        <v>0</v>
      </c>
      <c r="H313" s="4">
        <v>4644</v>
      </c>
      <c r="I313" s="4">
        <v>-4644</v>
      </c>
      <c r="J313" s="4">
        <v>0</v>
      </c>
      <c r="K313" s="4">
        <v>3811.75</v>
      </c>
      <c r="L313" s="4">
        <v>-3811.8</v>
      </c>
      <c r="M313" s="4">
        <v>0</v>
      </c>
      <c r="N313" s="4">
        <v>0</v>
      </c>
      <c r="O313" s="4">
        <v>0</v>
      </c>
      <c r="P313" s="4">
        <v>0</v>
      </c>
      <c r="Q313" s="4">
        <v>-2.7284841053187847E-12</v>
      </c>
      <c r="S313" s="8">
        <f t="shared" si="12"/>
        <v>-635.30000000000052</v>
      </c>
      <c r="T313" s="8">
        <f t="shared" si="13"/>
        <v>635.30000000000052</v>
      </c>
      <c r="U313" s="9">
        <f t="shared" si="14"/>
        <v>-1</v>
      </c>
    </row>
    <row r="314" spans="1:21" outlineLevel="2">
      <c r="A314" t="s">
        <v>242</v>
      </c>
      <c r="B314" t="s">
        <v>243</v>
      </c>
      <c r="C314" t="s">
        <v>101</v>
      </c>
      <c r="D314" t="s">
        <v>102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60000</v>
      </c>
      <c r="P314" s="4">
        <v>-10000</v>
      </c>
      <c r="Q314" s="4">
        <v>0</v>
      </c>
      <c r="S314" s="8">
        <f t="shared" si="12"/>
        <v>8333.3333333333339</v>
      </c>
      <c r="T314" s="8">
        <f t="shared" si="13"/>
        <v>-8333.3333333333339</v>
      </c>
      <c r="U314" s="9">
        <f t="shared" si="14"/>
        <v>-1</v>
      </c>
    </row>
    <row r="315" spans="1:21" outlineLevel="2">
      <c r="A315" t="s">
        <v>242</v>
      </c>
      <c r="B315" t="s">
        <v>243</v>
      </c>
      <c r="C315" t="s">
        <v>170</v>
      </c>
      <c r="D315" t="s">
        <v>171</v>
      </c>
      <c r="E315" s="4">
        <v>810</v>
      </c>
      <c r="F315" s="4">
        <v>540</v>
      </c>
      <c r="G315" s="4">
        <v>450</v>
      </c>
      <c r="H315" s="4">
        <v>450</v>
      </c>
      <c r="I315" s="4">
        <v>450</v>
      </c>
      <c r="J315" s="4">
        <v>450</v>
      </c>
      <c r="K315" s="4">
        <v>450</v>
      </c>
      <c r="L315" s="4">
        <v>675</v>
      </c>
      <c r="M315" s="4">
        <v>450</v>
      </c>
      <c r="N315" s="4">
        <v>630</v>
      </c>
      <c r="O315" s="4">
        <v>720</v>
      </c>
      <c r="P315" s="4">
        <v>720</v>
      </c>
      <c r="Q315" s="4">
        <v>360</v>
      </c>
      <c r="S315" s="8">
        <f t="shared" si="12"/>
        <v>592.5</v>
      </c>
      <c r="T315" s="8">
        <f t="shared" si="13"/>
        <v>-592.5</v>
      </c>
      <c r="U315" s="9">
        <f t="shared" si="14"/>
        <v>-1</v>
      </c>
    </row>
    <row r="316" spans="1:21" outlineLevel="2">
      <c r="A316" t="s">
        <v>242</v>
      </c>
      <c r="B316" t="s">
        <v>243</v>
      </c>
      <c r="C316" t="s">
        <v>127</v>
      </c>
      <c r="D316" t="s">
        <v>120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355</v>
      </c>
      <c r="M316" s="4">
        <v>0</v>
      </c>
      <c r="N316" s="4">
        <v>620</v>
      </c>
      <c r="O316" s="4">
        <v>0</v>
      </c>
      <c r="P316" s="4">
        <v>0</v>
      </c>
      <c r="Q316" s="4">
        <v>0</v>
      </c>
      <c r="S316" s="8">
        <f t="shared" si="12"/>
        <v>162.5</v>
      </c>
      <c r="T316" s="8">
        <f t="shared" si="13"/>
        <v>-162.5</v>
      </c>
      <c r="U316" s="9">
        <f t="shared" si="14"/>
        <v>-1</v>
      </c>
    </row>
    <row r="317" spans="1:21" outlineLevel="1">
      <c r="A317" s="1" t="s">
        <v>693</v>
      </c>
      <c r="E317" s="4">
        <f>SUBTOTAL(9,E295:E316)</f>
        <v>166531.03999999998</v>
      </c>
      <c r="F317" s="4">
        <f>SUBTOTAL(9,F295:F316)</f>
        <v>183385.12999999998</v>
      </c>
      <c r="G317" s="4">
        <f>SUBTOTAL(9,G295:G316)</f>
        <v>173657.11</v>
      </c>
      <c r="H317" s="4">
        <f>SUBTOTAL(9,H295:H316)</f>
        <v>177648.53000000003</v>
      </c>
      <c r="I317" s="4">
        <f>SUBTOTAL(9,I295:I316)</f>
        <v>184753.00000000003</v>
      </c>
      <c r="J317" s="4">
        <f>SUBTOTAL(9,J295:J316)</f>
        <v>180136.67</v>
      </c>
      <c r="K317" s="4">
        <f>SUBTOTAL(9,K295:K316)</f>
        <v>189546.95</v>
      </c>
      <c r="L317" s="4">
        <f>SUBTOTAL(9,L295:L316)</f>
        <v>175571.31</v>
      </c>
      <c r="M317" s="4">
        <f>SUBTOTAL(9,M295:M316)</f>
        <v>181055.42</v>
      </c>
      <c r="N317" s="4">
        <f>SUBTOTAL(9,N295:N316)</f>
        <v>181208.55000000002</v>
      </c>
      <c r="O317" s="4">
        <f>SUBTOTAL(9,O295:O316)</f>
        <v>234852.76</v>
      </c>
      <c r="P317" s="4">
        <f>SUBTOTAL(9,P295:P316)</f>
        <v>173536.8</v>
      </c>
      <c r="Q317" s="4">
        <f>SUBTOTAL(9,Q295:Q316)</f>
        <v>186049.63</v>
      </c>
      <c r="R317" s="4">
        <f>SUBTOTAL(9,R295:R316)</f>
        <v>179173.11000000002</v>
      </c>
      <c r="S317" s="8">
        <f t="shared" si="12"/>
        <v>188712.41166666671</v>
      </c>
      <c r="T317" s="8">
        <f t="shared" si="13"/>
        <v>-9539.3016666666954</v>
      </c>
      <c r="U317" s="9">
        <f t="shared" si="14"/>
        <v>-5.0549413164813442E-2</v>
      </c>
    </row>
    <row r="318" spans="1:21" outlineLevel="2">
      <c r="A318" t="s">
        <v>244</v>
      </c>
      <c r="B318" t="s">
        <v>245</v>
      </c>
      <c r="C318" t="s">
        <v>184</v>
      </c>
      <c r="D318" t="s">
        <v>185</v>
      </c>
      <c r="E318" s="4">
        <v>0</v>
      </c>
      <c r="F318" s="4">
        <v>15913.5</v>
      </c>
      <c r="G318" s="4">
        <v>-15913.5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S318" s="8">
        <f t="shared" si="12"/>
        <v>0</v>
      </c>
      <c r="T318" s="8">
        <f t="shared" si="13"/>
        <v>0</v>
      </c>
      <c r="U318" s="9" t="e">
        <f t="shared" si="14"/>
        <v>#DIV/0!</v>
      </c>
    </row>
    <row r="319" spans="1:21" outlineLevel="2">
      <c r="A319" t="s">
        <v>244</v>
      </c>
      <c r="B319" t="s">
        <v>245</v>
      </c>
      <c r="C319" t="s">
        <v>99</v>
      </c>
      <c r="D319" t="s">
        <v>100</v>
      </c>
      <c r="E319" s="4">
        <v>0</v>
      </c>
      <c r="F319" s="4">
        <v>13252.5</v>
      </c>
      <c r="G319" s="4">
        <v>15702.5</v>
      </c>
      <c r="H319" s="4">
        <v>-6747.5</v>
      </c>
      <c r="I319" s="4">
        <v>0</v>
      </c>
      <c r="J319" s="4">
        <v>-0.5</v>
      </c>
      <c r="K319" s="4">
        <v>0</v>
      </c>
      <c r="L319" s="4">
        <v>-2207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2207.5</v>
      </c>
      <c r="S319" s="8">
        <f t="shared" si="12"/>
        <v>-367.83333333333331</v>
      </c>
      <c r="T319" s="8">
        <f t="shared" si="13"/>
        <v>2575.3333333333335</v>
      </c>
      <c r="U319" s="9">
        <f t="shared" si="14"/>
        <v>-7.0013593112822843</v>
      </c>
    </row>
    <row r="320" spans="1:21" outlineLevel="2">
      <c r="A320" t="s">
        <v>244</v>
      </c>
      <c r="B320" t="s">
        <v>245</v>
      </c>
      <c r="C320" t="s">
        <v>101</v>
      </c>
      <c r="D320" t="s">
        <v>102</v>
      </c>
      <c r="E320" s="4">
        <v>2327.7200000000012</v>
      </c>
      <c r="F320" s="4">
        <v>28663.82</v>
      </c>
      <c r="G320" s="4">
        <v>58245.62999999999</v>
      </c>
      <c r="H320" s="4">
        <v>16490.97</v>
      </c>
      <c r="I320" s="4">
        <v>22221.39</v>
      </c>
      <c r="J320" s="4">
        <v>22221.39</v>
      </c>
      <c r="K320" s="4">
        <v>18058.97</v>
      </c>
      <c r="L320" s="4">
        <v>21008.97</v>
      </c>
      <c r="M320" s="4">
        <v>16170.44</v>
      </c>
      <c r="N320" s="4">
        <v>15108.97</v>
      </c>
      <c r="O320" s="4">
        <v>15108.97</v>
      </c>
      <c r="P320" s="4">
        <v>72075.939999999988</v>
      </c>
      <c r="Q320" s="4">
        <v>11828.64</v>
      </c>
      <c r="S320" s="8">
        <f t="shared" si="12"/>
        <v>25216.988333333331</v>
      </c>
      <c r="T320" s="8">
        <f t="shared" si="13"/>
        <v>-25216.988333333331</v>
      </c>
      <c r="U320" s="9">
        <f t="shared" si="14"/>
        <v>-1</v>
      </c>
    </row>
    <row r="321" spans="1:22" outlineLevel="1">
      <c r="A321" s="1" t="s">
        <v>694</v>
      </c>
      <c r="E321" s="4">
        <f>SUBTOTAL(9,E318:E320)</f>
        <v>2327.7200000000012</v>
      </c>
      <c r="F321" s="4">
        <f>SUBTOTAL(9,F318:F320)</f>
        <v>57829.82</v>
      </c>
      <c r="G321" s="4">
        <f>SUBTOTAL(9,G318:G320)</f>
        <v>58034.62999999999</v>
      </c>
      <c r="H321" s="4">
        <f>SUBTOTAL(9,H318:H320)</f>
        <v>9743.4700000000012</v>
      </c>
      <c r="I321" s="4">
        <f>SUBTOTAL(9,I318:I320)</f>
        <v>22221.39</v>
      </c>
      <c r="J321" s="4">
        <f>SUBTOTAL(9,J318:J320)</f>
        <v>22220.89</v>
      </c>
      <c r="K321" s="4">
        <f>SUBTOTAL(9,K318:K320)</f>
        <v>18058.97</v>
      </c>
      <c r="L321" s="4">
        <f>SUBTOTAL(9,L318:L320)</f>
        <v>18801.97</v>
      </c>
      <c r="M321" s="4">
        <f>SUBTOTAL(9,M318:M320)</f>
        <v>16170.44</v>
      </c>
      <c r="N321" s="4">
        <f>SUBTOTAL(9,N318:N320)</f>
        <v>15108.97</v>
      </c>
      <c r="O321" s="4">
        <f>SUBTOTAL(9,O318:O320)</f>
        <v>15108.97</v>
      </c>
      <c r="P321" s="4">
        <f>SUBTOTAL(9,P318:P320)</f>
        <v>72075.939999999988</v>
      </c>
      <c r="Q321" s="4">
        <f>SUBTOTAL(9,Q318:Q320)</f>
        <v>11828.64</v>
      </c>
      <c r="R321" s="4">
        <f>SUBTOTAL(9,R318:R320)</f>
        <v>2207.5</v>
      </c>
      <c r="S321" s="8">
        <f t="shared" si="12"/>
        <v>24849.154999999999</v>
      </c>
      <c r="T321" s="8">
        <f t="shared" si="13"/>
        <v>-22641.654999999999</v>
      </c>
      <c r="U321" s="9">
        <f t="shared" si="14"/>
        <v>-0.91116398122994524</v>
      </c>
    </row>
    <row r="322" spans="1:22" outlineLevel="2">
      <c r="A322" t="s">
        <v>246</v>
      </c>
      <c r="B322" t="s">
        <v>247</v>
      </c>
      <c r="C322" t="s">
        <v>21</v>
      </c>
      <c r="D322" t="s">
        <v>22</v>
      </c>
      <c r="E322" s="4">
        <v>724.98</v>
      </c>
      <c r="F322" s="4">
        <v>-170.91</v>
      </c>
      <c r="G322" s="4">
        <v>4091.8400000000011</v>
      </c>
      <c r="H322" s="4">
        <v>4496.8899999999994</v>
      </c>
      <c r="I322" s="4">
        <v>2218.2000000000003</v>
      </c>
      <c r="J322" s="4">
        <v>1894.2200000000003</v>
      </c>
      <c r="K322" s="4">
        <v>-891.10000000000025</v>
      </c>
      <c r="L322" s="4">
        <v>586.97000000000014</v>
      </c>
      <c r="M322" s="4">
        <v>1291.1100000000001</v>
      </c>
      <c r="N322" s="4">
        <v>7343.3199999999979</v>
      </c>
      <c r="O322" s="4">
        <v>-329.62</v>
      </c>
      <c r="P322" s="4">
        <v>3271.8</v>
      </c>
      <c r="Q322" s="4">
        <v>1733.2299999999998</v>
      </c>
      <c r="R322" s="4">
        <v>2268.3600000000006</v>
      </c>
      <c r="S322" s="8">
        <f t="shared" si="12"/>
        <v>2316.1349999999998</v>
      </c>
      <c r="T322" s="8">
        <f t="shared" si="13"/>
        <v>-47.774999999999181</v>
      </c>
      <c r="U322" s="9">
        <f t="shared" si="14"/>
        <v>-2.0627035988834495E-2</v>
      </c>
    </row>
    <row r="323" spans="1:22" outlineLevel="2">
      <c r="A323" t="s">
        <v>246</v>
      </c>
      <c r="B323" t="s">
        <v>247</v>
      </c>
      <c r="C323" t="s">
        <v>23</v>
      </c>
      <c r="D323" t="s">
        <v>24</v>
      </c>
      <c r="E323" s="4">
        <v>5625.579999999999</v>
      </c>
      <c r="F323" s="4">
        <v>-1341.1999999999991</v>
      </c>
      <c r="G323" s="4">
        <v>4203.1500000000005</v>
      </c>
      <c r="H323" s="4">
        <v>269.61999999999978</v>
      </c>
      <c r="I323" s="4">
        <v>5621.2699999999986</v>
      </c>
      <c r="J323" s="4">
        <v>262.60999999999649</v>
      </c>
      <c r="K323" s="4">
        <v>3085.52</v>
      </c>
      <c r="L323" s="4">
        <v>3840.4799999999964</v>
      </c>
      <c r="M323" s="4">
        <v>849.37</v>
      </c>
      <c r="N323" s="4">
        <v>1219.4199999999996</v>
      </c>
      <c r="O323" s="4">
        <v>-1656.56</v>
      </c>
      <c r="P323" s="4">
        <v>693.31000000000006</v>
      </c>
      <c r="Q323" s="4">
        <v>1169.9600000000003</v>
      </c>
      <c r="R323" s="4">
        <v>915.68000000000006</v>
      </c>
      <c r="S323" s="8">
        <f t="shared" ref="S323:S386" si="15">AVERAGE(L323:Q323)</f>
        <v>1019.3299999999996</v>
      </c>
      <c r="T323" s="8">
        <f t="shared" ref="T323:T386" si="16">R323-S323</f>
        <v>-103.64999999999952</v>
      </c>
      <c r="U323" s="9">
        <f t="shared" ref="U323:U386" si="17">(R323-S323)/S323</f>
        <v>-0.10168443977907014</v>
      </c>
    </row>
    <row r="324" spans="1:22" outlineLevel="2">
      <c r="A324" t="s">
        <v>246</v>
      </c>
      <c r="B324" t="s">
        <v>247</v>
      </c>
      <c r="C324" t="s">
        <v>25</v>
      </c>
      <c r="D324" t="s">
        <v>26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2987.7699999999995</v>
      </c>
      <c r="N324" s="4">
        <v>7761.9900000000016</v>
      </c>
      <c r="O324" s="4">
        <v>-545.61999999999966</v>
      </c>
      <c r="P324" s="4">
        <v>3195.2100000000005</v>
      </c>
      <c r="Q324" s="4">
        <v>6423.7100000000064</v>
      </c>
      <c r="R324" s="4">
        <v>4427.9400000000005</v>
      </c>
      <c r="S324" s="8">
        <f t="shared" si="15"/>
        <v>3303.8433333333355</v>
      </c>
      <c r="T324" s="8">
        <f t="shared" si="16"/>
        <v>1124.096666666665</v>
      </c>
      <c r="U324" s="9">
        <f t="shared" si="17"/>
        <v>0.34023909527590518</v>
      </c>
    </row>
    <row r="325" spans="1:22" outlineLevel="2">
      <c r="A325" t="s">
        <v>246</v>
      </c>
      <c r="B325" t="s">
        <v>247</v>
      </c>
      <c r="C325" t="s">
        <v>27</v>
      </c>
      <c r="D325" t="s">
        <v>28</v>
      </c>
      <c r="E325" s="4">
        <v>390.95</v>
      </c>
      <c r="F325" s="4">
        <v>0</v>
      </c>
      <c r="G325" s="4">
        <v>153.76</v>
      </c>
      <c r="H325" s="4">
        <v>0</v>
      </c>
      <c r="I325" s="4">
        <v>704.47</v>
      </c>
      <c r="J325" s="4">
        <v>0</v>
      </c>
      <c r="K325" s="4">
        <v>505.97</v>
      </c>
      <c r="L325" s="4">
        <v>314.69</v>
      </c>
      <c r="M325" s="4">
        <v>2021.05</v>
      </c>
      <c r="N325" s="4">
        <v>6916.76</v>
      </c>
      <c r="O325" s="4">
        <v>-254.89999999999998</v>
      </c>
      <c r="P325" s="4">
        <v>1742.07</v>
      </c>
      <c r="Q325" s="4">
        <v>3489.9600000000005</v>
      </c>
      <c r="R325" s="4">
        <v>7682.0400000000045</v>
      </c>
      <c r="S325" s="8">
        <f t="shared" si="15"/>
        <v>2371.605</v>
      </c>
      <c r="T325" s="8">
        <f t="shared" si="16"/>
        <v>5310.4350000000049</v>
      </c>
      <c r="U325" s="9">
        <f t="shared" si="17"/>
        <v>2.2391734711303126</v>
      </c>
    </row>
    <row r="326" spans="1:22" outlineLevel="2">
      <c r="A326" t="s">
        <v>246</v>
      </c>
      <c r="B326" t="s">
        <v>247</v>
      </c>
      <c r="C326" t="s">
        <v>194</v>
      </c>
      <c r="D326" t="s">
        <v>195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10014</v>
      </c>
      <c r="Q326" s="4">
        <v>0</v>
      </c>
      <c r="R326" s="4">
        <v>0</v>
      </c>
      <c r="S326" s="8">
        <f t="shared" si="15"/>
        <v>1669</v>
      </c>
      <c r="T326" s="8">
        <f t="shared" si="16"/>
        <v>-1669</v>
      </c>
      <c r="U326" s="9">
        <f t="shared" si="17"/>
        <v>-1</v>
      </c>
    </row>
    <row r="327" spans="1:22" outlineLevel="2">
      <c r="A327" t="s">
        <v>246</v>
      </c>
      <c r="B327" t="s">
        <v>247</v>
      </c>
      <c r="C327" t="s">
        <v>136</v>
      </c>
      <c r="D327" t="s">
        <v>137</v>
      </c>
      <c r="E327" s="4">
        <v>836972.85</v>
      </c>
      <c r="F327" s="4">
        <v>756226.05</v>
      </c>
      <c r="G327" s="4">
        <v>814059.98</v>
      </c>
      <c r="H327" s="4">
        <v>556424.48</v>
      </c>
      <c r="I327" s="4">
        <v>668012.61999999988</v>
      </c>
      <c r="J327" s="4">
        <v>674376.68</v>
      </c>
      <c r="K327" s="4">
        <v>637590.21</v>
      </c>
      <c r="L327" s="4">
        <v>632148.1399999999</v>
      </c>
      <c r="M327" s="4">
        <v>472382.46999999986</v>
      </c>
      <c r="N327" s="4">
        <v>657068.67000000004</v>
      </c>
      <c r="O327" s="4">
        <v>538091.28</v>
      </c>
      <c r="P327" s="4">
        <v>637378.49</v>
      </c>
      <c r="Q327" s="4">
        <v>672734.66999999993</v>
      </c>
      <c r="R327" s="4">
        <v>613427.86</v>
      </c>
      <c r="S327" s="8">
        <f t="shared" si="15"/>
        <v>601633.95333333325</v>
      </c>
      <c r="T327" s="8">
        <f t="shared" si="16"/>
        <v>11793.906666666735</v>
      </c>
      <c r="U327" s="9">
        <f t="shared" si="17"/>
        <v>1.9603126787181777E-2</v>
      </c>
    </row>
    <row r="328" spans="1:22" outlineLevel="2">
      <c r="A328" t="s">
        <v>246</v>
      </c>
      <c r="B328" t="s">
        <v>247</v>
      </c>
      <c r="C328" t="s">
        <v>138</v>
      </c>
      <c r="D328" t="s">
        <v>139</v>
      </c>
      <c r="E328" s="4">
        <v>32973.410000000003</v>
      </c>
      <c r="F328" s="4">
        <v>24690.63</v>
      </c>
      <c r="G328" s="4">
        <v>27727.120000000003</v>
      </c>
      <c r="H328" s="4">
        <v>-18181.30000000001</v>
      </c>
      <c r="I328" s="4">
        <v>-648.2900000000227</v>
      </c>
      <c r="J328" s="4">
        <v>304.00000000000182</v>
      </c>
      <c r="K328" s="4">
        <v>-1.0000000000218279E-2</v>
      </c>
      <c r="L328" s="4">
        <v>1.0000000000218279E-2</v>
      </c>
      <c r="M328" s="4">
        <v>3687.0600000000004</v>
      </c>
      <c r="N328" s="4">
        <v>4770.6899999999951</v>
      </c>
      <c r="O328" s="4">
        <v>-7527.670000000001</v>
      </c>
      <c r="P328" s="4">
        <v>4100.0200000000004</v>
      </c>
      <c r="Q328" s="4">
        <v>-380.54000000000019</v>
      </c>
      <c r="S328" s="8">
        <f t="shared" si="15"/>
        <v>774.92833333333238</v>
      </c>
      <c r="T328" s="8">
        <f t="shared" si="16"/>
        <v>-774.92833333333238</v>
      </c>
      <c r="U328" s="9">
        <f t="shared" si="17"/>
        <v>-1</v>
      </c>
    </row>
    <row r="329" spans="1:22" outlineLevel="2">
      <c r="A329" t="s">
        <v>246</v>
      </c>
      <c r="B329" t="s">
        <v>247</v>
      </c>
      <c r="C329" t="s">
        <v>248</v>
      </c>
      <c r="D329" t="s">
        <v>249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351</v>
      </c>
      <c r="L329" s="4">
        <v>-351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S329" s="8">
        <f t="shared" si="15"/>
        <v>-58.5</v>
      </c>
      <c r="T329" s="8">
        <f t="shared" si="16"/>
        <v>58.5</v>
      </c>
      <c r="U329" s="9">
        <f t="shared" si="17"/>
        <v>-1</v>
      </c>
    </row>
    <row r="330" spans="1:22" outlineLevel="2">
      <c r="A330" t="s">
        <v>246</v>
      </c>
      <c r="B330" t="s">
        <v>247</v>
      </c>
      <c r="C330" t="s">
        <v>29</v>
      </c>
      <c r="D330" t="s">
        <v>30</v>
      </c>
      <c r="E330" s="4">
        <v>2474.56</v>
      </c>
      <c r="F330" s="4">
        <v>3805.01</v>
      </c>
      <c r="G330" s="4">
        <v>2589.56</v>
      </c>
      <c r="H330" s="4">
        <v>-1087.52</v>
      </c>
      <c r="I330" s="4">
        <v>296.82</v>
      </c>
      <c r="J330" s="4">
        <v>-1.4210854715202004E-14</v>
      </c>
      <c r="K330" s="4">
        <v>9.9999999999909051E-3</v>
      </c>
      <c r="L330" s="4">
        <v>0</v>
      </c>
      <c r="M330" s="4">
        <v>207.34999999999997</v>
      </c>
      <c r="N330" s="4">
        <v>454.35</v>
      </c>
      <c r="O330" s="4">
        <v>238.71</v>
      </c>
      <c r="P330" s="4">
        <v>-14.720000000000013</v>
      </c>
      <c r="Q330" s="4">
        <v>0</v>
      </c>
      <c r="S330" s="8">
        <f t="shared" si="15"/>
        <v>147.61500000000001</v>
      </c>
      <c r="T330" s="8">
        <f t="shared" si="16"/>
        <v>-147.61500000000001</v>
      </c>
      <c r="U330" s="9">
        <f t="shared" si="17"/>
        <v>-1</v>
      </c>
    </row>
    <row r="331" spans="1:22" outlineLevel="2">
      <c r="A331" t="s">
        <v>246</v>
      </c>
      <c r="B331" t="s">
        <v>247</v>
      </c>
      <c r="C331" t="s">
        <v>31</v>
      </c>
      <c r="D331" t="s">
        <v>32</v>
      </c>
      <c r="E331" s="4">
        <v>-13714.29</v>
      </c>
      <c r="F331" s="4">
        <v>0</v>
      </c>
      <c r="G331" s="4">
        <v>-27428.58</v>
      </c>
      <c r="H331" s="4">
        <v>-13714.29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S331" s="8">
        <f t="shared" si="15"/>
        <v>0</v>
      </c>
      <c r="T331" s="8">
        <f t="shared" si="16"/>
        <v>0</v>
      </c>
      <c r="U331" s="9" t="e">
        <f t="shared" si="17"/>
        <v>#DIV/0!</v>
      </c>
    </row>
    <row r="332" spans="1:22" outlineLevel="2">
      <c r="A332" t="s">
        <v>246</v>
      </c>
      <c r="B332" t="s">
        <v>247</v>
      </c>
      <c r="C332" t="s">
        <v>140</v>
      </c>
      <c r="D332" t="s">
        <v>141</v>
      </c>
      <c r="E332" s="4">
        <v>0</v>
      </c>
      <c r="F332" s="4">
        <v>0</v>
      </c>
      <c r="G332" s="4">
        <v>0</v>
      </c>
      <c r="H332" s="4">
        <v>12441.86</v>
      </c>
      <c r="I332" s="4">
        <v>-12441.86</v>
      </c>
      <c r="J332" s="4">
        <v>0</v>
      </c>
      <c r="K332" s="4">
        <v>0</v>
      </c>
      <c r="L332" s="4">
        <v>0</v>
      </c>
      <c r="M332" s="4">
        <v>-2.5579538487363607E-13</v>
      </c>
      <c r="N332" s="4">
        <v>0</v>
      </c>
      <c r="O332" s="4">
        <v>59.220000000000255</v>
      </c>
      <c r="P332" s="4">
        <v>0</v>
      </c>
      <c r="Q332" s="4">
        <v>0</v>
      </c>
      <c r="S332" s="8">
        <f t="shared" si="15"/>
        <v>9.8699999999999992</v>
      </c>
      <c r="T332" s="8">
        <f t="shared" si="16"/>
        <v>-9.8699999999999992</v>
      </c>
      <c r="U332" s="9">
        <f t="shared" si="17"/>
        <v>-1</v>
      </c>
    </row>
    <row r="333" spans="1:22" outlineLevel="2">
      <c r="A333" t="s">
        <v>246</v>
      </c>
      <c r="B333" t="s">
        <v>247</v>
      </c>
      <c r="C333" t="s">
        <v>142</v>
      </c>
      <c r="D333" t="s">
        <v>143</v>
      </c>
      <c r="E333" s="4">
        <v>0</v>
      </c>
      <c r="F333" s="4">
        <v>0</v>
      </c>
      <c r="G333" s="4">
        <v>7107.32</v>
      </c>
      <c r="H333" s="4">
        <v>0</v>
      </c>
      <c r="I333" s="4">
        <v>0</v>
      </c>
      <c r="J333" s="4">
        <v>0</v>
      </c>
      <c r="K333" s="4">
        <v>30000</v>
      </c>
      <c r="L333" s="4">
        <v>0</v>
      </c>
      <c r="M333" s="4">
        <v>25000</v>
      </c>
      <c r="N333" s="4">
        <v>10000</v>
      </c>
      <c r="O333" s="4">
        <v>-5000</v>
      </c>
      <c r="P333" s="4">
        <v>833.33</v>
      </c>
      <c r="Q333" s="4">
        <v>25000</v>
      </c>
      <c r="S333" s="8">
        <f t="shared" si="15"/>
        <v>9305.5550000000003</v>
      </c>
      <c r="T333" s="8">
        <f t="shared" si="16"/>
        <v>-9305.5550000000003</v>
      </c>
      <c r="U333" s="9">
        <f t="shared" si="17"/>
        <v>-1</v>
      </c>
    </row>
    <row r="334" spans="1:22" outlineLevel="2">
      <c r="A334" t="s">
        <v>246</v>
      </c>
      <c r="B334" t="s">
        <v>247</v>
      </c>
      <c r="C334" t="s">
        <v>144</v>
      </c>
      <c r="D334" t="s">
        <v>145</v>
      </c>
      <c r="E334" s="4">
        <v>129445.16</v>
      </c>
      <c r="F334" s="4">
        <v>32054.070000000007</v>
      </c>
      <c r="G334" s="4">
        <v>144060.46</v>
      </c>
      <c r="H334" s="4">
        <v>56226.340000000004</v>
      </c>
      <c r="I334" s="4">
        <v>118928.59</v>
      </c>
      <c r="J334" s="4">
        <v>24592.28000000001</v>
      </c>
      <c r="K334" s="4">
        <v>92603.459999999992</v>
      </c>
      <c r="L334" s="4">
        <v>91479.89</v>
      </c>
      <c r="M334" s="4">
        <v>108168.78</v>
      </c>
      <c r="N334" s="4">
        <v>88050.86</v>
      </c>
      <c r="O334" s="4">
        <v>72048.079999999987</v>
      </c>
      <c r="P334" s="4">
        <v>76046.929999999993</v>
      </c>
      <c r="Q334" s="4">
        <v>120980.67</v>
      </c>
      <c r="R334" s="4">
        <v>14789.25</v>
      </c>
      <c r="S334" s="8">
        <f t="shared" si="15"/>
        <v>92795.868333333332</v>
      </c>
      <c r="T334" s="8">
        <f t="shared" si="16"/>
        <v>-78006.618333333332</v>
      </c>
      <c r="U334" s="9">
        <f t="shared" si="17"/>
        <v>-0.84062598620366014</v>
      </c>
    </row>
    <row r="335" spans="1:22" outlineLevel="2">
      <c r="A335" t="s">
        <v>246</v>
      </c>
      <c r="B335" t="s">
        <v>247</v>
      </c>
      <c r="C335" t="s">
        <v>146</v>
      </c>
      <c r="D335" t="s">
        <v>147</v>
      </c>
      <c r="E335" s="4">
        <v>82424.160000000003</v>
      </c>
      <c r="F335" s="4">
        <v>76964.819999999992</v>
      </c>
      <c r="G335" s="4">
        <v>158201.73999999996</v>
      </c>
      <c r="H335" s="4">
        <v>41397.169999999991</v>
      </c>
      <c r="I335" s="4">
        <v>57614.319999999992</v>
      </c>
      <c r="J335" s="4">
        <v>57586.54</v>
      </c>
      <c r="K335" s="4">
        <v>57281.53</v>
      </c>
      <c r="L335" s="4">
        <v>53188.539999999994</v>
      </c>
      <c r="M335" s="4">
        <v>144697.95000000001</v>
      </c>
      <c r="N335" s="4">
        <v>55408.390000000007</v>
      </c>
      <c r="O335" s="4">
        <v>47345.21</v>
      </c>
      <c r="P335" s="4">
        <v>55338.3</v>
      </c>
      <c r="Q335" s="4">
        <v>60448.590000000004</v>
      </c>
      <c r="R335" s="4">
        <v>58612.93</v>
      </c>
      <c r="S335" s="8">
        <f t="shared" si="15"/>
        <v>69404.496666666673</v>
      </c>
      <c r="T335" s="8">
        <f t="shared" si="16"/>
        <v>-10791.566666666673</v>
      </c>
      <c r="U335" s="9">
        <f t="shared" si="17"/>
        <v>-0.15548800416341907</v>
      </c>
      <c r="V335" t="s">
        <v>896</v>
      </c>
    </row>
    <row r="336" spans="1:22" outlineLevel="2">
      <c r="A336" t="s">
        <v>246</v>
      </c>
      <c r="B336" t="s">
        <v>247</v>
      </c>
      <c r="C336" t="s">
        <v>148</v>
      </c>
      <c r="D336" t="s">
        <v>149</v>
      </c>
      <c r="E336" s="4">
        <v>0</v>
      </c>
      <c r="F336" s="4">
        <v>150</v>
      </c>
      <c r="G336" s="4">
        <v>175</v>
      </c>
      <c r="H336" s="4">
        <v>0</v>
      </c>
      <c r="I336" s="4">
        <v>0</v>
      </c>
      <c r="J336" s="4">
        <v>225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275</v>
      </c>
      <c r="Q336" s="4">
        <v>0</v>
      </c>
      <c r="R336" s="4">
        <v>475</v>
      </c>
      <c r="S336" s="8">
        <f t="shared" si="15"/>
        <v>45.833333333333336</v>
      </c>
      <c r="T336" s="8">
        <f t="shared" si="16"/>
        <v>429.16666666666669</v>
      </c>
      <c r="U336" s="9">
        <f t="shared" si="17"/>
        <v>9.3636363636363633</v>
      </c>
    </row>
    <row r="337" spans="1:22" outlineLevel="2">
      <c r="A337" t="s">
        <v>246</v>
      </c>
      <c r="B337" t="s">
        <v>247</v>
      </c>
      <c r="C337" t="s">
        <v>150</v>
      </c>
      <c r="D337" t="s">
        <v>151</v>
      </c>
      <c r="E337" s="4">
        <v>0</v>
      </c>
      <c r="F337" s="4">
        <v>222744</v>
      </c>
      <c r="G337" s="4">
        <v>40048.800000000047</v>
      </c>
      <c r="H337" s="4">
        <v>350758.32</v>
      </c>
      <c r="I337" s="4">
        <v>263584.86</v>
      </c>
      <c r="J337" s="4">
        <v>171404.82</v>
      </c>
      <c r="K337" s="4">
        <v>178830.58</v>
      </c>
      <c r="L337" s="4">
        <v>178517.36</v>
      </c>
      <c r="M337" s="4">
        <v>178517.36</v>
      </c>
      <c r="N337" s="4">
        <v>178496.45</v>
      </c>
      <c r="O337" s="4">
        <v>178496.45</v>
      </c>
      <c r="P337" s="4">
        <v>178496.45</v>
      </c>
      <c r="Q337" s="4">
        <v>108740</v>
      </c>
      <c r="R337" s="4">
        <v>121208.82999999999</v>
      </c>
      <c r="S337" s="8">
        <f t="shared" si="15"/>
        <v>166877.34499999997</v>
      </c>
      <c r="T337" s="8">
        <f t="shared" si="16"/>
        <v>-45668.514999999985</v>
      </c>
      <c r="U337" s="9">
        <f t="shared" si="17"/>
        <v>-0.27366515808362119</v>
      </c>
      <c r="V337" t="s">
        <v>896</v>
      </c>
    </row>
    <row r="338" spans="1:22" outlineLevel="2">
      <c r="A338" t="s">
        <v>246</v>
      </c>
      <c r="B338" t="s">
        <v>247</v>
      </c>
      <c r="C338" t="s">
        <v>152</v>
      </c>
      <c r="D338" t="s">
        <v>153</v>
      </c>
      <c r="E338" s="4">
        <v>64525.65</v>
      </c>
      <c r="F338" s="4">
        <v>59956.1</v>
      </c>
      <c r="G338" s="4">
        <v>128184.23</v>
      </c>
      <c r="H338" s="4">
        <v>30656.009999999991</v>
      </c>
      <c r="I338" s="4">
        <v>44446.510000000009</v>
      </c>
      <c r="J338" s="4">
        <v>65199.739999999991</v>
      </c>
      <c r="K338" s="4">
        <v>41350.54</v>
      </c>
      <c r="L338" s="4">
        <v>38186.079999999994</v>
      </c>
      <c r="M338" s="4">
        <v>39573.570000000007</v>
      </c>
      <c r="N338" s="4">
        <v>41368.07</v>
      </c>
      <c r="O338" s="4">
        <v>33935.07</v>
      </c>
      <c r="P338" s="4">
        <v>39081.320000000007</v>
      </c>
      <c r="Q338" s="4">
        <v>51108.539999999994</v>
      </c>
      <c r="R338" s="4">
        <v>174462.22999999998</v>
      </c>
      <c r="S338" s="8">
        <f t="shared" si="15"/>
        <v>40542.108333333337</v>
      </c>
      <c r="T338" s="8">
        <f t="shared" si="16"/>
        <v>133920.12166666664</v>
      </c>
      <c r="U338" s="9">
        <f t="shared" si="17"/>
        <v>3.3032352576631738</v>
      </c>
      <c r="V338" t="s">
        <v>896</v>
      </c>
    </row>
    <row r="339" spans="1:22" outlineLevel="2">
      <c r="A339" t="s">
        <v>246</v>
      </c>
      <c r="B339" t="s">
        <v>247</v>
      </c>
      <c r="C339" t="s">
        <v>154</v>
      </c>
      <c r="D339" t="s">
        <v>155</v>
      </c>
      <c r="E339" s="4">
        <v>11448.71</v>
      </c>
      <c r="F339" s="4">
        <v>787.84999999999991</v>
      </c>
      <c r="G339" s="4">
        <v>385.95000000000005</v>
      </c>
      <c r="H339" s="4">
        <v>-1649.6</v>
      </c>
      <c r="I339" s="4">
        <v>62.790000000000006</v>
      </c>
      <c r="J339" s="4">
        <v>0</v>
      </c>
      <c r="K339" s="4">
        <v>12.01</v>
      </c>
      <c r="L339" s="4">
        <v>260.99</v>
      </c>
      <c r="M339" s="4">
        <v>290.14</v>
      </c>
      <c r="N339" s="4">
        <v>324.77999999999997</v>
      </c>
      <c r="O339" s="4">
        <v>0.48</v>
      </c>
      <c r="P339" s="4">
        <v>91</v>
      </c>
      <c r="Q339" s="4">
        <v>7165.3099999999995</v>
      </c>
      <c r="R339" s="4">
        <v>114.48</v>
      </c>
      <c r="S339" s="8">
        <f t="shared" si="15"/>
        <v>1355.45</v>
      </c>
      <c r="T339" s="8">
        <f t="shared" si="16"/>
        <v>-1240.97</v>
      </c>
      <c r="U339" s="9">
        <f t="shared" si="17"/>
        <v>-0.91554096425541331</v>
      </c>
    </row>
    <row r="340" spans="1:22" outlineLevel="2">
      <c r="A340" t="s">
        <v>246</v>
      </c>
      <c r="B340" t="s">
        <v>247</v>
      </c>
      <c r="C340" t="s">
        <v>33</v>
      </c>
      <c r="D340" t="s">
        <v>34</v>
      </c>
      <c r="E340" s="4">
        <v>728.31999999999994</v>
      </c>
      <c r="F340" s="4">
        <v>0</v>
      </c>
      <c r="G340" s="4">
        <v>49</v>
      </c>
      <c r="H340" s="4">
        <v>100</v>
      </c>
      <c r="I340" s="4">
        <v>55.2</v>
      </c>
      <c r="J340" s="4">
        <v>3453.89</v>
      </c>
      <c r="K340" s="4">
        <v>0</v>
      </c>
      <c r="L340" s="4">
        <v>0</v>
      </c>
      <c r="M340" s="4">
        <v>2695</v>
      </c>
      <c r="N340" s="4">
        <v>5385</v>
      </c>
      <c r="O340" s="4">
        <v>1400</v>
      </c>
      <c r="P340" s="4">
        <v>0</v>
      </c>
      <c r="Q340" s="4">
        <v>0</v>
      </c>
      <c r="R340" s="4">
        <v>103.61</v>
      </c>
      <c r="S340" s="8">
        <f t="shared" si="15"/>
        <v>1580</v>
      </c>
      <c r="T340" s="8">
        <f t="shared" si="16"/>
        <v>-1476.39</v>
      </c>
      <c r="U340" s="9">
        <f t="shared" si="17"/>
        <v>-0.93442405063291145</v>
      </c>
    </row>
    <row r="341" spans="1:22" outlineLevel="2">
      <c r="A341" t="s">
        <v>246</v>
      </c>
      <c r="B341" t="s">
        <v>247</v>
      </c>
      <c r="C341" t="s">
        <v>180</v>
      </c>
      <c r="D341" t="s">
        <v>181</v>
      </c>
      <c r="E341" s="4">
        <v>0</v>
      </c>
      <c r="F341" s="4">
        <v>0</v>
      </c>
      <c r="G341" s="4">
        <v>0</v>
      </c>
      <c r="H341" s="4">
        <v>175.55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S341" s="8">
        <f t="shared" si="15"/>
        <v>0</v>
      </c>
      <c r="T341" s="8">
        <f t="shared" si="16"/>
        <v>0</v>
      </c>
      <c r="U341" s="9" t="e">
        <f t="shared" si="17"/>
        <v>#DIV/0!</v>
      </c>
    </row>
    <row r="342" spans="1:22" outlineLevel="2">
      <c r="A342" t="s">
        <v>246</v>
      </c>
      <c r="B342" t="s">
        <v>247</v>
      </c>
      <c r="C342" t="s">
        <v>216</v>
      </c>
      <c r="D342" t="s">
        <v>217</v>
      </c>
      <c r="E342" s="4">
        <v>0</v>
      </c>
      <c r="F342" s="4">
        <v>806.68</v>
      </c>
      <c r="G342" s="4">
        <v>-806.68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S342" s="8">
        <f t="shared" si="15"/>
        <v>0</v>
      </c>
      <c r="T342" s="8">
        <f t="shared" si="16"/>
        <v>0</v>
      </c>
      <c r="U342" s="9" t="e">
        <f t="shared" si="17"/>
        <v>#DIV/0!</v>
      </c>
    </row>
    <row r="343" spans="1:22" outlineLevel="2">
      <c r="A343" t="s">
        <v>246</v>
      </c>
      <c r="B343" t="s">
        <v>247</v>
      </c>
      <c r="C343" t="s">
        <v>158</v>
      </c>
      <c r="D343" t="s">
        <v>159</v>
      </c>
      <c r="E343" s="4">
        <v>110733.33</v>
      </c>
      <c r="F343" s="4">
        <v>110733</v>
      </c>
      <c r="G343" s="4">
        <v>103003.51999999996</v>
      </c>
      <c r="H343" s="4">
        <v>125503.81</v>
      </c>
      <c r="I343" s="4">
        <v>110733</v>
      </c>
      <c r="J343" s="4">
        <v>254273.49</v>
      </c>
      <c r="K343" s="4">
        <v>110733</v>
      </c>
      <c r="L343" s="4">
        <v>110733</v>
      </c>
      <c r="M343" s="4">
        <v>158254.17000000004</v>
      </c>
      <c r="N343" s="4">
        <v>110733</v>
      </c>
      <c r="O343" s="4">
        <v>110733</v>
      </c>
      <c r="P343" s="4">
        <v>125223.76000000001</v>
      </c>
      <c r="Q343" s="4">
        <v>91400</v>
      </c>
      <c r="R343" s="4">
        <v>91400</v>
      </c>
      <c r="S343" s="8">
        <f t="shared" si="15"/>
        <v>117846.15500000001</v>
      </c>
      <c r="T343" s="8">
        <f t="shared" si="16"/>
        <v>-26446.155000000013</v>
      </c>
      <c r="U343" s="9">
        <f t="shared" si="17"/>
        <v>-0.22441254023094781</v>
      </c>
      <c r="V343" t="s">
        <v>896</v>
      </c>
    </row>
    <row r="344" spans="1:22" outlineLevel="2">
      <c r="A344" t="s">
        <v>246</v>
      </c>
      <c r="B344" t="s">
        <v>247</v>
      </c>
      <c r="C344" t="s">
        <v>160</v>
      </c>
      <c r="D344" t="s">
        <v>161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29973.61</v>
      </c>
      <c r="N344" s="4">
        <v>0</v>
      </c>
      <c r="O344" s="4">
        <v>0</v>
      </c>
      <c r="P344" s="4">
        <v>5277.72</v>
      </c>
      <c r="Q344" s="4">
        <v>0</v>
      </c>
      <c r="S344" s="8">
        <f t="shared" si="15"/>
        <v>5875.2216666666673</v>
      </c>
      <c r="T344" s="8">
        <f t="shared" si="16"/>
        <v>-5875.2216666666673</v>
      </c>
      <c r="U344" s="9">
        <f t="shared" si="17"/>
        <v>-1</v>
      </c>
    </row>
    <row r="345" spans="1:22" outlineLevel="2">
      <c r="A345" t="s">
        <v>246</v>
      </c>
      <c r="B345" t="s">
        <v>247</v>
      </c>
      <c r="C345" t="s">
        <v>51</v>
      </c>
      <c r="D345" t="s">
        <v>52</v>
      </c>
      <c r="E345" s="4">
        <v>30.25</v>
      </c>
      <c r="F345" s="4">
        <v>385.29</v>
      </c>
      <c r="G345" s="4">
        <v>717.34</v>
      </c>
      <c r="H345" s="4">
        <v>112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100</v>
      </c>
      <c r="Q345" s="4">
        <v>0</v>
      </c>
      <c r="S345" s="8">
        <f t="shared" si="15"/>
        <v>16.666666666666668</v>
      </c>
      <c r="T345" s="8">
        <f t="shared" si="16"/>
        <v>-16.666666666666668</v>
      </c>
      <c r="U345" s="9">
        <f t="shared" si="17"/>
        <v>-1</v>
      </c>
    </row>
    <row r="346" spans="1:22" outlineLevel="2">
      <c r="A346" t="s">
        <v>246</v>
      </c>
      <c r="B346" t="s">
        <v>247</v>
      </c>
      <c r="C346" t="s">
        <v>164</v>
      </c>
      <c r="D346" t="s">
        <v>165</v>
      </c>
      <c r="E346" s="4">
        <v>630</v>
      </c>
      <c r="F346" s="4">
        <v>420</v>
      </c>
      <c r="G346" s="4">
        <v>385</v>
      </c>
      <c r="H346" s="4">
        <v>385</v>
      </c>
      <c r="I346" s="4">
        <v>420</v>
      </c>
      <c r="J346" s="4">
        <v>420</v>
      </c>
      <c r="K346" s="4">
        <v>420</v>
      </c>
      <c r="L346" s="4">
        <v>525</v>
      </c>
      <c r="M346" s="4">
        <v>350</v>
      </c>
      <c r="N346" s="4">
        <v>350</v>
      </c>
      <c r="O346" s="4">
        <v>350</v>
      </c>
      <c r="P346" s="4">
        <v>350</v>
      </c>
      <c r="Q346" s="4">
        <v>2345</v>
      </c>
      <c r="R346" s="4">
        <v>2170</v>
      </c>
      <c r="S346" s="8">
        <f t="shared" si="15"/>
        <v>711.66666666666663</v>
      </c>
      <c r="T346" s="8">
        <f t="shared" si="16"/>
        <v>1458.3333333333335</v>
      </c>
      <c r="U346" s="9">
        <f t="shared" si="17"/>
        <v>2.0491803278688527</v>
      </c>
    </row>
    <row r="347" spans="1:22" outlineLevel="2">
      <c r="A347" t="s">
        <v>246</v>
      </c>
      <c r="B347" t="s">
        <v>247</v>
      </c>
      <c r="C347" t="s">
        <v>55</v>
      </c>
      <c r="D347" t="s">
        <v>56</v>
      </c>
      <c r="E347" s="4">
        <v>606.25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18042</v>
      </c>
      <c r="S347" s="8">
        <f t="shared" si="15"/>
        <v>0</v>
      </c>
      <c r="T347" s="8">
        <f t="shared" si="16"/>
        <v>18042</v>
      </c>
      <c r="U347" s="9" t="e">
        <f t="shared" si="17"/>
        <v>#DIV/0!</v>
      </c>
      <c r="V347" t="s">
        <v>895</v>
      </c>
    </row>
    <row r="348" spans="1:22" outlineLevel="2">
      <c r="A348" t="s">
        <v>246</v>
      </c>
      <c r="B348" t="s">
        <v>247</v>
      </c>
      <c r="C348" t="s">
        <v>196</v>
      </c>
      <c r="D348" t="s">
        <v>197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1064.92</v>
      </c>
      <c r="P348" s="4">
        <v>1064.9100000000001</v>
      </c>
      <c r="Q348" s="4">
        <v>0</v>
      </c>
      <c r="S348" s="8">
        <f t="shared" si="15"/>
        <v>354.97166666666664</v>
      </c>
      <c r="T348" s="8">
        <f t="shared" si="16"/>
        <v>-354.97166666666664</v>
      </c>
      <c r="U348" s="9">
        <f t="shared" si="17"/>
        <v>-1</v>
      </c>
    </row>
    <row r="349" spans="1:22" outlineLevel="2">
      <c r="A349" t="s">
        <v>246</v>
      </c>
      <c r="B349" t="s">
        <v>247</v>
      </c>
      <c r="C349" t="s">
        <v>83</v>
      </c>
      <c r="D349" t="s">
        <v>84</v>
      </c>
      <c r="E349" s="4">
        <v>0</v>
      </c>
      <c r="F349" s="4">
        <v>0</v>
      </c>
      <c r="G349" s="4">
        <v>0</v>
      </c>
      <c r="H349" s="4">
        <v>-4.95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600</v>
      </c>
      <c r="O349" s="4">
        <v>0</v>
      </c>
      <c r="P349" s="4">
        <v>0</v>
      </c>
      <c r="Q349" s="4">
        <v>0</v>
      </c>
      <c r="S349" s="8">
        <f t="shared" si="15"/>
        <v>100</v>
      </c>
      <c r="T349" s="8">
        <f t="shared" si="16"/>
        <v>-100</v>
      </c>
      <c r="U349" s="9">
        <f t="shared" si="17"/>
        <v>-1</v>
      </c>
    </row>
    <row r="350" spans="1:22" outlineLevel="2">
      <c r="A350" t="s">
        <v>246</v>
      </c>
      <c r="B350" t="s">
        <v>247</v>
      </c>
      <c r="C350" t="s">
        <v>87</v>
      </c>
      <c r="D350" t="s">
        <v>88</v>
      </c>
      <c r="E350" s="4">
        <v>67828.59</v>
      </c>
      <c r="F350" s="4">
        <v>56717.02</v>
      </c>
      <c r="G350" s="4">
        <v>43818.95</v>
      </c>
      <c r="H350" s="4">
        <v>4878.7200000000012</v>
      </c>
      <c r="I350" s="4">
        <v>21508.78</v>
      </c>
      <c r="J350" s="4">
        <v>46642.18</v>
      </c>
      <c r="K350" s="4">
        <v>21698.26</v>
      </c>
      <c r="L350" s="4">
        <v>21508.78</v>
      </c>
      <c r="M350" s="4">
        <v>21508.78</v>
      </c>
      <c r="N350" s="4">
        <v>19956.32</v>
      </c>
      <c r="O350" s="4">
        <v>23613.9</v>
      </c>
      <c r="P350" s="4">
        <v>138899.47000000009</v>
      </c>
      <c r="Q350" s="4">
        <v>45814.26</v>
      </c>
      <c r="R350" s="4">
        <v>73645.260000000009</v>
      </c>
      <c r="S350" s="8">
        <f t="shared" si="15"/>
        <v>45216.918333333342</v>
      </c>
      <c r="T350" s="8">
        <f t="shared" si="16"/>
        <v>28428.341666666667</v>
      </c>
      <c r="U350" s="9">
        <f t="shared" si="17"/>
        <v>0.6287102862051891</v>
      </c>
      <c r="V350" t="s">
        <v>896</v>
      </c>
    </row>
    <row r="351" spans="1:22" outlineLevel="2">
      <c r="A351" t="s">
        <v>246</v>
      </c>
      <c r="B351" t="s">
        <v>247</v>
      </c>
      <c r="C351" t="s">
        <v>89</v>
      </c>
      <c r="D351" t="s">
        <v>90</v>
      </c>
      <c r="E351" s="4">
        <v>129486.90999999997</v>
      </c>
      <c r="F351" s="4">
        <v>136967.93</v>
      </c>
      <c r="G351" s="4">
        <v>130579.42999999998</v>
      </c>
      <c r="H351" s="4">
        <v>91462.92</v>
      </c>
      <c r="I351" s="4">
        <v>119218.90999999999</v>
      </c>
      <c r="J351" s="4">
        <v>136653.39000000001</v>
      </c>
      <c r="K351" s="4">
        <v>108956.49</v>
      </c>
      <c r="L351" s="4">
        <v>112718.16</v>
      </c>
      <c r="M351" s="4">
        <v>154983.22999999998</v>
      </c>
      <c r="N351" s="4">
        <v>145766.54000000004</v>
      </c>
      <c r="O351" s="4">
        <v>77536.549999999988</v>
      </c>
      <c r="P351" s="4">
        <v>179705.58000000022</v>
      </c>
      <c r="Q351" s="4">
        <v>57734.69000000001</v>
      </c>
      <c r="R351" s="4">
        <v>100115.51999999999</v>
      </c>
      <c r="S351" s="8">
        <f t="shared" si="15"/>
        <v>121407.45833333339</v>
      </c>
      <c r="T351" s="8">
        <f t="shared" si="16"/>
        <v>-21291.938333333397</v>
      </c>
      <c r="U351" s="9">
        <f t="shared" si="17"/>
        <v>-0.17537586755893336</v>
      </c>
      <c r="V351" t="s">
        <v>896</v>
      </c>
    </row>
    <row r="352" spans="1:22" outlineLevel="2">
      <c r="A352" t="s">
        <v>246</v>
      </c>
      <c r="B352" t="s">
        <v>247</v>
      </c>
      <c r="C352" t="s">
        <v>166</v>
      </c>
      <c r="D352" t="s">
        <v>167</v>
      </c>
      <c r="E352" s="4">
        <v>1045</v>
      </c>
      <c r="F352" s="4">
        <v>110</v>
      </c>
      <c r="G352" s="4">
        <v>0</v>
      </c>
      <c r="H352" s="4">
        <v>232</v>
      </c>
      <c r="I352" s="4">
        <v>290</v>
      </c>
      <c r="J352" s="4">
        <v>1357</v>
      </c>
      <c r="K352" s="4">
        <v>0</v>
      </c>
      <c r="L352" s="4">
        <v>757</v>
      </c>
      <c r="M352" s="4">
        <v>112</v>
      </c>
      <c r="N352" s="4">
        <v>0</v>
      </c>
      <c r="O352" s="4">
        <v>0</v>
      </c>
      <c r="P352" s="4">
        <v>477</v>
      </c>
      <c r="Q352" s="4">
        <v>228</v>
      </c>
      <c r="R352" s="4">
        <v>220</v>
      </c>
      <c r="S352" s="8">
        <f t="shared" si="15"/>
        <v>262.33333333333331</v>
      </c>
      <c r="T352" s="8">
        <f t="shared" si="16"/>
        <v>-42.333333333333314</v>
      </c>
      <c r="U352" s="9">
        <f t="shared" si="17"/>
        <v>-0.16137229987293514</v>
      </c>
    </row>
    <row r="353" spans="1:22" outlineLevel="2">
      <c r="A353" t="s">
        <v>246</v>
      </c>
      <c r="B353" t="s">
        <v>247</v>
      </c>
      <c r="C353" t="s">
        <v>222</v>
      </c>
      <c r="D353" t="s">
        <v>223</v>
      </c>
      <c r="E353" s="4">
        <v>0</v>
      </c>
      <c r="F353" s="4">
        <v>0</v>
      </c>
      <c r="G353" s="4">
        <v>0</v>
      </c>
      <c r="H353" s="4">
        <v>726.62</v>
      </c>
      <c r="I353" s="4">
        <v>42247.29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28740.789999999997</v>
      </c>
      <c r="R353" s="4">
        <v>134332.5</v>
      </c>
      <c r="S353" s="8">
        <f t="shared" si="15"/>
        <v>4790.1316666666662</v>
      </c>
      <c r="T353" s="8">
        <f t="shared" si="16"/>
        <v>129542.36833333333</v>
      </c>
      <c r="U353" s="9">
        <f t="shared" si="17"/>
        <v>27.043592399513027</v>
      </c>
      <c r="V353" t="s">
        <v>896</v>
      </c>
    </row>
    <row r="354" spans="1:22" outlineLevel="2">
      <c r="A354" t="s">
        <v>246</v>
      </c>
      <c r="B354" t="s">
        <v>247</v>
      </c>
      <c r="C354" t="s">
        <v>224</v>
      </c>
      <c r="D354" t="s">
        <v>225</v>
      </c>
      <c r="E354" s="4">
        <v>0</v>
      </c>
      <c r="F354" s="4">
        <v>150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S354" s="8">
        <f t="shared" si="15"/>
        <v>0</v>
      </c>
      <c r="T354" s="8">
        <f t="shared" si="16"/>
        <v>0</v>
      </c>
      <c r="U354" s="9" t="e">
        <f t="shared" si="17"/>
        <v>#DIV/0!</v>
      </c>
    </row>
    <row r="355" spans="1:22" outlineLevel="2">
      <c r="A355" t="s">
        <v>246</v>
      </c>
      <c r="B355" t="s">
        <v>247</v>
      </c>
      <c r="C355" t="s">
        <v>168</v>
      </c>
      <c r="D355" t="s">
        <v>169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6310</v>
      </c>
      <c r="K355" s="4">
        <v>0</v>
      </c>
      <c r="L355" s="4">
        <v>6674</v>
      </c>
      <c r="M355" s="4">
        <v>5970</v>
      </c>
      <c r="N355" s="4">
        <v>-5970</v>
      </c>
      <c r="O355" s="4">
        <v>525</v>
      </c>
      <c r="P355" s="4">
        <v>7203.82</v>
      </c>
      <c r="Q355" s="4">
        <v>-3.4106051316484809E-13</v>
      </c>
      <c r="R355" s="4">
        <v>5050</v>
      </c>
      <c r="S355" s="8">
        <f t="shared" si="15"/>
        <v>2400.4699999999998</v>
      </c>
      <c r="T355" s="8">
        <f t="shared" si="16"/>
        <v>2649.53</v>
      </c>
      <c r="U355" s="9">
        <f t="shared" si="17"/>
        <v>1.1037546813748975</v>
      </c>
    </row>
    <row r="356" spans="1:22" outlineLevel="2">
      <c r="A356" t="s">
        <v>246</v>
      </c>
      <c r="B356" t="s">
        <v>247</v>
      </c>
      <c r="C356" t="s">
        <v>99</v>
      </c>
      <c r="D356" t="s">
        <v>100</v>
      </c>
      <c r="E356" s="4">
        <v>170962.94</v>
      </c>
      <c r="F356" s="4">
        <v>9492.6200000000008</v>
      </c>
      <c r="G356" s="4">
        <v>-60706.64</v>
      </c>
      <c r="H356" s="4">
        <v>-828.04</v>
      </c>
      <c r="I356" s="4">
        <v>14552</v>
      </c>
      <c r="J356" s="4">
        <v>18297</v>
      </c>
      <c r="K356" s="4">
        <v>3210</v>
      </c>
      <c r="L356" s="4">
        <v>3506.25</v>
      </c>
      <c r="M356" s="4">
        <v>6428.81</v>
      </c>
      <c r="N356" s="4">
        <v>-28664.949999999997</v>
      </c>
      <c r="O356" s="4">
        <v>-1327.5</v>
      </c>
      <c r="P356" s="4">
        <v>13227.119999999999</v>
      </c>
      <c r="Q356" s="4">
        <v>4724.07</v>
      </c>
      <c r="R356" s="4">
        <v>295</v>
      </c>
      <c r="S356" s="8">
        <f t="shared" si="15"/>
        <v>-351.03333333333285</v>
      </c>
      <c r="T356" s="8">
        <f t="shared" si="16"/>
        <v>646.03333333333285</v>
      </c>
      <c r="U356" s="9">
        <f t="shared" si="17"/>
        <v>-1.840376032665465</v>
      </c>
    </row>
    <row r="357" spans="1:22" outlineLevel="2">
      <c r="A357" t="s">
        <v>246</v>
      </c>
      <c r="B357" t="s">
        <v>247</v>
      </c>
      <c r="C357" t="s">
        <v>101</v>
      </c>
      <c r="D357" t="s">
        <v>102</v>
      </c>
      <c r="E357" s="4">
        <v>487269.75999999989</v>
      </c>
      <c r="F357" s="4">
        <v>811208.09000000008</v>
      </c>
      <c r="G357" s="4">
        <v>603815.64</v>
      </c>
      <c r="H357" s="4">
        <v>736329.14</v>
      </c>
      <c r="I357" s="4">
        <v>962456.7</v>
      </c>
      <c r="J357" s="4">
        <v>790402.60000000009</v>
      </c>
      <c r="K357" s="4">
        <v>961404.47</v>
      </c>
      <c r="L357" s="4">
        <v>763191.4600000002</v>
      </c>
      <c r="M357" s="4">
        <v>765539.98</v>
      </c>
      <c r="N357" s="4">
        <v>742949.37</v>
      </c>
      <c r="O357" s="4">
        <v>1068793.95</v>
      </c>
      <c r="P357" s="4">
        <v>-360902.57</v>
      </c>
      <c r="Q357" s="4">
        <v>636587.46</v>
      </c>
      <c r="R357" s="4">
        <v>550442.18999999983</v>
      </c>
      <c r="S357" s="8">
        <f t="shared" si="15"/>
        <v>602693.27500000002</v>
      </c>
      <c r="T357" s="8">
        <f t="shared" si="16"/>
        <v>-52251.085000000196</v>
      </c>
      <c r="U357" s="9">
        <f t="shared" si="17"/>
        <v>-8.6695981467522082E-2</v>
      </c>
    </row>
    <row r="358" spans="1:22" outlineLevel="2">
      <c r="A358" t="s">
        <v>246</v>
      </c>
      <c r="B358" t="s">
        <v>247</v>
      </c>
      <c r="C358" t="s">
        <v>103</v>
      </c>
      <c r="D358" t="s">
        <v>104</v>
      </c>
      <c r="E358" s="4">
        <v>36532.080000000002</v>
      </c>
      <c r="F358" s="4">
        <v>54669.209999999992</v>
      </c>
      <c r="G358" s="4">
        <v>50451.48</v>
      </c>
      <c r="H358" s="4">
        <v>-38716.689999999995</v>
      </c>
      <c r="I358" s="4">
        <v>5828.0700000000024</v>
      </c>
      <c r="J358" s="4">
        <v>7013.4</v>
      </c>
      <c r="K358" s="4">
        <v>28436.99</v>
      </c>
      <c r="L358" s="4">
        <v>6293.65</v>
      </c>
      <c r="M358" s="4">
        <v>6635.3399999999974</v>
      </c>
      <c r="N358" s="4">
        <v>0</v>
      </c>
      <c r="O358" s="4">
        <v>-6460.5599999999986</v>
      </c>
      <c r="P358" s="4">
        <v>-33004.080000000002</v>
      </c>
      <c r="Q358" s="4">
        <v>-3.637978807091713E-12</v>
      </c>
      <c r="S358" s="8">
        <f t="shared" si="15"/>
        <v>-4422.6083333333345</v>
      </c>
      <c r="T358" s="8">
        <f t="shared" si="16"/>
        <v>4422.6083333333345</v>
      </c>
      <c r="U358" s="9">
        <f t="shared" si="17"/>
        <v>-1</v>
      </c>
    </row>
    <row r="359" spans="1:22" outlineLevel="2">
      <c r="A359" t="s">
        <v>246</v>
      </c>
      <c r="B359" t="s">
        <v>247</v>
      </c>
      <c r="C359" t="s">
        <v>105</v>
      </c>
      <c r="D359" t="s">
        <v>106</v>
      </c>
      <c r="E359" s="4">
        <v>90519.9</v>
      </c>
      <c r="F359" s="4">
        <v>-25981.8</v>
      </c>
      <c r="G359" s="4">
        <v>2073.5999999999995</v>
      </c>
      <c r="H359" s="4">
        <v>428.22000000000116</v>
      </c>
      <c r="I359" s="4">
        <v>2073.6000000000004</v>
      </c>
      <c r="J359" s="4">
        <v>-2910.8799999999974</v>
      </c>
      <c r="K359" s="4">
        <v>22679.19</v>
      </c>
      <c r="L359" s="4">
        <v>8607.35</v>
      </c>
      <c r="M359" s="4">
        <v>35873.599999999999</v>
      </c>
      <c r="N359" s="4">
        <v>36711.1</v>
      </c>
      <c r="O359" s="4">
        <v>-6098.5</v>
      </c>
      <c r="P359" s="4">
        <v>12983.2</v>
      </c>
      <c r="Q359" s="4">
        <v>0</v>
      </c>
      <c r="R359" s="4">
        <v>13700</v>
      </c>
      <c r="S359" s="8">
        <f t="shared" si="15"/>
        <v>14679.45833333333</v>
      </c>
      <c r="T359" s="8">
        <f t="shared" si="16"/>
        <v>-979.4583333333303</v>
      </c>
      <c r="U359" s="9">
        <f t="shared" si="17"/>
        <v>-6.6723056879369219E-2</v>
      </c>
    </row>
    <row r="360" spans="1:22" outlineLevel="2">
      <c r="A360" t="s">
        <v>246</v>
      </c>
      <c r="B360" t="s">
        <v>247</v>
      </c>
      <c r="C360" t="s">
        <v>111</v>
      </c>
      <c r="D360" t="s">
        <v>112</v>
      </c>
      <c r="E360" s="4">
        <v>0</v>
      </c>
      <c r="F360" s="4">
        <v>0</v>
      </c>
      <c r="G360" s="4">
        <v>0</v>
      </c>
      <c r="H360" s="4">
        <v>-9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S360" s="8">
        <f t="shared" si="15"/>
        <v>0</v>
      </c>
      <c r="T360" s="8">
        <f t="shared" si="16"/>
        <v>0</v>
      </c>
      <c r="U360" s="9" t="e">
        <f t="shared" si="17"/>
        <v>#DIV/0!</v>
      </c>
    </row>
    <row r="361" spans="1:22" outlineLevel="2">
      <c r="A361" t="s">
        <v>246</v>
      </c>
      <c r="B361" t="s">
        <v>247</v>
      </c>
      <c r="C361" t="s">
        <v>117</v>
      </c>
      <c r="D361" t="s">
        <v>118</v>
      </c>
      <c r="E361" s="4">
        <v>40341.120000000003</v>
      </c>
      <c r="F361" s="4">
        <v>61665.840000000004</v>
      </c>
      <c r="G361" s="4">
        <v>66325.7</v>
      </c>
      <c r="H361" s="4">
        <v>-62125.869999999995</v>
      </c>
      <c r="I361" s="4">
        <v>28330.019999999997</v>
      </c>
      <c r="J361" s="4">
        <v>26421.600000000002</v>
      </c>
      <c r="K361" s="4">
        <v>50877.939999999995</v>
      </c>
      <c r="L361" s="4">
        <v>25920</v>
      </c>
      <c r="M361" s="4">
        <v>21224</v>
      </c>
      <c r="N361" s="4">
        <v>6259.5</v>
      </c>
      <c r="O361" s="4">
        <v>-4520.7200000000012</v>
      </c>
      <c r="P361" s="4">
        <v>-6940.4399999999987</v>
      </c>
      <c r="Q361" s="4">
        <v>29025</v>
      </c>
      <c r="R361" s="4">
        <v>6480</v>
      </c>
      <c r="S361" s="8">
        <f t="shared" si="15"/>
        <v>11827.89</v>
      </c>
      <c r="T361" s="8">
        <f t="shared" si="16"/>
        <v>-5347.8899999999994</v>
      </c>
      <c r="U361" s="9">
        <f t="shared" si="17"/>
        <v>-0.45214235167895539</v>
      </c>
    </row>
    <row r="362" spans="1:22" outlineLevel="2">
      <c r="A362" t="s">
        <v>246</v>
      </c>
      <c r="B362" t="s">
        <v>247</v>
      </c>
      <c r="C362" t="s">
        <v>170</v>
      </c>
      <c r="D362" t="s">
        <v>171</v>
      </c>
      <c r="E362" s="4">
        <v>6660</v>
      </c>
      <c r="F362" s="4">
        <v>4320</v>
      </c>
      <c r="G362" s="4">
        <v>4050</v>
      </c>
      <c r="H362" s="4">
        <v>1260</v>
      </c>
      <c r="I362" s="4">
        <v>2610</v>
      </c>
      <c r="J362" s="4">
        <v>2430</v>
      </c>
      <c r="K362" s="4">
        <v>2385</v>
      </c>
      <c r="L362" s="4">
        <v>3420</v>
      </c>
      <c r="M362" s="4">
        <v>2250</v>
      </c>
      <c r="N362" s="4">
        <v>2250</v>
      </c>
      <c r="O362" s="4">
        <v>2250</v>
      </c>
      <c r="P362" s="4">
        <v>2160</v>
      </c>
      <c r="Q362" s="4">
        <v>1170</v>
      </c>
      <c r="S362" s="8">
        <f t="shared" si="15"/>
        <v>2250</v>
      </c>
      <c r="T362" s="8">
        <f t="shared" si="16"/>
        <v>-2250</v>
      </c>
      <c r="U362" s="9">
        <f t="shared" si="17"/>
        <v>-1</v>
      </c>
    </row>
    <row r="363" spans="1:22" outlineLevel="2">
      <c r="A363" t="s">
        <v>246</v>
      </c>
      <c r="B363" t="s">
        <v>247</v>
      </c>
      <c r="C363" t="s">
        <v>236</v>
      </c>
      <c r="D363" t="s">
        <v>237</v>
      </c>
      <c r="E363" s="4">
        <v>0</v>
      </c>
      <c r="F363" s="4">
        <v>-1050000</v>
      </c>
      <c r="G363" s="4">
        <v>0</v>
      </c>
      <c r="H363" s="4">
        <v>-350000</v>
      </c>
      <c r="I363" s="4">
        <v>-350000</v>
      </c>
      <c r="J363" s="4">
        <v>-350000</v>
      </c>
      <c r="K363" s="4">
        <v>-1083333.33</v>
      </c>
      <c r="L363" s="4">
        <v>-1083333.33</v>
      </c>
      <c r="M363" s="4">
        <v>-1083333.33</v>
      </c>
      <c r="N363" s="4">
        <v>-1083333.33</v>
      </c>
      <c r="O363" s="4">
        <v>-1083333.33</v>
      </c>
      <c r="P363" s="4">
        <v>-1083333.33</v>
      </c>
      <c r="Q363" s="4">
        <v>-416666.63000000012</v>
      </c>
      <c r="R363" s="4">
        <v>-416666.63</v>
      </c>
      <c r="S363" s="8">
        <f t="shared" si="15"/>
        <v>-972222.21333333338</v>
      </c>
      <c r="T363" s="8">
        <f t="shared" si="16"/>
        <v>555555.58333333337</v>
      </c>
      <c r="U363" s="9">
        <f t="shared" si="17"/>
        <v>-0.57142860522449013</v>
      </c>
      <c r="V363" t="s">
        <v>897</v>
      </c>
    </row>
    <row r="364" spans="1:22" outlineLevel="2">
      <c r="A364" t="s">
        <v>246</v>
      </c>
      <c r="B364" t="s">
        <v>247</v>
      </c>
      <c r="C364" t="s">
        <v>127</v>
      </c>
      <c r="D364" t="s">
        <v>120</v>
      </c>
      <c r="E364" s="4">
        <v>1250.69</v>
      </c>
      <c r="F364" s="4">
        <v>0</v>
      </c>
      <c r="G364" s="4">
        <v>0</v>
      </c>
      <c r="H364" s="4">
        <v>0</v>
      </c>
      <c r="I364" s="4">
        <v>56377.83</v>
      </c>
      <c r="J364" s="4">
        <v>0</v>
      </c>
      <c r="K364" s="4">
        <v>-56242</v>
      </c>
      <c r="L364" s="4">
        <v>0</v>
      </c>
      <c r="M364" s="4">
        <v>233.45</v>
      </c>
      <c r="N364" s="4">
        <v>351.71</v>
      </c>
      <c r="O364" s="4">
        <v>0</v>
      </c>
      <c r="P364" s="4">
        <v>529.30999999999995</v>
      </c>
      <c r="Q364" s="4">
        <v>0</v>
      </c>
      <c r="S364" s="8">
        <f t="shared" si="15"/>
        <v>185.74499999999998</v>
      </c>
      <c r="T364" s="8">
        <f t="shared" si="16"/>
        <v>-185.74499999999998</v>
      </c>
      <c r="U364" s="9">
        <f t="shared" si="17"/>
        <v>-1</v>
      </c>
    </row>
    <row r="365" spans="1:22" outlineLevel="2">
      <c r="A365" t="s">
        <v>246</v>
      </c>
      <c r="B365" t="s">
        <v>247</v>
      </c>
      <c r="C365" t="s">
        <v>190</v>
      </c>
      <c r="D365" t="s">
        <v>191</v>
      </c>
      <c r="E365" s="4">
        <v>-0.4</v>
      </c>
      <c r="F365" s="4">
        <v>0</v>
      </c>
      <c r="G365" s="4">
        <v>0</v>
      </c>
      <c r="H365" s="4">
        <v>156173.31999999998</v>
      </c>
      <c r="I365" s="4">
        <v>198372.13999999998</v>
      </c>
      <c r="J365" s="4">
        <v>3968.66</v>
      </c>
      <c r="K365" s="4">
        <v>-1319.1299999999901</v>
      </c>
      <c r="L365" s="4">
        <v>158822</v>
      </c>
      <c r="M365" s="4">
        <v>183254.54</v>
      </c>
      <c r="N365" s="4">
        <v>42266.9</v>
      </c>
      <c r="O365" s="4">
        <v>99942.48</v>
      </c>
      <c r="P365" s="4">
        <v>136236.72</v>
      </c>
      <c r="Q365" s="4">
        <v>-485</v>
      </c>
      <c r="R365" s="4">
        <v>11207.2</v>
      </c>
      <c r="S365" s="8">
        <f t="shared" si="15"/>
        <v>103339.60666666667</v>
      </c>
      <c r="T365" s="8">
        <f t="shared" si="16"/>
        <v>-92132.406666666677</v>
      </c>
      <c r="U365" s="9">
        <f t="shared" si="17"/>
        <v>-0.89154980978251586</v>
      </c>
    </row>
    <row r="366" spans="1:22" outlineLevel="2">
      <c r="A366" t="s">
        <v>246</v>
      </c>
      <c r="B366" t="s">
        <v>247</v>
      </c>
      <c r="C366" t="s">
        <v>238</v>
      </c>
      <c r="D366" t="s">
        <v>239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6831.57</v>
      </c>
      <c r="S366" s="8">
        <f t="shared" si="15"/>
        <v>0</v>
      </c>
      <c r="T366" s="8">
        <f t="shared" si="16"/>
        <v>6831.57</v>
      </c>
      <c r="U366" s="9" t="e">
        <f t="shared" si="17"/>
        <v>#DIV/0!</v>
      </c>
      <c r="V366" t="s">
        <v>895</v>
      </c>
    </row>
    <row r="367" spans="1:22" outlineLevel="2">
      <c r="A367" t="s">
        <v>246</v>
      </c>
      <c r="B367" t="s">
        <v>247</v>
      </c>
      <c r="C367" t="s">
        <v>172</v>
      </c>
      <c r="D367" t="s">
        <v>173</v>
      </c>
      <c r="E367" s="4">
        <v>0</v>
      </c>
      <c r="F367" s="4">
        <v>85384.52</v>
      </c>
      <c r="G367" s="4">
        <v>21346.13</v>
      </c>
      <c r="H367" s="4">
        <v>51158.080000000002</v>
      </c>
      <c r="I367" s="4">
        <v>51158.080000000002</v>
      </c>
      <c r="J367" s="4">
        <v>51158.080000000002</v>
      </c>
      <c r="K367" s="4">
        <v>51158.080000000002</v>
      </c>
      <c r="L367" s="4">
        <v>51158.080000000002</v>
      </c>
      <c r="M367" s="4">
        <v>51158.080000000002</v>
      </c>
      <c r="N367" s="4">
        <v>0</v>
      </c>
      <c r="O367" s="4">
        <v>0</v>
      </c>
      <c r="P367" s="4">
        <v>0</v>
      </c>
      <c r="Q367" s="4">
        <v>2057.42</v>
      </c>
      <c r="S367" s="8">
        <f t="shared" si="15"/>
        <v>17395.596666666668</v>
      </c>
      <c r="T367" s="8">
        <f t="shared" si="16"/>
        <v>-17395.596666666668</v>
      </c>
      <c r="U367" s="9">
        <f t="shared" si="17"/>
        <v>-1</v>
      </c>
    </row>
    <row r="368" spans="1:22" outlineLevel="1">
      <c r="A368" s="1" t="s">
        <v>695</v>
      </c>
      <c r="E368" s="4">
        <f>SUBTOTAL(9,E322:E367)</f>
        <v>2297916.46</v>
      </c>
      <c r="F368" s="4">
        <f>SUBTOTAL(9,F322:F367)</f>
        <v>1432914.8200000008</v>
      </c>
      <c r="G368" s="4">
        <f>SUBTOTAL(9,G322:G367)</f>
        <v>2268662.8000000003</v>
      </c>
      <c r="H368" s="4">
        <f>SUBTOTAL(9,H322:H367)</f>
        <v>1735278.8100000003</v>
      </c>
      <c r="I368" s="4">
        <f>SUBTOTAL(9,I322:I367)</f>
        <v>2414631.92</v>
      </c>
      <c r="J368" s="4">
        <f>SUBTOTAL(9,J322:J367)</f>
        <v>1991736.3</v>
      </c>
      <c r="K368" s="4">
        <f>SUBTOTAL(9,K322:K367)</f>
        <v>1261784.6800000002</v>
      </c>
      <c r="L368" s="4">
        <f>SUBTOTAL(9,L322:L367)</f>
        <v>1188673.55</v>
      </c>
      <c r="M368" s="4">
        <f>SUBTOTAL(9,M322:M367)</f>
        <v>1342785.24</v>
      </c>
      <c r="N368" s="4">
        <f>SUBTOTAL(9,N322:N367)</f>
        <v>1054794.9100000001</v>
      </c>
      <c r="O368" s="4">
        <f>SUBTOTAL(9,O322:O367)</f>
        <v>1139369.3199999994</v>
      </c>
      <c r="P368" s="4">
        <f>SUBTOTAL(9,P322:P367)</f>
        <v>149800.70000000039</v>
      </c>
      <c r="Q368" s="4">
        <f>SUBTOTAL(9,Q322:Q367)</f>
        <v>1541289.1599999997</v>
      </c>
      <c r="R368" s="4">
        <f>SUBTOTAL(9,R322:R367)</f>
        <v>1595752.8199999998</v>
      </c>
      <c r="S368" s="8">
        <f t="shared" si="15"/>
        <v>1069452.1466666665</v>
      </c>
      <c r="T368" s="8">
        <f t="shared" si="16"/>
        <v>526300.67333333334</v>
      </c>
      <c r="U368" s="9">
        <f t="shared" si="17"/>
        <v>0.49212176063579777</v>
      </c>
      <c r="V368" t="s">
        <v>897</v>
      </c>
    </row>
    <row r="369" spans="1:22" outlineLevel="2">
      <c r="A369" t="s">
        <v>250</v>
      </c>
      <c r="B369" t="s">
        <v>251</v>
      </c>
      <c r="C369" t="s">
        <v>164</v>
      </c>
      <c r="D369" t="s">
        <v>165</v>
      </c>
      <c r="E369" s="4">
        <v>0</v>
      </c>
      <c r="F369" s="4">
        <v>0</v>
      </c>
      <c r="G369" s="4">
        <v>11.13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S369" s="8">
        <f t="shared" si="15"/>
        <v>0</v>
      </c>
      <c r="T369" s="8">
        <f t="shared" si="16"/>
        <v>0</v>
      </c>
      <c r="U369" s="9" t="e">
        <f t="shared" si="17"/>
        <v>#DIV/0!</v>
      </c>
    </row>
    <row r="370" spans="1:22" outlineLevel="2">
      <c r="A370" t="s">
        <v>250</v>
      </c>
      <c r="B370" t="s">
        <v>251</v>
      </c>
      <c r="C370" t="s">
        <v>168</v>
      </c>
      <c r="D370" t="s">
        <v>169</v>
      </c>
      <c r="E370" s="4">
        <v>-28792.799999999999</v>
      </c>
      <c r="F370" s="4">
        <v>-13965.7</v>
      </c>
      <c r="G370" s="4">
        <v>35987.5</v>
      </c>
      <c r="H370" s="4">
        <v>0</v>
      </c>
      <c r="I370" s="4">
        <v>-19785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-16202.5</v>
      </c>
      <c r="S370" s="8">
        <f t="shared" si="15"/>
        <v>0</v>
      </c>
      <c r="T370" s="8">
        <f t="shared" si="16"/>
        <v>-16202.5</v>
      </c>
      <c r="U370" s="9" t="e">
        <f t="shared" si="17"/>
        <v>#DIV/0!</v>
      </c>
      <c r="V370" t="s">
        <v>897</v>
      </c>
    </row>
    <row r="371" spans="1:22" outlineLevel="1">
      <c r="A371" s="1" t="s">
        <v>696</v>
      </c>
      <c r="E371" s="4">
        <f>SUBTOTAL(9,E369:E370)</f>
        <v>-28792.799999999999</v>
      </c>
      <c r="F371" s="4">
        <f>SUBTOTAL(9,F369:F370)</f>
        <v>-13965.7</v>
      </c>
      <c r="G371" s="4">
        <f>SUBTOTAL(9,G369:G370)</f>
        <v>35998.629999999997</v>
      </c>
      <c r="H371" s="4">
        <f>SUBTOTAL(9,H369:H370)</f>
        <v>0</v>
      </c>
      <c r="I371" s="4">
        <f>SUBTOTAL(9,I369:I370)</f>
        <v>-19785</v>
      </c>
      <c r="J371" s="4">
        <f>SUBTOTAL(9,J369:J370)</f>
        <v>0</v>
      </c>
      <c r="K371" s="4">
        <f>SUBTOTAL(9,K369:K370)</f>
        <v>0</v>
      </c>
      <c r="L371" s="4">
        <f>SUBTOTAL(9,L369:L370)</f>
        <v>0</v>
      </c>
      <c r="M371" s="4">
        <f>SUBTOTAL(9,M369:M370)</f>
        <v>0</v>
      </c>
      <c r="N371" s="4">
        <f>SUBTOTAL(9,N369:N370)</f>
        <v>0</v>
      </c>
      <c r="O371" s="4">
        <f>SUBTOTAL(9,O369:O370)</f>
        <v>0</v>
      </c>
      <c r="P371" s="4">
        <f>SUBTOTAL(9,P369:P370)</f>
        <v>0</v>
      </c>
      <c r="Q371" s="4">
        <f>SUBTOTAL(9,Q369:Q370)</f>
        <v>0</v>
      </c>
      <c r="R371" s="4">
        <f>SUBTOTAL(9,R369:R370)</f>
        <v>-16202.5</v>
      </c>
      <c r="S371" s="8">
        <f t="shared" si="15"/>
        <v>0</v>
      </c>
      <c r="T371" s="8">
        <f t="shared" si="16"/>
        <v>-16202.5</v>
      </c>
      <c r="U371" s="9" t="e">
        <f t="shared" si="17"/>
        <v>#DIV/0!</v>
      </c>
      <c r="V371" t="s">
        <v>897</v>
      </c>
    </row>
    <row r="372" spans="1:22" outlineLevel="2">
      <c r="A372" t="s">
        <v>252</v>
      </c>
      <c r="B372" t="s">
        <v>253</v>
      </c>
      <c r="C372" t="s">
        <v>136</v>
      </c>
      <c r="D372" t="s">
        <v>137</v>
      </c>
      <c r="E372" s="4">
        <v>15165.719999999998</v>
      </c>
      <c r="F372" s="4">
        <v>13698.06</v>
      </c>
      <c r="G372" s="4">
        <v>15165.7</v>
      </c>
      <c r="H372" s="4">
        <v>14676.489999999998</v>
      </c>
      <c r="I372" s="4">
        <v>15165.71</v>
      </c>
      <c r="J372" s="4">
        <v>14676.5</v>
      </c>
      <c r="K372" s="4">
        <v>15693.84</v>
      </c>
      <c r="L372" s="4">
        <v>15677.350000000002</v>
      </c>
      <c r="M372" s="4">
        <v>15171.619999999999</v>
      </c>
      <c r="N372" s="4">
        <v>15677.34</v>
      </c>
      <c r="O372" s="4">
        <v>15171.62</v>
      </c>
      <c r="P372" s="4">
        <v>15677.34</v>
      </c>
      <c r="Q372" s="4">
        <v>15677.34</v>
      </c>
      <c r="R372" s="4">
        <v>14160.18</v>
      </c>
      <c r="S372" s="8">
        <f t="shared" si="15"/>
        <v>15508.768333333333</v>
      </c>
      <c r="T372" s="8">
        <f t="shared" si="16"/>
        <v>-1348.5883333333331</v>
      </c>
      <c r="U372" s="9">
        <f t="shared" si="17"/>
        <v>-8.6956507721814555E-2</v>
      </c>
    </row>
    <row r="373" spans="1:22" outlineLevel="2">
      <c r="A373" t="s">
        <v>252</v>
      </c>
      <c r="B373" t="s">
        <v>253</v>
      </c>
      <c r="C373" t="s">
        <v>144</v>
      </c>
      <c r="D373" t="s">
        <v>145</v>
      </c>
      <c r="E373" s="4">
        <v>2953.0199999999995</v>
      </c>
      <c r="F373" s="4">
        <v>400.76000000000005</v>
      </c>
      <c r="G373" s="4">
        <v>2017.71</v>
      </c>
      <c r="H373" s="4">
        <v>1287.2099999999998</v>
      </c>
      <c r="I373" s="4">
        <v>3417.45</v>
      </c>
      <c r="J373" s="4">
        <v>354.08000000000004</v>
      </c>
      <c r="K373" s="4">
        <v>1737.1</v>
      </c>
      <c r="L373" s="4">
        <v>1638.3400000000001</v>
      </c>
      <c r="M373" s="4">
        <v>1965.18</v>
      </c>
      <c r="N373" s="4">
        <v>1531.4900000000002</v>
      </c>
      <c r="O373" s="4">
        <v>1257.1599999999999</v>
      </c>
      <c r="P373" s="4">
        <v>1163.0299999999997</v>
      </c>
      <c r="Q373" s="4">
        <v>2038.41</v>
      </c>
      <c r="R373" s="4">
        <v>136.07000000000016</v>
      </c>
      <c r="S373" s="8">
        <f t="shared" si="15"/>
        <v>1598.9350000000002</v>
      </c>
      <c r="T373" s="8">
        <f t="shared" si="16"/>
        <v>-1462.865</v>
      </c>
      <c r="U373" s="9">
        <f t="shared" si="17"/>
        <v>-0.9148996050496111</v>
      </c>
    </row>
    <row r="374" spans="1:22" outlineLevel="2">
      <c r="A374" t="s">
        <v>252</v>
      </c>
      <c r="B374" t="s">
        <v>253</v>
      </c>
      <c r="C374" t="s">
        <v>146</v>
      </c>
      <c r="D374" t="s">
        <v>147</v>
      </c>
      <c r="E374" s="4">
        <v>1516.58</v>
      </c>
      <c r="F374" s="4">
        <v>1369.8200000000002</v>
      </c>
      <c r="G374" s="4">
        <v>2270.7599999999998</v>
      </c>
      <c r="H374" s="4">
        <v>1467.67</v>
      </c>
      <c r="I374" s="4">
        <v>1516.59</v>
      </c>
      <c r="J374" s="4">
        <v>1467.6599999999999</v>
      </c>
      <c r="K374" s="4">
        <v>1569.3899999999999</v>
      </c>
      <c r="L374" s="4">
        <v>1567.74</v>
      </c>
      <c r="M374" s="4">
        <v>1557.1000000000001</v>
      </c>
      <c r="N374" s="4">
        <v>1068.44</v>
      </c>
      <c r="O374" s="4">
        <v>1142.67</v>
      </c>
      <c r="P374" s="4">
        <v>1180.77</v>
      </c>
      <c r="Q374" s="4">
        <v>1180.76</v>
      </c>
      <c r="R374" s="4">
        <v>1066.5</v>
      </c>
      <c r="S374" s="8">
        <f t="shared" si="15"/>
        <v>1282.9133333333336</v>
      </c>
      <c r="T374" s="8">
        <f t="shared" si="16"/>
        <v>-216.41333333333364</v>
      </c>
      <c r="U374" s="9">
        <f t="shared" si="17"/>
        <v>-0.16868897353419582</v>
      </c>
    </row>
    <row r="375" spans="1:22" outlineLevel="2">
      <c r="A375" t="s">
        <v>252</v>
      </c>
      <c r="B375" t="s">
        <v>253</v>
      </c>
      <c r="C375" t="s">
        <v>150</v>
      </c>
      <c r="D375" t="s">
        <v>151</v>
      </c>
      <c r="E375" s="4">
        <v>0</v>
      </c>
      <c r="F375" s="4">
        <v>2374</v>
      </c>
      <c r="G375" s="4">
        <v>474.79999999999927</v>
      </c>
      <c r="H375" s="4">
        <v>3087.03</v>
      </c>
      <c r="I375" s="4">
        <v>2596.9300000000003</v>
      </c>
      <c r="J375" s="4">
        <v>1721.39</v>
      </c>
      <c r="K375" s="4">
        <v>2086.27</v>
      </c>
      <c r="L375" s="4">
        <v>2086.27</v>
      </c>
      <c r="M375" s="4">
        <v>2086.27</v>
      </c>
      <c r="N375" s="4">
        <v>1971.52</v>
      </c>
      <c r="O375" s="4">
        <v>1971.52</v>
      </c>
      <c r="P375" s="4">
        <v>1971.52</v>
      </c>
      <c r="Q375" s="4">
        <v>1261.27</v>
      </c>
      <c r="R375" s="4">
        <v>2420.38</v>
      </c>
      <c r="S375" s="8">
        <f t="shared" si="15"/>
        <v>1891.3950000000002</v>
      </c>
      <c r="T375" s="8">
        <f t="shared" si="16"/>
        <v>528.9849999999999</v>
      </c>
      <c r="U375" s="9">
        <f t="shared" si="17"/>
        <v>0.27967981304804118</v>
      </c>
    </row>
    <row r="376" spans="1:22" outlineLevel="2">
      <c r="A376" t="s">
        <v>252</v>
      </c>
      <c r="B376" t="s">
        <v>253</v>
      </c>
      <c r="C376" t="s">
        <v>152</v>
      </c>
      <c r="D376" t="s">
        <v>153</v>
      </c>
      <c r="E376" s="4">
        <v>1119.1500000000001</v>
      </c>
      <c r="F376" s="4">
        <v>1010.82</v>
      </c>
      <c r="G376" s="4">
        <v>1696.1000000000001</v>
      </c>
      <c r="H376" s="4">
        <v>1083.0400000000002</v>
      </c>
      <c r="I376" s="4">
        <v>1300.24</v>
      </c>
      <c r="J376" s="4">
        <v>1597.59</v>
      </c>
      <c r="K376" s="4">
        <v>1159.6200000000001</v>
      </c>
      <c r="L376" s="4">
        <v>1158.4000000000001</v>
      </c>
      <c r="M376" s="4">
        <v>1120.96</v>
      </c>
      <c r="N376" s="4">
        <v>1158.3899999999999</v>
      </c>
      <c r="O376" s="4">
        <v>1120.99</v>
      </c>
      <c r="P376" s="4">
        <v>1154.8799999999992</v>
      </c>
      <c r="Q376" s="4">
        <v>1151.9100000000001</v>
      </c>
      <c r="R376" s="4">
        <v>1040.45</v>
      </c>
      <c r="S376" s="8">
        <f t="shared" si="15"/>
        <v>1144.2549999999999</v>
      </c>
      <c r="T376" s="8">
        <f t="shared" si="16"/>
        <v>-103.80499999999984</v>
      </c>
      <c r="U376" s="9">
        <f t="shared" si="17"/>
        <v>-9.0718415038605768E-2</v>
      </c>
    </row>
    <row r="377" spans="1:22" outlineLevel="2">
      <c r="A377" t="s">
        <v>252</v>
      </c>
      <c r="B377" t="s">
        <v>253</v>
      </c>
      <c r="C377" t="s">
        <v>154</v>
      </c>
      <c r="D377" t="s">
        <v>155</v>
      </c>
      <c r="E377" s="4">
        <v>182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182.00000000000003</v>
      </c>
      <c r="S377" s="8">
        <f t="shared" si="15"/>
        <v>30.333333333333339</v>
      </c>
      <c r="T377" s="8">
        <f t="shared" si="16"/>
        <v>-30.333333333333339</v>
      </c>
      <c r="U377" s="9">
        <f t="shared" si="17"/>
        <v>-1</v>
      </c>
    </row>
    <row r="378" spans="1:22" outlineLevel="2">
      <c r="A378" t="s">
        <v>252</v>
      </c>
      <c r="B378" t="s">
        <v>253</v>
      </c>
      <c r="C378" t="s">
        <v>158</v>
      </c>
      <c r="D378" t="s">
        <v>159</v>
      </c>
      <c r="E378" s="4">
        <v>1333.33</v>
      </c>
      <c r="F378" s="4">
        <v>1333</v>
      </c>
      <c r="G378" s="4">
        <v>-48.489999999999782</v>
      </c>
      <c r="H378" s="4">
        <v>1425.24</v>
      </c>
      <c r="I378" s="4">
        <v>1333</v>
      </c>
      <c r="J378" s="4">
        <v>285.83000000000015</v>
      </c>
      <c r="K378" s="4">
        <v>1333</v>
      </c>
      <c r="L378" s="4">
        <v>1333</v>
      </c>
      <c r="M378" s="4">
        <v>609.9699999999998</v>
      </c>
      <c r="N378" s="4">
        <v>1333</v>
      </c>
      <c r="O378" s="4">
        <v>1333</v>
      </c>
      <c r="P378" s="4">
        <v>-2666</v>
      </c>
      <c r="Q378" s="4">
        <v>1333.33</v>
      </c>
      <c r="R378" s="4">
        <v>1333.33</v>
      </c>
      <c r="S378" s="8">
        <f t="shared" si="15"/>
        <v>546.04999999999984</v>
      </c>
      <c r="T378" s="8">
        <f t="shared" si="16"/>
        <v>787.28000000000009</v>
      </c>
      <c r="U378" s="9">
        <f t="shared" si="17"/>
        <v>1.441772731434851</v>
      </c>
    </row>
    <row r="379" spans="1:22" outlineLevel="2">
      <c r="A379" t="s">
        <v>252</v>
      </c>
      <c r="B379" t="s">
        <v>253</v>
      </c>
      <c r="C379" t="s">
        <v>160</v>
      </c>
      <c r="D379" t="s">
        <v>161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439.49</v>
      </c>
      <c r="N379" s="4">
        <v>0</v>
      </c>
      <c r="O379" s="4">
        <v>0</v>
      </c>
      <c r="P379" s="4">
        <v>188.49</v>
      </c>
      <c r="Q379" s="4">
        <v>0</v>
      </c>
      <c r="S379" s="8">
        <f t="shared" si="15"/>
        <v>104.66333333333334</v>
      </c>
      <c r="T379" s="8">
        <f t="shared" si="16"/>
        <v>-104.66333333333334</v>
      </c>
      <c r="U379" s="9">
        <f t="shared" si="17"/>
        <v>-1</v>
      </c>
    </row>
    <row r="380" spans="1:22" outlineLevel="1">
      <c r="A380" s="1" t="s">
        <v>697</v>
      </c>
      <c r="E380" s="4">
        <f>SUBTOTAL(9,E372:E379)</f>
        <v>22269.800000000003</v>
      </c>
      <c r="F380" s="4">
        <f>SUBTOTAL(9,F372:F379)</f>
        <v>20186.46</v>
      </c>
      <c r="G380" s="4">
        <f>SUBTOTAL(9,G372:G379)</f>
        <v>21576.579999999994</v>
      </c>
      <c r="H380" s="4">
        <f>SUBTOTAL(9,H372:H379)</f>
        <v>23026.679999999997</v>
      </c>
      <c r="I380" s="4">
        <f>SUBTOTAL(9,I372:I379)</f>
        <v>25329.920000000002</v>
      </c>
      <c r="J380" s="4">
        <f>SUBTOTAL(9,J372:J379)</f>
        <v>20103.05</v>
      </c>
      <c r="K380" s="4">
        <f>SUBTOTAL(9,K372:K379)</f>
        <v>23579.219999999998</v>
      </c>
      <c r="L380" s="4">
        <f>SUBTOTAL(9,L372:L379)</f>
        <v>23461.100000000006</v>
      </c>
      <c r="M380" s="4">
        <f>SUBTOTAL(9,M372:M379)</f>
        <v>22950.59</v>
      </c>
      <c r="N380" s="4">
        <f>SUBTOTAL(9,N372:N379)</f>
        <v>22740.18</v>
      </c>
      <c r="O380" s="4">
        <f>SUBTOTAL(9,O372:O379)</f>
        <v>21996.959999999999</v>
      </c>
      <c r="P380" s="4">
        <f>SUBTOTAL(9,P372:P379)</f>
        <v>18670.030000000002</v>
      </c>
      <c r="Q380" s="4">
        <f>SUBTOTAL(9,Q372:Q379)</f>
        <v>22825.019999999997</v>
      </c>
      <c r="R380" s="4">
        <f>SUBTOTAL(9,R372:R379)</f>
        <v>20156.910000000003</v>
      </c>
      <c r="S380" s="8">
        <f t="shared" si="15"/>
        <v>22107.313333333328</v>
      </c>
      <c r="T380" s="8">
        <f t="shared" si="16"/>
        <v>-1950.4033333333246</v>
      </c>
      <c r="U380" s="9">
        <f t="shared" si="17"/>
        <v>-8.8224349287731554E-2</v>
      </c>
    </row>
    <row r="381" spans="1:22" outlineLevel="2">
      <c r="A381" t="s">
        <v>254</v>
      </c>
      <c r="B381" t="s">
        <v>255</v>
      </c>
      <c r="C381" t="s">
        <v>21</v>
      </c>
      <c r="D381" t="s">
        <v>22</v>
      </c>
      <c r="E381" s="4">
        <v>263.01</v>
      </c>
      <c r="F381" s="4">
        <v>0</v>
      </c>
      <c r="G381" s="4">
        <v>212.87</v>
      </c>
      <c r="H381" s="4">
        <v>17.010000000000002</v>
      </c>
      <c r="I381" s="4">
        <v>0</v>
      </c>
      <c r="J381" s="4">
        <v>0</v>
      </c>
      <c r="K381" s="4">
        <v>1080.6399999999999</v>
      </c>
      <c r="L381" s="4">
        <v>0</v>
      </c>
      <c r="M381" s="4">
        <v>399.91</v>
      </c>
      <c r="N381" s="4">
        <v>8.2100000000000009</v>
      </c>
      <c r="O381" s="4">
        <v>112.14</v>
      </c>
      <c r="P381" s="4">
        <v>343.74</v>
      </c>
      <c r="Q381" s="4">
        <v>1580.8600000000001</v>
      </c>
      <c r="R381" s="4">
        <v>575.54999999999995</v>
      </c>
      <c r="S381" s="8">
        <f t="shared" si="15"/>
        <v>407.47666666666669</v>
      </c>
      <c r="T381" s="8">
        <f t="shared" si="16"/>
        <v>168.07333333333327</v>
      </c>
      <c r="U381" s="9">
        <f t="shared" si="17"/>
        <v>0.41247351586593894</v>
      </c>
    </row>
    <row r="382" spans="1:22" outlineLevel="2">
      <c r="A382" t="s">
        <v>254</v>
      </c>
      <c r="B382" t="s">
        <v>255</v>
      </c>
      <c r="C382" t="s">
        <v>23</v>
      </c>
      <c r="D382" t="s">
        <v>24</v>
      </c>
      <c r="E382" s="4">
        <v>1235.0899999999999</v>
      </c>
      <c r="F382" s="4">
        <v>700.96</v>
      </c>
      <c r="G382" s="4">
        <v>1399.0800000000002</v>
      </c>
      <c r="H382" s="4">
        <v>1380.2599999999998</v>
      </c>
      <c r="I382" s="4">
        <v>0</v>
      </c>
      <c r="J382" s="4">
        <v>0</v>
      </c>
      <c r="K382" s="4">
        <v>1851.3600000000006</v>
      </c>
      <c r="L382" s="4">
        <v>513.30999999999995</v>
      </c>
      <c r="M382" s="4">
        <v>200</v>
      </c>
      <c r="N382" s="4">
        <v>99.12</v>
      </c>
      <c r="O382" s="4">
        <v>0</v>
      </c>
      <c r="P382" s="4">
        <v>527.94000000000005</v>
      </c>
      <c r="Q382" s="4">
        <v>401.12</v>
      </c>
      <c r="R382" s="4">
        <v>575.93999999999994</v>
      </c>
      <c r="S382" s="8">
        <f t="shared" si="15"/>
        <v>290.24833333333328</v>
      </c>
      <c r="T382" s="8">
        <f t="shared" si="16"/>
        <v>285.69166666666666</v>
      </c>
      <c r="U382" s="9">
        <f t="shared" si="17"/>
        <v>0.98430079988974972</v>
      </c>
    </row>
    <row r="383" spans="1:22" outlineLevel="2">
      <c r="A383" t="s">
        <v>254</v>
      </c>
      <c r="B383" t="s">
        <v>255</v>
      </c>
      <c r="C383" t="s">
        <v>25</v>
      </c>
      <c r="D383" t="s">
        <v>26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2051.3000000000002</v>
      </c>
      <c r="N383" s="4">
        <v>0</v>
      </c>
      <c r="O383" s="4">
        <v>179.67000000000002</v>
      </c>
      <c r="P383" s="4">
        <v>2128.2900000000004</v>
      </c>
      <c r="Q383" s="4">
        <v>489.50000000000006</v>
      </c>
      <c r="R383" s="4">
        <v>2200.8499999999995</v>
      </c>
      <c r="S383" s="8">
        <f t="shared" si="15"/>
        <v>808.12666666666667</v>
      </c>
      <c r="T383" s="8">
        <f t="shared" si="16"/>
        <v>1392.7233333333329</v>
      </c>
      <c r="U383" s="9">
        <f t="shared" si="17"/>
        <v>1.7233973222019645</v>
      </c>
    </row>
    <row r="384" spans="1:22" outlineLevel="2">
      <c r="A384" t="s">
        <v>254</v>
      </c>
      <c r="B384" t="s">
        <v>255</v>
      </c>
      <c r="C384" t="s">
        <v>27</v>
      </c>
      <c r="D384" t="s">
        <v>28</v>
      </c>
      <c r="E384" s="4">
        <v>0</v>
      </c>
      <c r="F384" s="4">
        <v>69.81</v>
      </c>
      <c r="G384" s="4">
        <v>118.59</v>
      </c>
      <c r="H384" s="4">
        <v>0</v>
      </c>
      <c r="I384" s="4">
        <v>0</v>
      </c>
      <c r="J384" s="4">
        <v>0</v>
      </c>
      <c r="K384" s="4">
        <v>513.30999999999995</v>
      </c>
      <c r="L384" s="4">
        <v>0</v>
      </c>
      <c r="M384" s="4">
        <v>167.5</v>
      </c>
      <c r="N384" s="4">
        <v>634.63</v>
      </c>
      <c r="O384" s="4">
        <v>-55.629999999999995</v>
      </c>
      <c r="P384" s="4">
        <v>624.42999999999995</v>
      </c>
      <c r="Q384" s="4">
        <v>722.99</v>
      </c>
      <c r="R384" s="4">
        <v>3000.2699999999995</v>
      </c>
      <c r="S384" s="8">
        <f t="shared" si="15"/>
        <v>348.98666666666668</v>
      </c>
      <c r="T384" s="8">
        <f t="shared" si="16"/>
        <v>2651.2833333333328</v>
      </c>
      <c r="U384" s="9">
        <f t="shared" si="17"/>
        <v>7.5970906242836387</v>
      </c>
    </row>
    <row r="385" spans="1:22" outlineLevel="2">
      <c r="A385" t="s">
        <v>254</v>
      </c>
      <c r="B385" t="s">
        <v>255</v>
      </c>
      <c r="C385" t="s">
        <v>136</v>
      </c>
      <c r="D385" t="s">
        <v>137</v>
      </c>
      <c r="E385" s="4">
        <v>157412.72000000003</v>
      </c>
      <c r="F385" s="4">
        <v>142179.26</v>
      </c>
      <c r="G385" s="4">
        <v>157412.77000000002</v>
      </c>
      <c r="H385" s="4">
        <v>162196.21</v>
      </c>
      <c r="I385" s="4">
        <v>174807.71000000002</v>
      </c>
      <c r="J385" s="4">
        <v>146763.29999999999</v>
      </c>
      <c r="K385" s="4">
        <v>130601.12000000001</v>
      </c>
      <c r="L385" s="4">
        <v>148126.65000000002</v>
      </c>
      <c r="M385" s="4">
        <v>162153.39000000001</v>
      </c>
      <c r="N385" s="4">
        <v>177795.76</v>
      </c>
      <c r="O385" s="4">
        <v>142098.14000000001</v>
      </c>
      <c r="P385" s="4">
        <v>152796.27000000002</v>
      </c>
      <c r="Q385" s="4">
        <v>152796.31</v>
      </c>
      <c r="R385" s="4">
        <v>138009.56</v>
      </c>
      <c r="S385" s="8">
        <f t="shared" si="15"/>
        <v>155961.08666666667</v>
      </c>
      <c r="T385" s="8">
        <f t="shared" si="16"/>
        <v>-17951.526666666672</v>
      </c>
      <c r="U385" s="9">
        <f t="shared" si="17"/>
        <v>-0.11510260059314799</v>
      </c>
    </row>
    <row r="386" spans="1:22" outlineLevel="2">
      <c r="A386" t="s">
        <v>254</v>
      </c>
      <c r="B386" t="s">
        <v>255</v>
      </c>
      <c r="C386" t="s">
        <v>142</v>
      </c>
      <c r="D386" t="s">
        <v>143</v>
      </c>
      <c r="E386" s="4">
        <v>0</v>
      </c>
      <c r="F386" s="4">
        <v>0</v>
      </c>
      <c r="G386" s="4">
        <v>0</v>
      </c>
      <c r="H386" s="4">
        <v>0</v>
      </c>
      <c r="I386" s="4">
        <v>10000</v>
      </c>
      <c r="J386" s="4">
        <v>7500</v>
      </c>
      <c r="K386" s="4">
        <v>0</v>
      </c>
      <c r="L386" s="4">
        <v>0</v>
      </c>
      <c r="M386" s="4">
        <v>15000</v>
      </c>
      <c r="N386" s="4">
        <v>0</v>
      </c>
      <c r="O386" s="4">
        <v>0</v>
      </c>
      <c r="P386" s="4">
        <v>5000</v>
      </c>
      <c r="Q386" s="4">
        <v>0</v>
      </c>
      <c r="S386" s="8">
        <f t="shared" si="15"/>
        <v>3333.3333333333335</v>
      </c>
      <c r="T386" s="8">
        <f t="shared" si="16"/>
        <v>-3333.3333333333335</v>
      </c>
      <c r="U386" s="9">
        <f t="shared" si="17"/>
        <v>-1</v>
      </c>
    </row>
    <row r="387" spans="1:22" outlineLevel="2">
      <c r="A387" t="s">
        <v>254</v>
      </c>
      <c r="B387" t="s">
        <v>255</v>
      </c>
      <c r="C387" t="s">
        <v>144</v>
      </c>
      <c r="D387" t="s">
        <v>145</v>
      </c>
      <c r="E387" s="4">
        <v>41474.089999999997</v>
      </c>
      <c r="F387" s="4">
        <v>10294.380000000003</v>
      </c>
      <c r="G387" s="4">
        <v>36504.810000000005</v>
      </c>
      <c r="H387" s="4">
        <v>19587.68</v>
      </c>
      <c r="I387" s="4">
        <v>33390.79</v>
      </c>
      <c r="J387" s="4">
        <v>8842.0200000000023</v>
      </c>
      <c r="K387" s="4">
        <v>28249.980000000003</v>
      </c>
      <c r="L387" s="4">
        <v>29682.57</v>
      </c>
      <c r="M387" s="4">
        <v>31460.750000000004</v>
      </c>
      <c r="N387" s="4">
        <v>24919.439999999999</v>
      </c>
      <c r="O387" s="4">
        <v>22515.05</v>
      </c>
      <c r="P387" s="4">
        <v>22467.68</v>
      </c>
      <c r="Q387" s="4">
        <v>32819.85</v>
      </c>
      <c r="R387" s="4">
        <v>5870.9599999999991</v>
      </c>
      <c r="S387" s="8">
        <f t="shared" ref="S387:S450" si="18">AVERAGE(L387:Q387)</f>
        <v>27310.890000000003</v>
      </c>
      <c r="T387" s="8">
        <f t="shared" ref="T387:T450" si="19">R387-S387</f>
        <v>-21439.930000000004</v>
      </c>
      <c r="U387" s="9">
        <f t="shared" ref="U387:U450" si="20">(R387-S387)/S387</f>
        <v>-0.78503227100984263</v>
      </c>
    </row>
    <row r="388" spans="1:22" outlineLevel="2">
      <c r="A388" t="s">
        <v>254</v>
      </c>
      <c r="B388" t="s">
        <v>255</v>
      </c>
      <c r="C388" t="s">
        <v>146</v>
      </c>
      <c r="D388" t="s">
        <v>147</v>
      </c>
      <c r="E388" s="4">
        <v>13175.88</v>
      </c>
      <c r="F388" s="4">
        <v>11891.28</v>
      </c>
      <c r="G388" s="4">
        <v>29650.059999999998</v>
      </c>
      <c r="H388" s="4">
        <v>12142.39</v>
      </c>
      <c r="I388" s="4">
        <v>15634.119999999999</v>
      </c>
      <c r="J388" s="4">
        <v>9146.2999999999993</v>
      </c>
      <c r="K388" s="4">
        <v>8912.35</v>
      </c>
      <c r="L388" s="4">
        <v>11103.61</v>
      </c>
      <c r="M388" s="4">
        <v>54901.4</v>
      </c>
      <c r="N388" s="4">
        <v>11816.41</v>
      </c>
      <c r="O388" s="4">
        <v>9707.43</v>
      </c>
      <c r="P388" s="4">
        <v>13246.08</v>
      </c>
      <c r="Q388" s="4">
        <v>14748.400000000001</v>
      </c>
      <c r="R388" s="4">
        <v>13321.12</v>
      </c>
      <c r="S388" s="8">
        <f t="shared" si="18"/>
        <v>19253.888333333336</v>
      </c>
      <c r="T388" s="8">
        <f t="shared" si="19"/>
        <v>-5932.7683333333352</v>
      </c>
      <c r="U388" s="9">
        <f t="shared" si="20"/>
        <v>-0.30813351727309113</v>
      </c>
    </row>
    <row r="389" spans="1:22" outlineLevel="2">
      <c r="A389" t="s">
        <v>254</v>
      </c>
      <c r="B389" t="s">
        <v>255</v>
      </c>
      <c r="C389" t="s">
        <v>148</v>
      </c>
      <c r="D389" t="s">
        <v>149</v>
      </c>
      <c r="E389" s="4">
        <v>0</v>
      </c>
      <c r="F389" s="4">
        <v>50</v>
      </c>
      <c r="G389" s="4">
        <v>275</v>
      </c>
      <c r="H389" s="4">
        <v>0</v>
      </c>
      <c r="I389" s="4">
        <v>0</v>
      </c>
      <c r="J389" s="4">
        <v>75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75</v>
      </c>
      <c r="Q389" s="4">
        <v>0</v>
      </c>
      <c r="R389" s="4">
        <v>125</v>
      </c>
      <c r="S389" s="8">
        <f t="shared" si="18"/>
        <v>12.5</v>
      </c>
      <c r="T389" s="8">
        <f t="shared" si="19"/>
        <v>112.5</v>
      </c>
      <c r="U389" s="9">
        <f t="shared" si="20"/>
        <v>9</v>
      </c>
    </row>
    <row r="390" spans="1:22" outlineLevel="2">
      <c r="A390" t="s">
        <v>254</v>
      </c>
      <c r="B390" t="s">
        <v>255</v>
      </c>
      <c r="C390" t="s">
        <v>150</v>
      </c>
      <c r="D390" t="s">
        <v>151</v>
      </c>
      <c r="E390" s="4">
        <v>0</v>
      </c>
      <c r="F390" s="4">
        <v>64348</v>
      </c>
      <c r="G390" s="4">
        <v>12869.600000000006</v>
      </c>
      <c r="H390" s="4">
        <v>56911.71</v>
      </c>
      <c r="I390" s="4">
        <v>58681.570000000007</v>
      </c>
      <c r="J390" s="4">
        <v>38897.5</v>
      </c>
      <c r="K390" s="4">
        <v>42195.18</v>
      </c>
      <c r="L390" s="4">
        <v>42195.18</v>
      </c>
      <c r="M390" s="4">
        <v>42195.18</v>
      </c>
      <c r="N390" s="4">
        <v>44841.81</v>
      </c>
      <c r="O390" s="4">
        <v>44841.81</v>
      </c>
      <c r="P390" s="4">
        <v>44841.81</v>
      </c>
      <c r="Q390" s="4">
        <v>33155.85</v>
      </c>
      <c r="R390" s="4">
        <v>28278.520000000004</v>
      </c>
      <c r="S390" s="8">
        <f t="shared" si="18"/>
        <v>42011.939999999995</v>
      </c>
      <c r="T390" s="8">
        <f t="shared" si="19"/>
        <v>-13733.419999999991</v>
      </c>
      <c r="U390" s="9">
        <f t="shared" si="20"/>
        <v>-0.32689325939244873</v>
      </c>
      <c r="V390" t="s">
        <v>896</v>
      </c>
    </row>
    <row r="391" spans="1:22" outlineLevel="2">
      <c r="A391" t="s">
        <v>254</v>
      </c>
      <c r="B391" t="s">
        <v>255</v>
      </c>
      <c r="C391" t="s">
        <v>152</v>
      </c>
      <c r="D391" t="s">
        <v>153</v>
      </c>
      <c r="E391" s="4">
        <v>11738.79</v>
      </c>
      <c r="F391" s="4">
        <v>10559.99</v>
      </c>
      <c r="G391" s="4">
        <v>24493.86</v>
      </c>
      <c r="H391" s="4">
        <v>10352.18</v>
      </c>
      <c r="I391" s="4">
        <v>16593.62</v>
      </c>
      <c r="J391" s="4">
        <v>17000.84</v>
      </c>
      <c r="K391" s="4">
        <v>10381.970000000001</v>
      </c>
      <c r="L391" s="4">
        <v>8380.33</v>
      </c>
      <c r="M391" s="4">
        <v>8966.39</v>
      </c>
      <c r="N391" s="4">
        <v>10049.33</v>
      </c>
      <c r="O391" s="4">
        <v>7621.73</v>
      </c>
      <c r="P391" s="4">
        <v>9235.26</v>
      </c>
      <c r="Q391" s="4">
        <v>10713.36</v>
      </c>
      <c r="R391" s="4">
        <v>50022.200000000004</v>
      </c>
      <c r="S391" s="8">
        <f t="shared" si="18"/>
        <v>9161.0666666666675</v>
      </c>
      <c r="T391" s="8">
        <f t="shared" si="19"/>
        <v>40861.133333333339</v>
      </c>
      <c r="U391" s="9">
        <f t="shared" si="20"/>
        <v>4.4603030214822148</v>
      </c>
      <c r="V391" t="s">
        <v>896</v>
      </c>
    </row>
    <row r="392" spans="1:22" outlineLevel="2">
      <c r="A392" t="s">
        <v>254</v>
      </c>
      <c r="B392" t="s">
        <v>255</v>
      </c>
      <c r="C392" t="s">
        <v>154</v>
      </c>
      <c r="D392" t="s">
        <v>155</v>
      </c>
      <c r="E392" s="4">
        <v>1712.6100000000001</v>
      </c>
      <c r="F392" s="4">
        <v>0</v>
      </c>
      <c r="G392" s="4">
        <v>-275.89999999999998</v>
      </c>
      <c r="H392" s="4">
        <v>213.07999999999998</v>
      </c>
      <c r="I392" s="4">
        <v>80.849999999999994</v>
      </c>
      <c r="J392" s="4">
        <v>0</v>
      </c>
      <c r="K392" s="4">
        <v>0</v>
      </c>
      <c r="L392" s="4">
        <v>91</v>
      </c>
      <c r="M392" s="4">
        <v>91</v>
      </c>
      <c r="N392" s="4">
        <v>0</v>
      </c>
      <c r="O392" s="4">
        <v>0</v>
      </c>
      <c r="P392" s="4">
        <v>0</v>
      </c>
      <c r="Q392" s="4">
        <v>1355.3</v>
      </c>
      <c r="S392" s="8">
        <f t="shared" si="18"/>
        <v>256.21666666666664</v>
      </c>
      <c r="T392" s="8">
        <f t="shared" si="19"/>
        <v>-256.21666666666664</v>
      </c>
      <c r="U392" s="9">
        <f t="shared" si="20"/>
        <v>-1</v>
      </c>
    </row>
    <row r="393" spans="1:22" outlineLevel="2">
      <c r="A393" t="s">
        <v>254</v>
      </c>
      <c r="B393" t="s">
        <v>255</v>
      </c>
      <c r="C393" t="s">
        <v>33</v>
      </c>
      <c r="D393" t="s">
        <v>34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50</v>
      </c>
      <c r="S393" s="8">
        <f t="shared" si="18"/>
        <v>8.3333333333333339</v>
      </c>
      <c r="T393" s="8">
        <f t="shared" si="19"/>
        <v>-8.3333333333333339</v>
      </c>
      <c r="U393" s="9">
        <f t="shared" si="20"/>
        <v>-1</v>
      </c>
    </row>
    <row r="394" spans="1:22" outlineLevel="2">
      <c r="A394" t="s">
        <v>254</v>
      </c>
      <c r="B394" t="s">
        <v>255</v>
      </c>
      <c r="C394" t="s">
        <v>158</v>
      </c>
      <c r="D394" t="s">
        <v>159</v>
      </c>
      <c r="E394" s="4">
        <v>42800</v>
      </c>
      <c r="F394" s="4">
        <v>42800</v>
      </c>
      <c r="G394" s="4">
        <v>8834.8199999999924</v>
      </c>
      <c r="H394" s="4">
        <v>45431.63</v>
      </c>
      <c r="I394" s="4">
        <v>42800</v>
      </c>
      <c r="J394" s="4">
        <v>-69177.77</v>
      </c>
      <c r="K394" s="4">
        <v>42800</v>
      </c>
      <c r="L394" s="4">
        <v>42800</v>
      </c>
      <c r="M394" s="4">
        <v>1636.8899999999994</v>
      </c>
      <c r="N394" s="4">
        <v>42800</v>
      </c>
      <c r="O394" s="4">
        <v>42800</v>
      </c>
      <c r="P394" s="4">
        <v>5759.3699999999953</v>
      </c>
      <c r="Q394" s="4">
        <v>35666.67</v>
      </c>
      <c r="R394" s="4">
        <v>35666.67</v>
      </c>
      <c r="S394" s="8">
        <f t="shared" si="18"/>
        <v>28577.154999999999</v>
      </c>
      <c r="T394" s="8">
        <f t="shared" si="19"/>
        <v>7089.5149999999994</v>
      </c>
      <c r="U394" s="9">
        <f t="shared" si="20"/>
        <v>0.24808330290401545</v>
      </c>
      <c r="V394" t="s">
        <v>896</v>
      </c>
    </row>
    <row r="395" spans="1:22" outlineLevel="2">
      <c r="A395" t="s">
        <v>254</v>
      </c>
      <c r="B395" t="s">
        <v>255</v>
      </c>
      <c r="C395" t="s">
        <v>160</v>
      </c>
      <c r="D395" t="s">
        <v>161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5194.2800000000007</v>
      </c>
      <c r="N395" s="4">
        <v>0</v>
      </c>
      <c r="O395" s="4">
        <v>0</v>
      </c>
      <c r="P395" s="4">
        <v>534.05999999999995</v>
      </c>
      <c r="Q395" s="4">
        <v>0</v>
      </c>
      <c r="S395" s="8">
        <f t="shared" si="18"/>
        <v>954.72333333333336</v>
      </c>
      <c r="T395" s="8">
        <f t="shared" si="19"/>
        <v>-954.72333333333336</v>
      </c>
      <c r="U395" s="9">
        <f t="shared" si="20"/>
        <v>-1</v>
      </c>
    </row>
    <row r="396" spans="1:22" outlineLevel="2">
      <c r="A396" t="s">
        <v>254</v>
      </c>
      <c r="B396" t="s">
        <v>255</v>
      </c>
      <c r="C396" t="s">
        <v>164</v>
      </c>
      <c r="D396" t="s">
        <v>165</v>
      </c>
      <c r="E396" s="4">
        <v>315</v>
      </c>
      <c r="F396" s="4">
        <v>210</v>
      </c>
      <c r="G396" s="4">
        <v>210</v>
      </c>
      <c r="H396" s="4">
        <v>210</v>
      </c>
      <c r="I396" s="4">
        <v>175</v>
      </c>
      <c r="J396" s="4">
        <v>140</v>
      </c>
      <c r="K396" s="4">
        <v>140</v>
      </c>
      <c r="L396" s="4">
        <v>210</v>
      </c>
      <c r="M396" s="4">
        <v>140</v>
      </c>
      <c r="N396" s="4">
        <v>140</v>
      </c>
      <c r="O396" s="4">
        <v>140</v>
      </c>
      <c r="P396" s="4">
        <v>140</v>
      </c>
      <c r="Q396" s="4">
        <v>420</v>
      </c>
      <c r="R396" s="4">
        <v>350</v>
      </c>
      <c r="S396" s="8">
        <f t="shared" si="18"/>
        <v>198.33333333333334</v>
      </c>
      <c r="T396" s="8">
        <f t="shared" si="19"/>
        <v>151.66666666666666</v>
      </c>
      <c r="U396" s="9">
        <f t="shared" si="20"/>
        <v>0.76470588235294112</v>
      </c>
    </row>
    <row r="397" spans="1:22" outlineLevel="2">
      <c r="A397" t="s">
        <v>254</v>
      </c>
      <c r="B397" t="s">
        <v>255</v>
      </c>
      <c r="C397" t="s">
        <v>83</v>
      </c>
      <c r="D397" t="s">
        <v>84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4779.93</v>
      </c>
      <c r="Q397" s="4">
        <v>68.06</v>
      </c>
      <c r="S397" s="8">
        <f t="shared" si="18"/>
        <v>807.99833333333345</v>
      </c>
      <c r="T397" s="8">
        <f t="shared" si="19"/>
        <v>-807.99833333333345</v>
      </c>
      <c r="U397" s="9">
        <f t="shared" si="20"/>
        <v>-1</v>
      </c>
    </row>
    <row r="398" spans="1:22" outlineLevel="2">
      <c r="A398" t="s">
        <v>254</v>
      </c>
      <c r="B398" t="s">
        <v>255</v>
      </c>
      <c r="C398" t="s">
        <v>166</v>
      </c>
      <c r="D398" t="s">
        <v>167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548.33999999999992</v>
      </c>
      <c r="S398" s="8">
        <f t="shared" si="18"/>
        <v>91.389999999999986</v>
      </c>
      <c r="T398" s="8">
        <f t="shared" si="19"/>
        <v>-91.389999999999986</v>
      </c>
      <c r="U398" s="9">
        <f t="shared" si="20"/>
        <v>-1</v>
      </c>
    </row>
    <row r="399" spans="1:22" outlineLevel="2">
      <c r="A399" t="s">
        <v>254</v>
      </c>
      <c r="B399" t="s">
        <v>255</v>
      </c>
      <c r="C399" t="s">
        <v>93</v>
      </c>
      <c r="D399" t="s">
        <v>94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48.51</v>
      </c>
      <c r="S399" s="8">
        <f t="shared" si="18"/>
        <v>0</v>
      </c>
      <c r="T399" s="8">
        <f t="shared" si="19"/>
        <v>48.51</v>
      </c>
      <c r="U399" s="9" t="e">
        <f t="shared" si="20"/>
        <v>#DIV/0!</v>
      </c>
      <c r="V399" t="s">
        <v>895</v>
      </c>
    </row>
    <row r="400" spans="1:22" outlineLevel="2">
      <c r="A400" t="s">
        <v>254</v>
      </c>
      <c r="B400" t="s">
        <v>255</v>
      </c>
      <c r="C400" t="s">
        <v>99</v>
      </c>
      <c r="D400" t="s">
        <v>100</v>
      </c>
      <c r="E400" s="4">
        <v>12970.5</v>
      </c>
      <c r="F400" s="4">
        <v>2332</v>
      </c>
      <c r="G400" s="4">
        <v>6890</v>
      </c>
      <c r="H400" s="4">
        <v>2014</v>
      </c>
      <c r="I400" s="4">
        <v>3392</v>
      </c>
      <c r="J400" s="4">
        <v>212</v>
      </c>
      <c r="K400" s="4">
        <v>0</v>
      </c>
      <c r="L400" s="4">
        <v>51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-462</v>
      </c>
      <c r="S400" s="8">
        <f t="shared" si="18"/>
        <v>8.5</v>
      </c>
      <c r="T400" s="8">
        <f t="shared" si="19"/>
        <v>-470.5</v>
      </c>
      <c r="U400" s="9">
        <f t="shared" si="20"/>
        <v>-55.352941176470587</v>
      </c>
    </row>
    <row r="401" spans="1:22" outlineLevel="2">
      <c r="A401" t="s">
        <v>254</v>
      </c>
      <c r="B401" t="s">
        <v>255</v>
      </c>
      <c r="C401" t="s">
        <v>170</v>
      </c>
      <c r="D401" t="s">
        <v>171</v>
      </c>
      <c r="E401" s="4">
        <v>540</v>
      </c>
      <c r="F401" s="4">
        <v>360</v>
      </c>
      <c r="G401" s="4">
        <v>360</v>
      </c>
      <c r="H401" s="4">
        <v>225</v>
      </c>
      <c r="I401" s="4">
        <v>225</v>
      </c>
      <c r="J401" s="4">
        <v>270</v>
      </c>
      <c r="K401" s="4">
        <v>270</v>
      </c>
      <c r="L401" s="4">
        <v>405</v>
      </c>
      <c r="M401" s="4">
        <v>270</v>
      </c>
      <c r="N401" s="4">
        <v>270</v>
      </c>
      <c r="O401" s="4">
        <v>270</v>
      </c>
      <c r="P401" s="4">
        <v>270</v>
      </c>
      <c r="Q401" s="4">
        <v>135</v>
      </c>
      <c r="S401" s="8">
        <f t="shared" si="18"/>
        <v>270</v>
      </c>
      <c r="T401" s="8">
        <f t="shared" si="19"/>
        <v>-270</v>
      </c>
      <c r="U401" s="9">
        <f t="shared" si="20"/>
        <v>-1</v>
      </c>
    </row>
    <row r="402" spans="1:22" outlineLevel="2">
      <c r="A402" t="s">
        <v>254</v>
      </c>
      <c r="B402" t="s">
        <v>255</v>
      </c>
      <c r="C402" t="s">
        <v>127</v>
      </c>
      <c r="D402" t="s">
        <v>120</v>
      </c>
      <c r="E402" s="4">
        <v>1750</v>
      </c>
      <c r="F402" s="4">
        <v>875</v>
      </c>
      <c r="G402" s="4">
        <v>875</v>
      </c>
      <c r="H402" s="4">
        <v>1750</v>
      </c>
      <c r="I402" s="4">
        <v>875</v>
      </c>
      <c r="J402" s="4">
        <v>0</v>
      </c>
      <c r="K402" s="4">
        <v>1750</v>
      </c>
      <c r="L402" s="4">
        <v>1041.77</v>
      </c>
      <c r="M402" s="4">
        <v>0</v>
      </c>
      <c r="N402" s="4">
        <v>0</v>
      </c>
      <c r="O402" s="4">
        <v>1750</v>
      </c>
      <c r="P402" s="4">
        <v>875</v>
      </c>
      <c r="Q402" s="4">
        <v>875</v>
      </c>
      <c r="R402" s="4">
        <v>875</v>
      </c>
      <c r="S402" s="8">
        <f t="shared" si="18"/>
        <v>756.9616666666667</v>
      </c>
      <c r="T402" s="8">
        <f t="shared" si="19"/>
        <v>118.0383333333333</v>
      </c>
      <c r="U402" s="9">
        <f t="shared" si="20"/>
        <v>0.15593700253425422</v>
      </c>
    </row>
    <row r="403" spans="1:22" outlineLevel="2">
      <c r="A403" t="s">
        <v>254</v>
      </c>
      <c r="B403" t="s">
        <v>255</v>
      </c>
      <c r="C403" t="s">
        <v>190</v>
      </c>
      <c r="D403" t="s">
        <v>191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13461.52</v>
      </c>
      <c r="P403" s="4">
        <v>62500</v>
      </c>
      <c r="Q403" s="4">
        <v>0</v>
      </c>
      <c r="S403" s="8">
        <f t="shared" si="18"/>
        <v>12660.253333333334</v>
      </c>
      <c r="T403" s="8">
        <f t="shared" si="19"/>
        <v>-12660.253333333334</v>
      </c>
      <c r="U403" s="9">
        <f t="shared" si="20"/>
        <v>-1</v>
      </c>
    </row>
    <row r="404" spans="1:22" outlineLevel="1">
      <c r="A404" s="1" t="s">
        <v>698</v>
      </c>
      <c r="E404" s="4">
        <f>SUBTOTAL(9,E381:E403)</f>
        <v>285387.69000000006</v>
      </c>
      <c r="F404" s="4">
        <f>SUBTOTAL(9,F381:F403)</f>
        <v>286670.68</v>
      </c>
      <c r="G404" s="4">
        <f>SUBTOTAL(9,G381:G403)</f>
        <v>279830.56</v>
      </c>
      <c r="H404" s="4">
        <f>SUBTOTAL(9,H381:H403)</f>
        <v>312431.15000000002</v>
      </c>
      <c r="I404" s="4">
        <f>SUBTOTAL(9,I381:I403)</f>
        <v>356655.66000000003</v>
      </c>
      <c r="J404" s="4">
        <f>SUBTOTAL(9,J381:J403)</f>
        <v>159669.18999999994</v>
      </c>
      <c r="K404" s="4">
        <f>SUBTOTAL(9,K381:K403)</f>
        <v>268745.91000000003</v>
      </c>
      <c r="L404" s="4">
        <f>SUBTOTAL(9,L381:L403)</f>
        <v>284600.42000000004</v>
      </c>
      <c r="M404" s="4">
        <f>SUBTOTAL(9,M381:M403)</f>
        <v>324827.99000000005</v>
      </c>
      <c r="N404" s="4">
        <f>SUBTOTAL(9,N381:N403)</f>
        <v>313374.71000000002</v>
      </c>
      <c r="O404" s="4">
        <f>SUBTOTAL(9,O381:O403)</f>
        <v>285441.86</v>
      </c>
      <c r="P404" s="4">
        <f>SUBTOTAL(9,P381:P403)</f>
        <v>326144.86</v>
      </c>
      <c r="Q404" s="4">
        <f>SUBTOTAL(9,Q381:Q403)</f>
        <v>286546.61</v>
      </c>
      <c r="R404" s="4">
        <f>SUBTOTAL(9,R381:R403)</f>
        <v>278458.14999999997</v>
      </c>
      <c r="S404" s="8">
        <f t="shared" si="18"/>
        <v>303489.40833333327</v>
      </c>
      <c r="T404" s="8">
        <f t="shared" si="19"/>
        <v>-25031.258333333302</v>
      </c>
      <c r="U404" s="9">
        <f t="shared" si="20"/>
        <v>-8.2478194118196624E-2</v>
      </c>
      <c r="V404" t="s">
        <v>896</v>
      </c>
    </row>
    <row r="405" spans="1:22" outlineLevel="2">
      <c r="A405" t="s">
        <v>256</v>
      </c>
      <c r="B405" t="s">
        <v>257</v>
      </c>
      <c r="C405" t="s">
        <v>21</v>
      </c>
      <c r="D405" t="s">
        <v>22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208.82999999999998</v>
      </c>
      <c r="K405" s="4">
        <v>0</v>
      </c>
      <c r="L405" s="4">
        <v>0</v>
      </c>
      <c r="M405" s="4">
        <v>0</v>
      </c>
      <c r="N405" s="4">
        <v>28.73</v>
      </c>
      <c r="O405" s="4">
        <v>55.12</v>
      </c>
      <c r="P405" s="4">
        <v>0</v>
      </c>
      <c r="Q405" s="4">
        <v>0</v>
      </c>
      <c r="S405" s="8">
        <f t="shared" si="18"/>
        <v>13.975</v>
      </c>
      <c r="T405" s="8">
        <f t="shared" si="19"/>
        <v>-13.975</v>
      </c>
      <c r="U405" s="9">
        <f t="shared" si="20"/>
        <v>-1</v>
      </c>
    </row>
    <row r="406" spans="1:22" outlineLevel="2">
      <c r="A406" t="s">
        <v>256</v>
      </c>
      <c r="B406" t="s">
        <v>257</v>
      </c>
      <c r="C406" t="s">
        <v>23</v>
      </c>
      <c r="D406" t="s">
        <v>24</v>
      </c>
      <c r="E406" s="4">
        <v>0</v>
      </c>
      <c r="F406" s="4">
        <v>0</v>
      </c>
      <c r="G406" s="4">
        <v>30.5</v>
      </c>
      <c r="H406" s="4">
        <v>0</v>
      </c>
      <c r="I406" s="4">
        <v>0</v>
      </c>
      <c r="J406" s="4">
        <v>1022.6700000000002</v>
      </c>
      <c r="K406" s="4">
        <v>0</v>
      </c>
      <c r="L406" s="4">
        <v>182</v>
      </c>
      <c r="M406" s="4">
        <v>0</v>
      </c>
      <c r="N406" s="4">
        <v>0</v>
      </c>
      <c r="O406" s="4">
        <v>10</v>
      </c>
      <c r="P406" s="4">
        <v>0</v>
      </c>
      <c r="Q406" s="4">
        <v>0</v>
      </c>
      <c r="S406" s="8">
        <f t="shared" si="18"/>
        <v>32</v>
      </c>
      <c r="T406" s="8">
        <f t="shared" si="19"/>
        <v>-32</v>
      </c>
      <c r="U406" s="9">
        <f t="shared" si="20"/>
        <v>-1</v>
      </c>
    </row>
    <row r="407" spans="1:22" outlineLevel="2">
      <c r="A407" t="s">
        <v>256</v>
      </c>
      <c r="B407" t="s">
        <v>257</v>
      </c>
      <c r="C407" t="s">
        <v>25</v>
      </c>
      <c r="D407" t="s">
        <v>26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541.89</v>
      </c>
      <c r="O407" s="4">
        <v>176.43</v>
      </c>
      <c r="P407" s="4">
        <v>0</v>
      </c>
      <c r="Q407" s="4">
        <v>0</v>
      </c>
      <c r="S407" s="8">
        <f t="shared" si="18"/>
        <v>119.71999999999998</v>
      </c>
      <c r="T407" s="8">
        <f t="shared" si="19"/>
        <v>-119.71999999999998</v>
      </c>
      <c r="U407" s="9">
        <f t="shared" si="20"/>
        <v>-1</v>
      </c>
    </row>
    <row r="408" spans="1:22" outlineLevel="2">
      <c r="A408" t="s">
        <v>256</v>
      </c>
      <c r="B408" t="s">
        <v>257</v>
      </c>
      <c r="C408" t="s">
        <v>27</v>
      </c>
      <c r="D408" t="s">
        <v>28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189</v>
      </c>
      <c r="O408" s="4">
        <v>189</v>
      </c>
      <c r="P408" s="4">
        <v>0</v>
      </c>
      <c r="Q408" s="4">
        <v>0</v>
      </c>
      <c r="S408" s="8">
        <f t="shared" si="18"/>
        <v>63</v>
      </c>
      <c r="T408" s="8">
        <f t="shared" si="19"/>
        <v>-63</v>
      </c>
      <c r="U408" s="9">
        <f t="shared" si="20"/>
        <v>-1</v>
      </c>
    </row>
    <row r="409" spans="1:22" outlineLevel="2">
      <c r="A409" t="s">
        <v>256</v>
      </c>
      <c r="B409" t="s">
        <v>257</v>
      </c>
      <c r="C409" t="s">
        <v>83</v>
      </c>
      <c r="D409" t="s">
        <v>84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110.03</v>
      </c>
      <c r="O409" s="4">
        <v>87.78</v>
      </c>
      <c r="P409" s="4">
        <v>0</v>
      </c>
      <c r="Q409" s="4">
        <v>0</v>
      </c>
      <c r="S409" s="8">
        <f t="shared" si="18"/>
        <v>32.968333333333334</v>
      </c>
      <c r="T409" s="8">
        <f t="shared" si="19"/>
        <v>-32.968333333333334</v>
      </c>
      <c r="U409" s="9">
        <f t="shared" si="20"/>
        <v>-1</v>
      </c>
    </row>
    <row r="410" spans="1:22" outlineLevel="2">
      <c r="A410" t="s">
        <v>256</v>
      </c>
      <c r="B410" t="s">
        <v>257</v>
      </c>
      <c r="C410" t="s">
        <v>87</v>
      </c>
      <c r="D410" t="s">
        <v>88</v>
      </c>
      <c r="E410" s="4">
        <v>23604.47</v>
      </c>
      <c r="F410" s="4">
        <v>23604.47</v>
      </c>
      <c r="G410" s="4">
        <v>23604.47</v>
      </c>
      <c r="H410" s="4">
        <v>21448.55</v>
      </c>
      <c r="I410" s="4">
        <v>23604.46</v>
      </c>
      <c r="J410" s="4">
        <v>23604.47</v>
      </c>
      <c r="K410" s="4">
        <v>14866.880000000001</v>
      </c>
      <c r="L410" s="4">
        <v>39617.699999999997</v>
      </c>
      <c r="M410" s="4">
        <v>8320.09</v>
      </c>
      <c r="N410" s="4">
        <v>8320.09</v>
      </c>
      <c r="O410" s="4">
        <v>62922.53</v>
      </c>
      <c r="P410" s="4">
        <v>27107.75</v>
      </c>
      <c r="Q410" s="4">
        <v>4260.83</v>
      </c>
      <c r="R410" s="4">
        <v>19492.11</v>
      </c>
      <c r="S410" s="8">
        <f t="shared" si="18"/>
        <v>25091.498333333326</v>
      </c>
      <c r="T410" s="8">
        <f t="shared" si="19"/>
        <v>-5599.3883333333251</v>
      </c>
      <c r="U410" s="9">
        <f t="shared" si="20"/>
        <v>-0.2231587870499826</v>
      </c>
    </row>
    <row r="411" spans="1:22" outlineLevel="2">
      <c r="A411" t="s">
        <v>256</v>
      </c>
      <c r="B411" t="s">
        <v>257</v>
      </c>
      <c r="C411" t="s">
        <v>89</v>
      </c>
      <c r="D411" t="s">
        <v>90</v>
      </c>
      <c r="E411" s="4">
        <v>64205.610000000059</v>
      </c>
      <c r="F411" s="4">
        <v>374588.46999999974</v>
      </c>
      <c r="G411" s="4">
        <v>171337.24000000002</v>
      </c>
      <c r="H411" s="4">
        <v>148977.24</v>
      </c>
      <c r="I411" s="4">
        <v>101110.71999999999</v>
      </c>
      <c r="J411" s="4">
        <v>96514.41</v>
      </c>
      <c r="K411" s="4">
        <v>85359.41</v>
      </c>
      <c r="L411" s="4">
        <v>142369.64000000001</v>
      </c>
      <c r="M411" s="4">
        <v>64750.500000000087</v>
      </c>
      <c r="N411" s="4">
        <v>96865.69</v>
      </c>
      <c r="O411" s="4">
        <v>98896.090000000011</v>
      </c>
      <c r="P411" s="4">
        <v>212044.27999999997</v>
      </c>
      <c r="Q411" s="4">
        <v>78469.869999999981</v>
      </c>
      <c r="R411" s="4">
        <v>110965.81</v>
      </c>
      <c r="S411" s="8">
        <f t="shared" si="18"/>
        <v>115566.01166666667</v>
      </c>
      <c r="T411" s="8">
        <f t="shared" si="19"/>
        <v>-4600.201666666675</v>
      </c>
      <c r="U411" s="9">
        <f t="shared" si="20"/>
        <v>-3.980583564599674E-2</v>
      </c>
    </row>
    <row r="412" spans="1:22" outlineLevel="2">
      <c r="A412" t="s">
        <v>256</v>
      </c>
      <c r="B412" t="s">
        <v>257</v>
      </c>
      <c r="C412" t="s">
        <v>99</v>
      </c>
      <c r="D412" t="s">
        <v>100</v>
      </c>
      <c r="E412" s="4">
        <v>11875</v>
      </c>
      <c r="F412" s="4">
        <v>85834.35</v>
      </c>
      <c r="G412" s="4">
        <v>-56665.700000000012</v>
      </c>
      <c r="H412" s="4">
        <v>11875</v>
      </c>
      <c r="I412" s="4">
        <v>11875</v>
      </c>
      <c r="J412" s="4">
        <v>11875</v>
      </c>
      <c r="K412" s="4">
        <v>19375</v>
      </c>
      <c r="L412" s="4">
        <v>11875</v>
      </c>
      <c r="M412" s="4">
        <v>45833.33</v>
      </c>
      <c r="N412" s="4">
        <v>-13139.729999999989</v>
      </c>
      <c r="O412" s="4">
        <v>13299.92</v>
      </c>
      <c r="P412" s="4">
        <v>13299.92</v>
      </c>
      <c r="Q412" s="4">
        <v>13299.92</v>
      </c>
      <c r="R412" s="4">
        <v>13299.92</v>
      </c>
      <c r="S412" s="8">
        <f t="shared" si="18"/>
        <v>14078.060000000003</v>
      </c>
      <c r="T412" s="8">
        <f t="shared" si="19"/>
        <v>-778.14000000000306</v>
      </c>
      <c r="U412" s="9">
        <f t="shared" si="20"/>
        <v>-5.5273240773231744E-2</v>
      </c>
    </row>
    <row r="413" spans="1:22" outlineLevel="2">
      <c r="A413" t="s">
        <v>256</v>
      </c>
      <c r="B413" t="s">
        <v>257</v>
      </c>
      <c r="C413" t="s">
        <v>101</v>
      </c>
      <c r="D413" t="s">
        <v>102</v>
      </c>
      <c r="E413" s="4">
        <v>900.73</v>
      </c>
      <c r="F413" s="4">
        <v>900.73</v>
      </c>
      <c r="G413" s="4">
        <v>900.73</v>
      </c>
      <c r="H413" s="4">
        <v>900.73</v>
      </c>
      <c r="I413" s="4">
        <v>900.73</v>
      </c>
      <c r="J413" s="4">
        <v>900.73</v>
      </c>
      <c r="K413" s="4">
        <v>900.73</v>
      </c>
      <c r="L413" s="4">
        <v>900.73</v>
      </c>
      <c r="M413" s="4">
        <v>900.73</v>
      </c>
      <c r="N413" s="4">
        <v>900.73</v>
      </c>
      <c r="O413" s="4">
        <v>900.73</v>
      </c>
      <c r="P413" s="4">
        <v>10900.73</v>
      </c>
      <c r="Q413" s="4">
        <v>900.73</v>
      </c>
      <c r="R413" s="4">
        <v>900.73</v>
      </c>
      <c r="S413" s="8">
        <f t="shared" si="18"/>
        <v>2567.3966666666665</v>
      </c>
      <c r="T413" s="8">
        <f t="shared" si="19"/>
        <v>-1666.6666666666665</v>
      </c>
      <c r="U413" s="9">
        <f t="shared" si="20"/>
        <v>-0.64916601641870686</v>
      </c>
    </row>
    <row r="414" spans="1:22" outlineLevel="2">
      <c r="A414" t="s">
        <v>256</v>
      </c>
      <c r="B414" t="s">
        <v>257</v>
      </c>
      <c r="C414" t="s">
        <v>103</v>
      </c>
      <c r="D414" t="s">
        <v>104</v>
      </c>
      <c r="E414" s="4">
        <v>3360</v>
      </c>
      <c r="F414" s="4">
        <v>0</v>
      </c>
      <c r="G414" s="4">
        <v>-50133</v>
      </c>
      <c r="H414" s="4">
        <v>16053.6</v>
      </c>
      <c r="I414" s="4">
        <v>25371</v>
      </c>
      <c r="J414" s="4">
        <v>23356.799999999999</v>
      </c>
      <c r="K414" s="4">
        <v>-9753.5999999999985</v>
      </c>
      <c r="L414" s="4">
        <v>449.80000000000018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-2466</v>
      </c>
      <c r="S414" s="8">
        <f t="shared" si="18"/>
        <v>74.966666666666697</v>
      </c>
      <c r="T414" s="8">
        <f t="shared" si="19"/>
        <v>-2540.9666666666667</v>
      </c>
      <c r="U414" s="9">
        <f t="shared" si="20"/>
        <v>-33.894619831036003</v>
      </c>
    </row>
    <row r="415" spans="1:22" outlineLevel="2">
      <c r="A415" t="s">
        <v>256</v>
      </c>
      <c r="B415" t="s">
        <v>257</v>
      </c>
      <c r="C415" t="s">
        <v>111</v>
      </c>
      <c r="D415" t="s">
        <v>112</v>
      </c>
      <c r="E415" s="4">
        <v>0</v>
      </c>
      <c r="F415" s="4">
        <v>0</v>
      </c>
      <c r="G415" s="4">
        <v>0</v>
      </c>
      <c r="H415" s="4">
        <v>0</v>
      </c>
      <c r="I415" s="4">
        <v>-0.01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S415" s="8">
        <f t="shared" si="18"/>
        <v>0</v>
      </c>
      <c r="T415" s="8">
        <f t="shared" si="19"/>
        <v>0</v>
      </c>
      <c r="U415" s="9" t="e">
        <f t="shared" si="20"/>
        <v>#DIV/0!</v>
      </c>
    </row>
    <row r="416" spans="1:22" outlineLevel="1">
      <c r="A416" s="1" t="s">
        <v>699</v>
      </c>
      <c r="E416" s="4">
        <f>SUBTOTAL(9,E405:E415)</f>
        <v>103945.81000000006</v>
      </c>
      <c r="F416" s="4">
        <f>SUBTOTAL(9,F405:F415)</f>
        <v>484928.01999999967</v>
      </c>
      <c r="G416" s="4">
        <f>SUBTOTAL(9,G405:G415)</f>
        <v>89074.24000000002</v>
      </c>
      <c r="H416" s="4">
        <f>SUBTOTAL(9,H405:H415)</f>
        <v>199255.12</v>
      </c>
      <c r="I416" s="4">
        <f>SUBTOTAL(9,I405:I415)</f>
        <v>162861.9</v>
      </c>
      <c r="J416" s="4">
        <f>SUBTOTAL(9,J405:J415)</f>
        <v>157482.91</v>
      </c>
      <c r="K416" s="4">
        <f>SUBTOTAL(9,K405:K415)</f>
        <v>110748.42000000001</v>
      </c>
      <c r="L416" s="4">
        <f>SUBTOTAL(9,L405:L415)</f>
        <v>195394.87000000002</v>
      </c>
      <c r="M416" s="4">
        <f>SUBTOTAL(9,M405:M415)</f>
        <v>119804.65000000008</v>
      </c>
      <c r="N416" s="4">
        <f>SUBTOTAL(9,N405:N415)</f>
        <v>93816.430000000008</v>
      </c>
      <c r="O416" s="4">
        <f>SUBTOTAL(9,O405:O415)</f>
        <v>176537.60000000003</v>
      </c>
      <c r="P416" s="4">
        <f>SUBTOTAL(9,P405:P415)</f>
        <v>263352.68</v>
      </c>
      <c r="Q416" s="4">
        <f>SUBTOTAL(9,Q405:Q415)</f>
        <v>96931.349999999977</v>
      </c>
      <c r="R416" s="4">
        <f>SUBTOTAL(9,R405:R415)</f>
        <v>142192.57</v>
      </c>
      <c r="S416" s="8">
        <f t="shared" si="18"/>
        <v>157639.59666666671</v>
      </c>
      <c r="T416" s="8">
        <f t="shared" si="19"/>
        <v>-15447.026666666701</v>
      </c>
      <c r="U416" s="9">
        <f t="shared" si="20"/>
        <v>-9.7989508938733622E-2</v>
      </c>
    </row>
    <row r="417" spans="1:22" outlineLevel="2">
      <c r="A417" t="s">
        <v>258</v>
      </c>
      <c r="B417" t="s">
        <v>259</v>
      </c>
      <c r="C417" t="s">
        <v>23</v>
      </c>
      <c r="D417" t="s">
        <v>24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89.05</v>
      </c>
      <c r="P417" s="4">
        <v>0</v>
      </c>
      <c r="Q417" s="4">
        <v>0</v>
      </c>
      <c r="S417" s="8">
        <f t="shared" si="18"/>
        <v>14.841666666666667</v>
      </c>
      <c r="T417" s="8">
        <f t="shared" si="19"/>
        <v>-14.841666666666667</v>
      </c>
      <c r="U417" s="9">
        <f t="shared" si="20"/>
        <v>-1</v>
      </c>
    </row>
    <row r="418" spans="1:22" outlineLevel="2">
      <c r="A418" t="s">
        <v>258</v>
      </c>
      <c r="B418" t="s">
        <v>259</v>
      </c>
      <c r="C418" t="s">
        <v>27</v>
      </c>
      <c r="D418" t="s">
        <v>28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254.28</v>
      </c>
      <c r="L418" s="4">
        <v>0</v>
      </c>
      <c r="M418" s="4">
        <v>542.42999999999995</v>
      </c>
      <c r="N418" s="4">
        <v>0</v>
      </c>
      <c r="O418" s="4">
        <v>-542.42999999999995</v>
      </c>
      <c r="P418" s="4">
        <v>0</v>
      </c>
      <c r="Q418" s="4">
        <v>0</v>
      </c>
      <c r="S418" s="8">
        <f t="shared" si="18"/>
        <v>0</v>
      </c>
      <c r="T418" s="8">
        <f t="shared" si="19"/>
        <v>0</v>
      </c>
      <c r="U418" s="9" t="e">
        <f t="shared" si="20"/>
        <v>#DIV/0!</v>
      </c>
    </row>
    <row r="419" spans="1:22" outlineLevel="2">
      <c r="A419" t="s">
        <v>258</v>
      </c>
      <c r="B419" t="s">
        <v>259</v>
      </c>
      <c r="C419" t="s">
        <v>212</v>
      </c>
      <c r="D419" t="s">
        <v>213</v>
      </c>
      <c r="E419" s="4">
        <v>0</v>
      </c>
      <c r="F419" s="4">
        <v>0</v>
      </c>
      <c r="G419" s="4">
        <v>0</v>
      </c>
      <c r="H419" s="4">
        <v>324.72000000000003</v>
      </c>
      <c r="I419" s="4">
        <v>0</v>
      </c>
      <c r="J419" s="4">
        <v>0</v>
      </c>
      <c r="K419" s="4">
        <v>0</v>
      </c>
      <c r="L419" s="4">
        <v>0</v>
      </c>
      <c r="M419" s="4">
        <v>780</v>
      </c>
      <c r="N419" s="4">
        <v>15113.85</v>
      </c>
      <c r="O419" s="4">
        <v>0</v>
      </c>
      <c r="P419" s="4">
        <v>0</v>
      </c>
      <c r="Q419" s="4">
        <v>0</v>
      </c>
      <c r="S419" s="8">
        <f t="shared" si="18"/>
        <v>2648.9749999999999</v>
      </c>
      <c r="T419" s="8">
        <f t="shared" si="19"/>
        <v>-2648.9749999999999</v>
      </c>
      <c r="U419" s="9">
        <f t="shared" si="20"/>
        <v>-1</v>
      </c>
    </row>
    <row r="420" spans="1:22" outlineLevel="2">
      <c r="A420" t="s">
        <v>258</v>
      </c>
      <c r="B420" t="s">
        <v>259</v>
      </c>
      <c r="C420" t="s">
        <v>196</v>
      </c>
      <c r="D420" t="s">
        <v>197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S420" s="8">
        <f t="shared" si="18"/>
        <v>0</v>
      </c>
      <c r="T420" s="8">
        <f t="shared" si="19"/>
        <v>0</v>
      </c>
      <c r="U420" s="9" t="e">
        <f t="shared" si="20"/>
        <v>#DIV/0!</v>
      </c>
    </row>
    <row r="421" spans="1:22" outlineLevel="2">
      <c r="A421" t="s">
        <v>258</v>
      </c>
      <c r="B421" t="s">
        <v>259</v>
      </c>
      <c r="C421" t="s">
        <v>89</v>
      </c>
      <c r="D421" t="s">
        <v>90</v>
      </c>
      <c r="E421" s="4">
        <v>0</v>
      </c>
      <c r="F421" s="4">
        <v>0</v>
      </c>
      <c r="G421" s="4">
        <v>103250.08</v>
      </c>
      <c r="H421" s="4">
        <v>32832.399999999994</v>
      </c>
      <c r="I421" s="4">
        <v>0</v>
      </c>
      <c r="J421" s="4">
        <v>43513.279999999999</v>
      </c>
      <c r="K421" s="4">
        <v>21756.639999999999</v>
      </c>
      <c r="L421" s="4">
        <v>0</v>
      </c>
      <c r="M421" s="4">
        <v>27219.14</v>
      </c>
      <c r="N421" s="4">
        <v>21756.639999999999</v>
      </c>
      <c r="O421" s="4">
        <v>0</v>
      </c>
      <c r="P421" s="4">
        <v>21756.639999999999</v>
      </c>
      <c r="Q421" s="4">
        <v>5303.87</v>
      </c>
      <c r="R421" s="4">
        <v>5303.87</v>
      </c>
      <c r="S421" s="8">
        <f t="shared" si="18"/>
        <v>12672.714999999998</v>
      </c>
      <c r="T421" s="8">
        <f t="shared" si="19"/>
        <v>-7368.8449999999984</v>
      </c>
      <c r="U421" s="9">
        <f t="shared" si="20"/>
        <v>-0.58147326756736817</v>
      </c>
    </row>
    <row r="422" spans="1:22" outlineLevel="2">
      <c r="A422" t="s">
        <v>258</v>
      </c>
      <c r="B422" t="s">
        <v>259</v>
      </c>
      <c r="C422" t="s">
        <v>101</v>
      </c>
      <c r="D422" t="s">
        <v>102</v>
      </c>
      <c r="E422" s="4">
        <v>84.289999999999992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S422" s="8">
        <f t="shared" si="18"/>
        <v>0</v>
      </c>
      <c r="T422" s="8">
        <f t="shared" si="19"/>
        <v>0</v>
      </c>
      <c r="U422" s="9" t="e">
        <f t="shared" si="20"/>
        <v>#DIV/0!</v>
      </c>
    </row>
    <row r="423" spans="1:22" outlineLevel="1">
      <c r="A423" s="1" t="s">
        <v>700</v>
      </c>
      <c r="E423" s="4">
        <f>SUBTOTAL(9,E417:E422)</f>
        <v>84.289999999999992</v>
      </c>
      <c r="F423" s="4">
        <f>SUBTOTAL(9,F417:F422)</f>
        <v>0</v>
      </c>
      <c r="G423" s="4">
        <f>SUBTOTAL(9,G417:G422)</f>
        <v>103250.08</v>
      </c>
      <c r="H423" s="4">
        <f>SUBTOTAL(9,H417:H422)</f>
        <v>33157.119999999995</v>
      </c>
      <c r="I423" s="4">
        <f>SUBTOTAL(9,I417:I422)</f>
        <v>0</v>
      </c>
      <c r="J423" s="4">
        <f>SUBTOTAL(9,J417:J422)</f>
        <v>43513.279999999999</v>
      </c>
      <c r="K423" s="4">
        <f>SUBTOTAL(9,K417:K422)</f>
        <v>22010.92</v>
      </c>
      <c r="L423" s="4">
        <f>SUBTOTAL(9,L417:L422)</f>
        <v>0</v>
      </c>
      <c r="M423" s="4">
        <f>SUBTOTAL(9,M417:M422)</f>
        <v>28541.57</v>
      </c>
      <c r="N423" s="4">
        <f>SUBTOTAL(9,N417:N422)</f>
        <v>36870.49</v>
      </c>
      <c r="O423" s="4">
        <f>SUBTOTAL(9,O417:O422)</f>
        <v>-453.37999999999994</v>
      </c>
      <c r="P423" s="4">
        <f>SUBTOTAL(9,P417:P422)</f>
        <v>21756.639999999999</v>
      </c>
      <c r="Q423" s="4">
        <f>SUBTOTAL(9,Q417:Q422)</f>
        <v>5303.87</v>
      </c>
      <c r="R423" s="4">
        <f>SUBTOTAL(9,R417:R422)</f>
        <v>5303.87</v>
      </c>
      <c r="S423" s="8">
        <f t="shared" si="18"/>
        <v>15336.531666666668</v>
      </c>
      <c r="T423" s="8">
        <f t="shared" si="19"/>
        <v>-10032.661666666667</v>
      </c>
      <c r="U423" s="9">
        <f t="shared" si="20"/>
        <v>-0.65416757091645772</v>
      </c>
    </row>
    <row r="424" spans="1:22" outlineLevel="2">
      <c r="A424" t="s">
        <v>260</v>
      </c>
      <c r="B424" t="s">
        <v>261</v>
      </c>
      <c r="C424" t="s">
        <v>19</v>
      </c>
      <c r="D424" t="s">
        <v>20</v>
      </c>
      <c r="E424" s="4">
        <v>0</v>
      </c>
      <c r="F424" s="4">
        <v>18.38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S424" s="8">
        <f t="shared" si="18"/>
        <v>0</v>
      </c>
      <c r="T424" s="8">
        <f t="shared" si="19"/>
        <v>0</v>
      </c>
      <c r="U424" s="9" t="e">
        <f t="shared" si="20"/>
        <v>#DIV/0!</v>
      </c>
    </row>
    <row r="425" spans="1:22" outlineLevel="2">
      <c r="A425" t="s">
        <v>260</v>
      </c>
      <c r="B425" t="s">
        <v>261</v>
      </c>
      <c r="C425" t="s">
        <v>21</v>
      </c>
      <c r="D425" t="s">
        <v>22</v>
      </c>
      <c r="E425" s="4">
        <v>576.80000000000007</v>
      </c>
      <c r="F425" s="4">
        <v>686.73999999999978</v>
      </c>
      <c r="G425" s="4">
        <v>563.51000000000022</v>
      </c>
      <c r="H425" s="4">
        <v>1767.0000000000009</v>
      </c>
      <c r="I425" s="4">
        <v>2033.420000000001</v>
      </c>
      <c r="J425" s="4">
        <v>720.03000000000065</v>
      </c>
      <c r="K425" s="4">
        <v>2016.2000000000019</v>
      </c>
      <c r="L425" s="4">
        <v>1381.4700000000016</v>
      </c>
      <c r="M425" s="4">
        <v>3178.9300000000044</v>
      </c>
      <c r="N425" s="4">
        <v>3868.69</v>
      </c>
      <c r="O425" s="4">
        <v>1630.6000000000004</v>
      </c>
      <c r="P425" s="4">
        <v>-7689.9799999999987</v>
      </c>
      <c r="Q425" s="4">
        <v>1402.5300000000002</v>
      </c>
      <c r="R425" s="4">
        <v>2700.63</v>
      </c>
      <c r="S425" s="8">
        <f t="shared" si="18"/>
        <v>628.70666666666796</v>
      </c>
      <c r="T425" s="8">
        <f t="shared" si="19"/>
        <v>2071.9233333333323</v>
      </c>
      <c r="U425" s="9">
        <f t="shared" si="20"/>
        <v>3.2955326278285497</v>
      </c>
    </row>
    <row r="426" spans="1:22" outlineLevel="2">
      <c r="A426" t="s">
        <v>260</v>
      </c>
      <c r="B426" t="s">
        <v>261</v>
      </c>
      <c r="C426" t="s">
        <v>23</v>
      </c>
      <c r="D426" t="s">
        <v>24</v>
      </c>
      <c r="E426" s="4">
        <v>8296.8799999999992</v>
      </c>
      <c r="F426" s="4">
        <v>5005.2300000000023</v>
      </c>
      <c r="G426" s="4">
        <v>8783.8799999999992</v>
      </c>
      <c r="H426" s="4">
        <v>10352.530000000001</v>
      </c>
      <c r="I426" s="4">
        <v>5082.84</v>
      </c>
      <c r="J426" s="4">
        <v>4688.6499999999996</v>
      </c>
      <c r="K426" s="4">
        <v>19108.299999999996</v>
      </c>
      <c r="L426" s="4">
        <v>6390.63</v>
      </c>
      <c r="M426" s="4">
        <v>2968.5200000000004</v>
      </c>
      <c r="N426" s="4">
        <v>1675.6999999999998</v>
      </c>
      <c r="O426" s="4">
        <v>2421.25</v>
      </c>
      <c r="P426" s="4">
        <v>1886.1700000000003</v>
      </c>
      <c r="Q426" s="4">
        <v>1612.46</v>
      </c>
      <c r="R426" s="4">
        <v>787.37000000000012</v>
      </c>
      <c r="S426" s="8">
        <f t="shared" si="18"/>
        <v>2825.7883333333339</v>
      </c>
      <c r="T426" s="8">
        <f t="shared" si="19"/>
        <v>-2038.4183333333337</v>
      </c>
      <c r="U426" s="9">
        <f t="shared" si="20"/>
        <v>-0.7213627111726344</v>
      </c>
    </row>
    <row r="427" spans="1:22" outlineLevel="2">
      <c r="A427" t="s">
        <v>260</v>
      </c>
      <c r="B427" t="s">
        <v>261</v>
      </c>
      <c r="C427" t="s">
        <v>25</v>
      </c>
      <c r="D427" t="s">
        <v>26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2972.4200000000005</v>
      </c>
      <c r="N427" s="4">
        <v>5073.58</v>
      </c>
      <c r="O427" s="4">
        <v>4785.5599999999986</v>
      </c>
      <c r="P427" s="4">
        <v>4532.13</v>
      </c>
      <c r="Q427" s="4">
        <v>2160.9200000000005</v>
      </c>
      <c r="R427" s="4">
        <v>3313.79</v>
      </c>
      <c r="S427" s="8">
        <f t="shared" si="18"/>
        <v>3254.1016666666669</v>
      </c>
      <c r="T427" s="8">
        <f t="shared" si="19"/>
        <v>59.688333333333048</v>
      </c>
      <c r="U427" s="9">
        <f t="shared" si="20"/>
        <v>1.8342491860272665E-2</v>
      </c>
    </row>
    <row r="428" spans="1:22" outlineLevel="2">
      <c r="A428" t="s">
        <v>260</v>
      </c>
      <c r="B428" t="s">
        <v>261</v>
      </c>
      <c r="C428" t="s">
        <v>27</v>
      </c>
      <c r="D428" t="s">
        <v>28</v>
      </c>
      <c r="E428" s="4">
        <v>1600.2199999999998</v>
      </c>
      <c r="F428" s="4">
        <v>138.72</v>
      </c>
      <c r="G428" s="4">
        <v>211.07</v>
      </c>
      <c r="H428" s="4">
        <v>15348.38</v>
      </c>
      <c r="I428" s="4">
        <v>10000</v>
      </c>
      <c r="J428" s="4">
        <v>25000</v>
      </c>
      <c r="K428" s="4">
        <v>762.72000000000116</v>
      </c>
      <c r="L428" s="4">
        <v>971.56999999999971</v>
      </c>
      <c r="M428" s="4">
        <v>-3226.8699999999944</v>
      </c>
      <c r="N428" s="4">
        <v>461.83999999999946</v>
      </c>
      <c r="O428" s="4">
        <v>6365.4200000000064</v>
      </c>
      <c r="P428" s="4">
        <v>7663.9400000000032</v>
      </c>
      <c r="Q428" s="4">
        <v>10138.650000000005</v>
      </c>
      <c r="R428" s="4">
        <v>7887.3499999999985</v>
      </c>
      <c r="S428" s="8">
        <f t="shared" si="18"/>
        <v>3729.0916666666694</v>
      </c>
      <c r="T428" s="8">
        <f t="shared" si="19"/>
        <v>4158.2583333333296</v>
      </c>
      <c r="U428" s="9">
        <f t="shared" si="20"/>
        <v>1.1150861134637327</v>
      </c>
    </row>
    <row r="429" spans="1:22" outlineLevel="2">
      <c r="A429" t="s">
        <v>260</v>
      </c>
      <c r="B429" t="s">
        <v>261</v>
      </c>
      <c r="C429" t="s">
        <v>194</v>
      </c>
      <c r="D429" t="s">
        <v>195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-42.77</v>
      </c>
      <c r="S429" s="8">
        <f t="shared" si="18"/>
        <v>0</v>
      </c>
      <c r="T429" s="8">
        <f t="shared" si="19"/>
        <v>-42.77</v>
      </c>
      <c r="U429" s="9" t="e">
        <f t="shared" si="20"/>
        <v>#DIV/0!</v>
      </c>
      <c r="V429" t="s">
        <v>895</v>
      </c>
    </row>
    <row r="430" spans="1:22" outlineLevel="2">
      <c r="A430" t="s">
        <v>260</v>
      </c>
      <c r="B430" t="s">
        <v>261</v>
      </c>
      <c r="C430" t="s">
        <v>136</v>
      </c>
      <c r="D430" t="s">
        <v>137</v>
      </c>
      <c r="E430" s="4">
        <v>793694.15999999992</v>
      </c>
      <c r="F430" s="4">
        <v>710074.29999999993</v>
      </c>
      <c r="G430" s="4">
        <v>698598.2</v>
      </c>
      <c r="H430" s="4">
        <v>545402.53</v>
      </c>
      <c r="I430" s="4">
        <v>480288.09</v>
      </c>
      <c r="J430" s="4">
        <v>440737.19999999995</v>
      </c>
      <c r="K430" s="4">
        <v>488613.65</v>
      </c>
      <c r="L430" s="4">
        <v>471878.95999999996</v>
      </c>
      <c r="M430" s="4">
        <v>450758.33000000007</v>
      </c>
      <c r="N430" s="4">
        <v>490261.95999999996</v>
      </c>
      <c r="O430" s="4">
        <v>447413.55</v>
      </c>
      <c r="P430" s="4">
        <v>475213.12</v>
      </c>
      <c r="Q430" s="4">
        <v>507280.56</v>
      </c>
      <c r="R430" s="4">
        <v>456706.67000000004</v>
      </c>
      <c r="S430" s="8">
        <f t="shared" si="18"/>
        <v>473801.08</v>
      </c>
      <c r="T430" s="8">
        <f t="shared" si="19"/>
        <v>-17094.409999999974</v>
      </c>
      <c r="U430" s="9">
        <f t="shared" si="20"/>
        <v>-3.6079297244320283E-2</v>
      </c>
    </row>
    <row r="431" spans="1:22" outlineLevel="2">
      <c r="A431" t="s">
        <v>260</v>
      </c>
      <c r="B431" t="s">
        <v>261</v>
      </c>
      <c r="C431" t="s">
        <v>138</v>
      </c>
      <c r="D431" t="s">
        <v>139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5587.5</v>
      </c>
      <c r="K431" s="4">
        <v>4808.75</v>
      </c>
      <c r="L431" s="4">
        <v>3244.84</v>
      </c>
      <c r="M431" s="4">
        <v>-553.89</v>
      </c>
      <c r="N431" s="4">
        <v>0</v>
      </c>
      <c r="O431" s="4">
        <v>0</v>
      </c>
      <c r="P431" s="4">
        <v>0</v>
      </c>
      <c r="Q431" s="4">
        <v>0</v>
      </c>
      <c r="S431" s="8">
        <f t="shared" si="18"/>
        <v>448.49166666666673</v>
      </c>
      <c r="T431" s="8">
        <f t="shared" si="19"/>
        <v>-448.49166666666673</v>
      </c>
      <c r="U431" s="9">
        <f t="shared" si="20"/>
        <v>-1</v>
      </c>
    </row>
    <row r="432" spans="1:22" outlineLevel="2">
      <c r="A432" t="s">
        <v>260</v>
      </c>
      <c r="B432" t="s">
        <v>261</v>
      </c>
      <c r="C432" t="s">
        <v>29</v>
      </c>
      <c r="D432" t="s">
        <v>30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426.05</v>
      </c>
      <c r="K432" s="4">
        <v>1169.29</v>
      </c>
      <c r="L432" s="4">
        <v>550.92000000000007</v>
      </c>
      <c r="M432" s="4">
        <v>-111.56</v>
      </c>
      <c r="N432" s="4">
        <v>0</v>
      </c>
      <c r="O432" s="4">
        <v>0</v>
      </c>
      <c r="P432" s="4">
        <v>0</v>
      </c>
      <c r="Q432" s="4">
        <v>0</v>
      </c>
      <c r="S432" s="8">
        <f t="shared" si="18"/>
        <v>73.226666666666674</v>
      </c>
      <c r="T432" s="8">
        <f t="shared" si="19"/>
        <v>-73.226666666666674</v>
      </c>
      <c r="U432" s="9">
        <f t="shared" si="20"/>
        <v>-1</v>
      </c>
    </row>
    <row r="433" spans="1:22" outlineLevel="2">
      <c r="A433" t="s">
        <v>260</v>
      </c>
      <c r="B433" t="s">
        <v>261</v>
      </c>
      <c r="C433" t="s">
        <v>31</v>
      </c>
      <c r="D433" t="s">
        <v>32</v>
      </c>
      <c r="E433" s="4">
        <v>-19366.739999999991</v>
      </c>
      <c r="F433" s="4">
        <v>383159.35000000003</v>
      </c>
      <c r="G433" s="4">
        <v>-167682.68</v>
      </c>
      <c r="H433" s="4">
        <v>-10423.84</v>
      </c>
      <c r="I433" s="4">
        <v>-10423.84</v>
      </c>
      <c r="J433" s="4">
        <v>-9476.2199999999993</v>
      </c>
      <c r="K433" s="4">
        <v>-10736.55</v>
      </c>
      <c r="L433" s="4">
        <v>-10248.530000000001</v>
      </c>
      <c r="M433" s="4">
        <v>-10248.530000000001</v>
      </c>
      <c r="N433" s="4">
        <v>-11224.57</v>
      </c>
      <c r="O433" s="4">
        <v>-4453.2299999999996</v>
      </c>
      <c r="P433" s="4">
        <v>-6832.35</v>
      </c>
      <c r="Q433" s="4">
        <v>0</v>
      </c>
      <c r="S433" s="8">
        <f t="shared" si="18"/>
        <v>-7167.8683333333329</v>
      </c>
      <c r="T433" s="8">
        <f t="shared" si="19"/>
        <v>7167.8683333333329</v>
      </c>
      <c r="U433" s="9">
        <f t="shared" si="20"/>
        <v>-1</v>
      </c>
    </row>
    <row r="434" spans="1:22" outlineLevel="2">
      <c r="A434" t="s">
        <v>260</v>
      </c>
      <c r="B434" t="s">
        <v>261</v>
      </c>
      <c r="C434" t="s">
        <v>142</v>
      </c>
      <c r="D434" t="s">
        <v>143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3000</v>
      </c>
      <c r="P434" s="4">
        <v>0</v>
      </c>
      <c r="Q434" s="4">
        <v>0</v>
      </c>
      <c r="R434" s="4">
        <v>500</v>
      </c>
      <c r="S434" s="8">
        <f t="shared" si="18"/>
        <v>500</v>
      </c>
      <c r="T434" s="8">
        <f t="shared" si="19"/>
        <v>0</v>
      </c>
      <c r="U434" s="9">
        <f t="shared" si="20"/>
        <v>0</v>
      </c>
    </row>
    <row r="435" spans="1:22" outlineLevel="2">
      <c r="A435" t="s">
        <v>260</v>
      </c>
      <c r="B435" t="s">
        <v>261</v>
      </c>
      <c r="C435" t="s">
        <v>144</v>
      </c>
      <c r="D435" t="s">
        <v>145</v>
      </c>
      <c r="E435" s="4">
        <v>136967.61000000002</v>
      </c>
      <c r="F435" s="4">
        <v>31404.619999999992</v>
      </c>
      <c r="G435" s="4">
        <v>124074.95</v>
      </c>
      <c r="H435" s="4">
        <v>35978.330000000009</v>
      </c>
      <c r="I435" s="4">
        <v>110662.27999999998</v>
      </c>
      <c r="J435" s="4">
        <v>20758.609999999993</v>
      </c>
      <c r="K435" s="4">
        <v>73521.539999999994</v>
      </c>
      <c r="L435" s="4">
        <v>73975.62999999999</v>
      </c>
      <c r="M435" s="4">
        <v>82309.899999999994</v>
      </c>
      <c r="N435" s="4">
        <v>68294.7</v>
      </c>
      <c r="O435" s="4">
        <v>58073.4</v>
      </c>
      <c r="P435" s="4">
        <v>52781.05</v>
      </c>
      <c r="Q435" s="4">
        <v>81829.61</v>
      </c>
      <c r="R435" s="4">
        <v>11171.840000000004</v>
      </c>
      <c r="S435" s="8">
        <f t="shared" si="18"/>
        <v>69544.048333333325</v>
      </c>
      <c r="T435" s="8">
        <f t="shared" si="19"/>
        <v>-58372.208333333321</v>
      </c>
      <c r="U435" s="9">
        <f t="shared" si="20"/>
        <v>-0.83935591516829766</v>
      </c>
    </row>
    <row r="436" spans="1:22" outlineLevel="2">
      <c r="A436" t="s">
        <v>260</v>
      </c>
      <c r="B436" t="s">
        <v>261</v>
      </c>
      <c r="C436" t="s">
        <v>146</v>
      </c>
      <c r="D436" t="s">
        <v>147</v>
      </c>
      <c r="E436" s="4">
        <v>73633.48000000001</v>
      </c>
      <c r="F436" s="4">
        <v>66088.39</v>
      </c>
      <c r="G436" s="4">
        <v>130624.55000000002</v>
      </c>
      <c r="H436" s="4">
        <v>43745.539999999994</v>
      </c>
      <c r="I436" s="4">
        <v>49301.37</v>
      </c>
      <c r="J436" s="4">
        <v>41429.269999999997</v>
      </c>
      <c r="K436" s="4">
        <v>44197.54</v>
      </c>
      <c r="L436" s="4">
        <v>42237.05</v>
      </c>
      <c r="M436" s="4">
        <v>105160.93</v>
      </c>
      <c r="N436" s="4">
        <v>41614.990000000005</v>
      </c>
      <c r="O436" s="4">
        <v>36231.429999999993</v>
      </c>
      <c r="P436" s="4">
        <v>39996.17</v>
      </c>
      <c r="Q436" s="4">
        <v>47397.93</v>
      </c>
      <c r="R436" s="4">
        <v>42135.17</v>
      </c>
      <c r="S436" s="8">
        <f t="shared" si="18"/>
        <v>52106.416666666657</v>
      </c>
      <c r="T436" s="8">
        <f t="shared" si="19"/>
        <v>-9971.2466666666587</v>
      </c>
      <c r="U436" s="9">
        <f t="shared" si="20"/>
        <v>-0.19136312386350357</v>
      </c>
      <c r="V436" t="s">
        <v>896</v>
      </c>
    </row>
    <row r="437" spans="1:22" outlineLevel="2">
      <c r="A437" t="s">
        <v>260</v>
      </c>
      <c r="B437" t="s">
        <v>261</v>
      </c>
      <c r="C437" t="s">
        <v>148</v>
      </c>
      <c r="D437" t="s">
        <v>149</v>
      </c>
      <c r="E437" s="4">
        <v>0</v>
      </c>
      <c r="F437" s="4">
        <v>100</v>
      </c>
      <c r="G437" s="4">
        <v>0</v>
      </c>
      <c r="H437" s="4">
        <v>0</v>
      </c>
      <c r="I437" s="4">
        <v>0</v>
      </c>
      <c r="J437" s="4">
        <v>75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150</v>
      </c>
      <c r="Q437" s="4">
        <v>0</v>
      </c>
      <c r="R437" s="4">
        <v>100</v>
      </c>
      <c r="S437" s="8">
        <f t="shared" si="18"/>
        <v>25</v>
      </c>
      <c r="T437" s="8">
        <f t="shared" si="19"/>
        <v>75</v>
      </c>
      <c r="U437" s="9">
        <f t="shared" si="20"/>
        <v>3</v>
      </c>
    </row>
    <row r="438" spans="1:22" outlineLevel="2">
      <c r="A438" t="s">
        <v>260</v>
      </c>
      <c r="B438" t="s">
        <v>261</v>
      </c>
      <c r="C438" t="s">
        <v>150</v>
      </c>
      <c r="D438" t="s">
        <v>151</v>
      </c>
      <c r="E438" s="4">
        <v>0</v>
      </c>
      <c r="F438" s="4">
        <v>147746</v>
      </c>
      <c r="G438" s="4">
        <v>28049.199999999953</v>
      </c>
      <c r="H438" s="4">
        <v>196127.19</v>
      </c>
      <c r="I438" s="4">
        <v>243911.83000000002</v>
      </c>
      <c r="J438" s="4">
        <v>105682.49</v>
      </c>
      <c r="K438" s="4">
        <v>108453.65</v>
      </c>
      <c r="L438" s="4">
        <v>108453.65</v>
      </c>
      <c r="M438" s="4">
        <v>108453.65</v>
      </c>
      <c r="N438" s="4">
        <v>104141.13</v>
      </c>
      <c r="O438" s="4">
        <v>104141.13</v>
      </c>
      <c r="P438" s="4">
        <v>55789.130000000005</v>
      </c>
      <c r="Q438" s="4">
        <v>73391.77</v>
      </c>
      <c r="R438" s="4">
        <v>140933.09999999998</v>
      </c>
      <c r="S438" s="8">
        <f t="shared" si="18"/>
        <v>92395.07666666666</v>
      </c>
      <c r="T438" s="8">
        <f t="shared" si="19"/>
        <v>48538.023333333316</v>
      </c>
      <c r="U438" s="9">
        <f t="shared" si="20"/>
        <v>0.52533127396434487</v>
      </c>
      <c r="V438" t="s">
        <v>896</v>
      </c>
    </row>
    <row r="439" spans="1:22" outlineLevel="2">
      <c r="A439" t="s">
        <v>260</v>
      </c>
      <c r="B439" t="s">
        <v>261</v>
      </c>
      <c r="C439" t="s">
        <v>152</v>
      </c>
      <c r="D439" t="s">
        <v>153</v>
      </c>
      <c r="E439" s="4">
        <v>59194.349999999991</v>
      </c>
      <c r="F439" s="4">
        <v>53169.43</v>
      </c>
      <c r="G439" s="4">
        <v>114670.04000000001</v>
      </c>
      <c r="H439" s="4">
        <v>30326.840000000004</v>
      </c>
      <c r="I439" s="4">
        <v>44349.659999999989</v>
      </c>
      <c r="J439" s="4">
        <v>48455.330000000009</v>
      </c>
      <c r="K439" s="4">
        <v>39009.339999999997</v>
      </c>
      <c r="L439" s="4">
        <v>32220.659999999996</v>
      </c>
      <c r="M439" s="4">
        <v>27025.789999999994</v>
      </c>
      <c r="N439" s="4">
        <v>28008.48</v>
      </c>
      <c r="O439" s="4">
        <v>23855.08</v>
      </c>
      <c r="P439" s="4">
        <v>27052.83</v>
      </c>
      <c r="Q439" s="4">
        <v>45614.259999999995</v>
      </c>
      <c r="R439" s="4">
        <v>103188.3</v>
      </c>
      <c r="S439" s="8">
        <f t="shared" si="18"/>
        <v>30629.516666666663</v>
      </c>
      <c r="T439" s="8">
        <f t="shared" si="19"/>
        <v>72558.78333333334</v>
      </c>
      <c r="U439" s="9">
        <f t="shared" si="20"/>
        <v>2.3689170195851394</v>
      </c>
      <c r="V439" t="s">
        <v>896</v>
      </c>
    </row>
    <row r="440" spans="1:22" outlineLevel="2">
      <c r="A440" t="s">
        <v>260</v>
      </c>
      <c r="B440" t="s">
        <v>261</v>
      </c>
      <c r="C440" t="s">
        <v>154</v>
      </c>
      <c r="D440" t="s">
        <v>155</v>
      </c>
      <c r="E440" s="4">
        <v>11344.060000000001</v>
      </c>
      <c r="F440" s="4">
        <v>624.35</v>
      </c>
      <c r="G440" s="4">
        <v>-12.420000000000002</v>
      </c>
      <c r="H440" s="4">
        <v>0</v>
      </c>
      <c r="I440" s="4">
        <v>-301.99</v>
      </c>
      <c r="J440" s="4">
        <v>178.49</v>
      </c>
      <c r="K440" s="4">
        <v>372.67</v>
      </c>
      <c r="L440" s="4">
        <v>71.13</v>
      </c>
      <c r="M440" s="4">
        <v>52.06</v>
      </c>
      <c r="N440" s="4">
        <v>91</v>
      </c>
      <c r="O440" s="4">
        <v>0</v>
      </c>
      <c r="P440" s="4">
        <v>210.63</v>
      </c>
      <c r="Q440" s="4">
        <v>6433.25</v>
      </c>
      <c r="R440" s="4">
        <v>657.95</v>
      </c>
      <c r="S440" s="8">
        <f t="shared" si="18"/>
        <v>1143.0116666666665</v>
      </c>
      <c r="T440" s="8">
        <f t="shared" si="19"/>
        <v>-485.0616666666665</v>
      </c>
      <c r="U440" s="9">
        <f t="shared" si="20"/>
        <v>-0.42437157975931994</v>
      </c>
    </row>
    <row r="441" spans="1:22" outlineLevel="2">
      <c r="A441" t="s">
        <v>260</v>
      </c>
      <c r="B441" t="s">
        <v>261</v>
      </c>
      <c r="C441" t="s">
        <v>33</v>
      </c>
      <c r="D441" t="s">
        <v>34</v>
      </c>
      <c r="E441" s="4">
        <v>16000</v>
      </c>
      <c r="F441" s="4">
        <v>1572.5499999999993</v>
      </c>
      <c r="G441" s="4">
        <v>0</v>
      </c>
      <c r="H441" s="4">
        <v>-310</v>
      </c>
      <c r="I441" s="4">
        <v>0</v>
      </c>
      <c r="J441" s="4">
        <v>2650</v>
      </c>
      <c r="K441" s="4">
        <v>5728.16</v>
      </c>
      <c r="L441" s="4">
        <v>0</v>
      </c>
      <c r="M441" s="4">
        <v>0</v>
      </c>
      <c r="N441" s="4">
        <v>0</v>
      </c>
      <c r="O441" s="4">
        <v>2999</v>
      </c>
      <c r="P441" s="4">
        <v>2675</v>
      </c>
      <c r="Q441" s="4">
        <v>-15000</v>
      </c>
      <c r="S441" s="8">
        <f t="shared" si="18"/>
        <v>-1554.3333333333333</v>
      </c>
      <c r="T441" s="8">
        <f t="shared" si="19"/>
        <v>1554.3333333333333</v>
      </c>
      <c r="U441" s="9">
        <f t="shared" si="20"/>
        <v>-1</v>
      </c>
    </row>
    <row r="442" spans="1:22" outlineLevel="2">
      <c r="A442" t="s">
        <v>260</v>
      </c>
      <c r="B442" t="s">
        <v>261</v>
      </c>
      <c r="C442" t="s">
        <v>35</v>
      </c>
      <c r="D442" t="s">
        <v>36</v>
      </c>
      <c r="E442" s="4">
        <v>1500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S442" s="8">
        <f t="shared" si="18"/>
        <v>0</v>
      </c>
      <c r="T442" s="8">
        <f t="shared" si="19"/>
        <v>0</v>
      </c>
      <c r="U442" s="9" t="e">
        <f t="shared" si="20"/>
        <v>#DIV/0!</v>
      </c>
    </row>
    <row r="443" spans="1:22" outlineLevel="2">
      <c r="A443" t="s">
        <v>260</v>
      </c>
      <c r="B443" t="s">
        <v>261</v>
      </c>
      <c r="C443" t="s">
        <v>37</v>
      </c>
      <c r="D443" t="s">
        <v>38</v>
      </c>
      <c r="E443" s="4">
        <v>5761.88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S443" s="8">
        <f t="shared" si="18"/>
        <v>0</v>
      </c>
      <c r="T443" s="8">
        <f t="shared" si="19"/>
        <v>0</v>
      </c>
      <c r="U443" s="9" t="e">
        <f t="shared" si="20"/>
        <v>#DIV/0!</v>
      </c>
    </row>
    <row r="444" spans="1:22" outlineLevel="2">
      <c r="A444" t="s">
        <v>260</v>
      </c>
      <c r="B444" t="s">
        <v>261</v>
      </c>
      <c r="C444" t="s">
        <v>180</v>
      </c>
      <c r="D444" t="s">
        <v>181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259.77999999999997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133</v>
      </c>
      <c r="S444" s="8">
        <f t="shared" si="18"/>
        <v>0</v>
      </c>
      <c r="T444" s="8">
        <f t="shared" si="19"/>
        <v>133</v>
      </c>
      <c r="U444" s="9" t="e">
        <f t="shared" si="20"/>
        <v>#DIV/0!</v>
      </c>
      <c r="V444" t="s">
        <v>895</v>
      </c>
    </row>
    <row r="445" spans="1:22" outlineLevel="2">
      <c r="A445" t="s">
        <v>260</v>
      </c>
      <c r="B445" t="s">
        <v>261</v>
      </c>
      <c r="C445" t="s">
        <v>158</v>
      </c>
      <c r="D445" t="s">
        <v>159</v>
      </c>
      <c r="E445" s="4">
        <v>84266.67</v>
      </c>
      <c r="F445" s="4">
        <v>84267</v>
      </c>
      <c r="G445" s="4">
        <v>16064.820000000007</v>
      </c>
      <c r="H445" s="4">
        <v>90661.67</v>
      </c>
      <c r="I445" s="4">
        <v>139609.45000000001</v>
      </c>
      <c r="J445" s="4">
        <v>-303359.61</v>
      </c>
      <c r="K445" s="4">
        <v>84267</v>
      </c>
      <c r="L445" s="4">
        <v>84267</v>
      </c>
      <c r="M445" s="4">
        <v>-53732.06</v>
      </c>
      <c r="N445" s="4">
        <v>84267</v>
      </c>
      <c r="O445" s="4">
        <v>84267</v>
      </c>
      <c r="P445" s="4">
        <v>-63684.59</v>
      </c>
      <c r="Q445" s="4">
        <v>54466.67</v>
      </c>
      <c r="R445" s="4">
        <v>54466.67</v>
      </c>
      <c r="S445" s="8">
        <f t="shared" si="18"/>
        <v>31641.83666666667</v>
      </c>
      <c r="T445" s="8">
        <f t="shared" si="19"/>
        <v>22824.833333333328</v>
      </c>
      <c r="U445" s="9">
        <f t="shared" si="20"/>
        <v>0.72134982472045694</v>
      </c>
      <c r="V445" t="s">
        <v>896</v>
      </c>
    </row>
    <row r="446" spans="1:22" outlineLevel="2">
      <c r="A446" t="s">
        <v>260</v>
      </c>
      <c r="B446" t="s">
        <v>261</v>
      </c>
      <c r="C446" t="s">
        <v>160</v>
      </c>
      <c r="D446" t="s">
        <v>161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24830.77</v>
      </c>
      <c r="N446" s="4">
        <v>0</v>
      </c>
      <c r="O446" s="4">
        <v>0</v>
      </c>
      <c r="P446" s="4">
        <v>5378.25</v>
      </c>
      <c r="Q446" s="4">
        <v>0</v>
      </c>
      <c r="S446" s="8">
        <f t="shared" si="18"/>
        <v>5034.836666666667</v>
      </c>
      <c r="T446" s="8">
        <f t="shared" si="19"/>
        <v>-5034.836666666667</v>
      </c>
      <c r="U446" s="9">
        <f t="shared" si="20"/>
        <v>-1</v>
      </c>
    </row>
    <row r="447" spans="1:22" outlineLevel="2">
      <c r="A447" t="s">
        <v>260</v>
      </c>
      <c r="B447" t="s">
        <v>261</v>
      </c>
      <c r="C447" t="s">
        <v>47</v>
      </c>
      <c r="D447" t="s">
        <v>48</v>
      </c>
      <c r="E447" s="4">
        <v>179.42000000000093</v>
      </c>
      <c r="F447" s="4">
        <v>566.22000000000116</v>
      </c>
      <c r="G447" s="4">
        <v>-357.37999999999965</v>
      </c>
      <c r="H447" s="4">
        <v>174.34000000000026</v>
      </c>
      <c r="I447" s="4">
        <v>-1189.7600000000018</v>
      </c>
      <c r="J447" s="4">
        <v>-52.780000000000285</v>
      </c>
      <c r="K447" s="4">
        <v>-355.16000000000116</v>
      </c>
      <c r="L447" s="4">
        <v>43.050000000000068</v>
      </c>
      <c r="M447" s="4">
        <v>-688.59</v>
      </c>
      <c r="N447" s="4">
        <v>-55.090000000000032</v>
      </c>
      <c r="O447" s="4">
        <v>1.7763568394002505E-14</v>
      </c>
      <c r="P447" s="4">
        <v>0</v>
      </c>
      <c r="Q447" s="4">
        <v>0</v>
      </c>
      <c r="S447" s="8">
        <f t="shared" si="18"/>
        <v>-116.77166666666666</v>
      </c>
      <c r="T447" s="8">
        <f t="shared" si="19"/>
        <v>116.77166666666666</v>
      </c>
      <c r="U447" s="9">
        <f t="shared" si="20"/>
        <v>-1</v>
      </c>
    </row>
    <row r="448" spans="1:22" outlineLevel="2">
      <c r="A448" t="s">
        <v>260</v>
      </c>
      <c r="B448" t="s">
        <v>261</v>
      </c>
      <c r="C448" t="s">
        <v>49</v>
      </c>
      <c r="D448" t="s">
        <v>50</v>
      </c>
      <c r="E448" s="4">
        <v>386.82</v>
      </c>
      <c r="F448" s="4">
        <v>0</v>
      </c>
      <c r="G448" s="4">
        <v>1207.7399999999998</v>
      </c>
      <c r="H448" s="4">
        <v>-1642.96</v>
      </c>
      <c r="I448" s="4">
        <v>0</v>
      </c>
      <c r="J448" s="4">
        <v>-41.839999999999975</v>
      </c>
      <c r="K448" s="4">
        <v>1175.4199999999998</v>
      </c>
      <c r="L448" s="4">
        <v>398.64</v>
      </c>
      <c r="M448" s="4">
        <v>398.64</v>
      </c>
      <c r="N448" s="4">
        <v>398.64</v>
      </c>
      <c r="O448" s="4">
        <v>398.64</v>
      </c>
      <c r="P448" s="4">
        <v>398.64</v>
      </c>
      <c r="Q448" s="4">
        <v>0</v>
      </c>
      <c r="S448" s="8">
        <f t="shared" si="18"/>
        <v>332.2</v>
      </c>
      <c r="T448" s="8">
        <f t="shared" si="19"/>
        <v>-332.2</v>
      </c>
      <c r="U448" s="9">
        <f t="shared" si="20"/>
        <v>-1</v>
      </c>
    </row>
    <row r="449" spans="1:22" outlineLevel="2">
      <c r="A449" t="s">
        <v>260</v>
      </c>
      <c r="B449" t="s">
        <v>261</v>
      </c>
      <c r="C449" t="s">
        <v>51</v>
      </c>
      <c r="D449" t="s">
        <v>52</v>
      </c>
      <c r="E449" s="4">
        <v>0</v>
      </c>
      <c r="F449" s="4">
        <v>0</v>
      </c>
      <c r="G449" s="4">
        <v>0</v>
      </c>
      <c r="H449" s="4">
        <v>94.49</v>
      </c>
      <c r="I449" s="4">
        <v>0</v>
      </c>
      <c r="J449" s="4">
        <v>0</v>
      </c>
      <c r="K449" s="4">
        <v>0</v>
      </c>
      <c r="L449" s="4">
        <v>0</v>
      </c>
      <c r="M449" s="4">
        <v>10.98</v>
      </c>
      <c r="N449" s="4">
        <v>0</v>
      </c>
      <c r="O449" s="4">
        <v>0</v>
      </c>
      <c r="P449" s="4">
        <v>0</v>
      </c>
      <c r="Q449" s="4">
        <v>0</v>
      </c>
      <c r="R449" s="4">
        <v>219.5</v>
      </c>
      <c r="S449" s="8">
        <f t="shared" si="18"/>
        <v>1.83</v>
      </c>
      <c r="T449" s="8">
        <f t="shared" si="19"/>
        <v>217.67</v>
      </c>
      <c r="U449" s="9">
        <f t="shared" si="20"/>
        <v>118.94535519125682</v>
      </c>
    </row>
    <row r="450" spans="1:22" outlineLevel="2">
      <c r="A450" t="s">
        <v>260</v>
      </c>
      <c r="B450" t="s">
        <v>261</v>
      </c>
      <c r="C450" t="s">
        <v>164</v>
      </c>
      <c r="D450" t="s">
        <v>165</v>
      </c>
      <c r="E450" s="4">
        <v>1190</v>
      </c>
      <c r="F450" s="4">
        <v>700</v>
      </c>
      <c r="G450" s="4">
        <v>949.51</v>
      </c>
      <c r="H450" s="4">
        <v>630</v>
      </c>
      <c r="I450" s="4">
        <v>630</v>
      </c>
      <c r="J450" s="4">
        <v>630</v>
      </c>
      <c r="K450" s="4">
        <v>630</v>
      </c>
      <c r="L450" s="4">
        <v>945</v>
      </c>
      <c r="M450" s="4">
        <v>630</v>
      </c>
      <c r="N450" s="4">
        <v>630</v>
      </c>
      <c r="O450" s="4">
        <v>630</v>
      </c>
      <c r="P450" s="4">
        <v>630</v>
      </c>
      <c r="Q450" s="4">
        <v>1610</v>
      </c>
      <c r="R450" s="4">
        <v>1260</v>
      </c>
      <c r="S450" s="8">
        <f t="shared" si="18"/>
        <v>845.83333333333337</v>
      </c>
      <c r="T450" s="8">
        <f t="shared" si="19"/>
        <v>414.16666666666663</v>
      </c>
      <c r="U450" s="9">
        <f t="shared" si="20"/>
        <v>0.48965517241379303</v>
      </c>
    </row>
    <row r="451" spans="1:22" outlineLevel="2">
      <c r="A451" t="s">
        <v>260</v>
      </c>
      <c r="B451" t="s">
        <v>261</v>
      </c>
      <c r="C451" t="s">
        <v>53</v>
      </c>
      <c r="D451" t="s">
        <v>54</v>
      </c>
      <c r="E451" s="4">
        <v>555239.22</v>
      </c>
      <c r="F451" s="4">
        <v>578610.55999999994</v>
      </c>
      <c r="G451" s="4">
        <v>529091.62</v>
      </c>
      <c r="H451" s="4">
        <v>631180.96</v>
      </c>
      <c r="I451" s="4">
        <v>563237.11</v>
      </c>
      <c r="J451" s="4">
        <v>481168.1</v>
      </c>
      <c r="K451" s="4">
        <v>514766.67</v>
      </c>
      <c r="L451" s="4">
        <v>575871.24</v>
      </c>
      <c r="M451" s="4">
        <v>551974.12000000011</v>
      </c>
      <c r="N451" s="4">
        <v>1091210.3699999999</v>
      </c>
      <c r="O451" s="4">
        <v>578547.9800000001</v>
      </c>
      <c r="P451" s="4">
        <v>471654.70000000007</v>
      </c>
      <c r="Q451" s="4">
        <v>-48647.26999999996</v>
      </c>
      <c r="R451" s="4">
        <v>741921.72</v>
      </c>
      <c r="S451" s="8">
        <f t="shared" ref="S451:S514" si="21">AVERAGE(L451:Q451)</f>
        <v>536768.52333333332</v>
      </c>
      <c r="T451" s="8">
        <f t="shared" ref="T451:T514" si="22">R451-S451</f>
        <v>205153.19666666666</v>
      </c>
      <c r="U451" s="9">
        <f t="shared" ref="U451:U514" si="23">(R451-S451)/S451</f>
        <v>0.38220049751178592</v>
      </c>
      <c r="V451" t="s">
        <v>896</v>
      </c>
    </row>
    <row r="452" spans="1:22" outlineLevel="2">
      <c r="A452" t="s">
        <v>260</v>
      </c>
      <c r="B452" t="s">
        <v>261</v>
      </c>
      <c r="C452" t="s">
        <v>55</v>
      </c>
      <c r="D452" t="s">
        <v>56</v>
      </c>
      <c r="E452" s="4">
        <v>0</v>
      </c>
      <c r="F452" s="4">
        <v>0</v>
      </c>
      <c r="G452" s="4">
        <v>0</v>
      </c>
      <c r="H452" s="4">
        <v>19.740000000000002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302.47000000000003</v>
      </c>
      <c r="Q452" s="4">
        <v>0</v>
      </c>
      <c r="S452" s="8">
        <f t="shared" si="21"/>
        <v>50.411666666666669</v>
      </c>
      <c r="T452" s="8">
        <f t="shared" si="22"/>
        <v>-50.411666666666669</v>
      </c>
      <c r="U452" s="9">
        <f t="shared" si="23"/>
        <v>-1</v>
      </c>
    </row>
    <row r="453" spans="1:22" outlineLevel="2">
      <c r="A453" t="s">
        <v>260</v>
      </c>
      <c r="B453" t="s">
        <v>261</v>
      </c>
      <c r="C453" t="s">
        <v>196</v>
      </c>
      <c r="D453" t="s">
        <v>197</v>
      </c>
      <c r="E453" s="4">
        <v>7500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S453" s="8">
        <f t="shared" si="21"/>
        <v>0</v>
      </c>
      <c r="T453" s="8">
        <f t="shared" si="22"/>
        <v>0</v>
      </c>
      <c r="U453" s="9" t="e">
        <f t="shared" si="23"/>
        <v>#DIV/0!</v>
      </c>
    </row>
    <row r="454" spans="1:22" outlineLevel="2">
      <c r="A454" t="s">
        <v>260</v>
      </c>
      <c r="B454" t="s">
        <v>261</v>
      </c>
      <c r="C454" t="s">
        <v>63</v>
      </c>
      <c r="D454" t="s">
        <v>64</v>
      </c>
      <c r="E454" s="4">
        <v>0</v>
      </c>
      <c r="F454" s="4">
        <v>2.5</v>
      </c>
      <c r="G454" s="4">
        <v>0</v>
      </c>
      <c r="H454" s="4">
        <v>0</v>
      </c>
      <c r="I454" s="4">
        <v>0</v>
      </c>
      <c r="J454" s="4">
        <v>0</v>
      </c>
      <c r="K454" s="4">
        <v>61.9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S454" s="8">
        <f t="shared" si="21"/>
        <v>0</v>
      </c>
      <c r="T454" s="8">
        <f t="shared" si="22"/>
        <v>0</v>
      </c>
      <c r="U454" s="9" t="e">
        <f t="shared" si="23"/>
        <v>#DIV/0!</v>
      </c>
    </row>
    <row r="455" spans="1:22" outlineLevel="2">
      <c r="A455" t="s">
        <v>260</v>
      </c>
      <c r="B455" t="s">
        <v>261</v>
      </c>
      <c r="C455" t="s">
        <v>83</v>
      </c>
      <c r="D455" t="s">
        <v>84</v>
      </c>
      <c r="E455" s="4">
        <v>50.25</v>
      </c>
      <c r="F455" s="4">
        <v>1094.1399999999958</v>
      </c>
      <c r="G455" s="4">
        <v>884.64999999999782</v>
      </c>
      <c r="H455" s="4">
        <v>1021.6500000000015</v>
      </c>
      <c r="I455" s="4">
        <v>30974.560000000001</v>
      </c>
      <c r="J455" s="4">
        <v>-58815.28</v>
      </c>
      <c r="K455" s="4">
        <v>30210.799999999999</v>
      </c>
      <c r="L455" s="4">
        <v>-29866.829999999998</v>
      </c>
      <c r="M455" s="4">
        <v>31228.98</v>
      </c>
      <c r="N455" s="4">
        <v>-29242.06</v>
      </c>
      <c r="O455" s="4">
        <v>-7.4499999999999993</v>
      </c>
      <c r="P455" s="4">
        <v>276.49</v>
      </c>
      <c r="Q455" s="4">
        <v>145.38</v>
      </c>
      <c r="R455" s="4">
        <v>400.31999999999994</v>
      </c>
      <c r="S455" s="8">
        <f t="shared" si="21"/>
        <v>-4577.581666666666</v>
      </c>
      <c r="T455" s="8">
        <f t="shared" si="22"/>
        <v>4977.9016666666657</v>
      </c>
      <c r="U455" s="9">
        <f t="shared" si="23"/>
        <v>-1.0874522901284485</v>
      </c>
    </row>
    <row r="456" spans="1:22" outlineLevel="2">
      <c r="A456" t="s">
        <v>260</v>
      </c>
      <c r="B456" t="s">
        <v>261</v>
      </c>
      <c r="C456" t="s">
        <v>87</v>
      </c>
      <c r="D456" t="s">
        <v>88</v>
      </c>
      <c r="E456" s="4">
        <v>24687.35</v>
      </c>
      <c r="F456" s="4">
        <v>70501.639999999985</v>
      </c>
      <c r="G456" s="4">
        <v>25629.170000000002</v>
      </c>
      <c r="H456" s="4">
        <v>19835.82</v>
      </c>
      <c r="I456" s="4">
        <v>25757.16</v>
      </c>
      <c r="J456" s="4">
        <v>23954.880000000001</v>
      </c>
      <c r="K456" s="4">
        <v>12989.699999999997</v>
      </c>
      <c r="L456" s="4">
        <v>8638.1900000000023</v>
      </c>
      <c r="M456" s="4">
        <v>33389.200000000004</v>
      </c>
      <c r="N456" s="4">
        <v>-9222.8100000000013</v>
      </c>
      <c r="O456" s="4">
        <v>13730.259999999998</v>
      </c>
      <c r="P456" s="4">
        <v>28192.699999999997</v>
      </c>
      <c r="Q456" s="4">
        <v>12959.219999999998</v>
      </c>
      <c r="R456" s="4">
        <v>11844.470000000314</v>
      </c>
      <c r="S456" s="8">
        <f t="shared" si="21"/>
        <v>14614.46</v>
      </c>
      <c r="T456" s="8">
        <f t="shared" si="22"/>
        <v>-2769.9899999996851</v>
      </c>
      <c r="U456" s="9">
        <f t="shared" si="23"/>
        <v>-0.18953762232745414</v>
      </c>
    </row>
    <row r="457" spans="1:22" outlineLevel="2">
      <c r="A457" t="s">
        <v>260</v>
      </c>
      <c r="B457" t="s">
        <v>261</v>
      </c>
      <c r="C457" t="s">
        <v>89</v>
      </c>
      <c r="D457" t="s">
        <v>90</v>
      </c>
      <c r="E457" s="4">
        <v>-3.4924596548080444E-10</v>
      </c>
      <c r="F457" s="4">
        <v>1.7462298274040222E-10</v>
      </c>
      <c r="G457" s="4">
        <v>13999.699999999691</v>
      </c>
      <c r="H457" s="4">
        <v>31635.429999998873</v>
      </c>
      <c r="I457" s="4">
        <v>4.6566128730773926E-10</v>
      </c>
      <c r="J457" s="4">
        <v>5.2386894822120667E-10</v>
      </c>
      <c r="K457" s="4">
        <v>164750.00000000029</v>
      </c>
      <c r="L457" s="4">
        <v>4.6566128730773926E-10</v>
      </c>
      <c r="M457" s="4">
        <v>-2.3283064365386963E-10</v>
      </c>
      <c r="N457" s="4">
        <v>-1.3678800314664841E-9</v>
      </c>
      <c r="O457" s="4">
        <v>1.7462298274040222E-10</v>
      </c>
      <c r="P457" s="4">
        <v>60184.109999999469</v>
      </c>
      <c r="Q457" s="4">
        <v>2.8194335754960775E-10</v>
      </c>
      <c r="R457" s="4">
        <v>1497935.14</v>
      </c>
      <c r="S457" s="8">
        <f t="shared" si="21"/>
        <v>10030.684999999799</v>
      </c>
      <c r="T457" s="8">
        <f t="shared" si="22"/>
        <v>1487904.4550000001</v>
      </c>
      <c r="U457" s="9">
        <f t="shared" si="23"/>
        <v>148.33527869732026</v>
      </c>
      <c r="V457" t="s">
        <v>896</v>
      </c>
    </row>
    <row r="458" spans="1:22" outlineLevel="2">
      <c r="A458" t="s">
        <v>260</v>
      </c>
      <c r="B458" t="s">
        <v>261</v>
      </c>
      <c r="C458" t="s">
        <v>166</v>
      </c>
      <c r="D458" t="s">
        <v>167</v>
      </c>
      <c r="E458" s="4">
        <v>0</v>
      </c>
      <c r="F458" s="4">
        <v>0</v>
      </c>
      <c r="G458" s="4">
        <v>0</v>
      </c>
      <c r="H458" s="4">
        <v>5000</v>
      </c>
      <c r="I458" s="4">
        <v>0</v>
      </c>
      <c r="J458" s="4">
        <v>120</v>
      </c>
      <c r="K458" s="4">
        <v>0</v>
      </c>
      <c r="L458" s="4">
        <v>154</v>
      </c>
      <c r="M458" s="4">
        <v>0</v>
      </c>
      <c r="N458" s="4">
        <v>0</v>
      </c>
      <c r="O458" s="4">
        <v>0</v>
      </c>
      <c r="P458" s="4">
        <v>180</v>
      </c>
      <c r="Q458" s="4">
        <v>0</v>
      </c>
      <c r="S458" s="8">
        <f t="shared" si="21"/>
        <v>55.666666666666664</v>
      </c>
      <c r="T458" s="8">
        <f t="shared" si="22"/>
        <v>-55.666666666666664</v>
      </c>
      <c r="U458" s="9">
        <f t="shared" si="23"/>
        <v>-1</v>
      </c>
    </row>
    <row r="459" spans="1:22" outlineLevel="2">
      <c r="A459" t="s">
        <v>260</v>
      </c>
      <c r="B459" t="s">
        <v>261</v>
      </c>
      <c r="C459" t="s">
        <v>91</v>
      </c>
      <c r="D459" t="s">
        <v>92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1663.52</v>
      </c>
      <c r="N459" s="4">
        <v>0</v>
      </c>
      <c r="O459" s="4">
        <v>0</v>
      </c>
      <c r="P459" s="4">
        <v>0</v>
      </c>
      <c r="Q459" s="4">
        <v>0</v>
      </c>
      <c r="S459" s="8">
        <f t="shared" si="21"/>
        <v>277.25333333333333</v>
      </c>
      <c r="T459" s="8">
        <f t="shared" si="22"/>
        <v>-277.25333333333333</v>
      </c>
      <c r="U459" s="9">
        <f t="shared" si="23"/>
        <v>-1</v>
      </c>
    </row>
    <row r="460" spans="1:22" outlineLevel="2">
      <c r="A460" t="s">
        <v>260</v>
      </c>
      <c r="B460" t="s">
        <v>261</v>
      </c>
      <c r="C460" t="s">
        <v>93</v>
      </c>
      <c r="D460" t="s">
        <v>94</v>
      </c>
      <c r="E460" s="4">
        <v>-23.14</v>
      </c>
      <c r="F460" s="4">
        <v>68593.700000000012</v>
      </c>
      <c r="G460" s="4">
        <v>34296.879999999997</v>
      </c>
      <c r="H460" s="4">
        <v>34296.879999999997</v>
      </c>
      <c r="I460" s="4">
        <v>34819.82</v>
      </c>
      <c r="J460" s="4">
        <v>34296.879999999997</v>
      </c>
      <c r="K460" s="4">
        <v>34296.879999999997</v>
      </c>
      <c r="L460" s="4">
        <v>69766.880000000005</v>
      </c>
      <c r="M460" s="4">
        <v>32576.880000000005</v>
      </c>
      <c r="N460" s="4">
        <v>36016.879999999997</v>
      </c>
      <c r="O460" s="4">
        <v>36686.879999999997</v>
      </c>
      <c r="P460" s="4">
        <v>34304.560000000005</v>
      </c>
      <c r="Q460" s="4">
        <v>1514.53</v>
      </c>
      <c r="S460" s="8">
        <f t="shared" si="21"/>
        <v>35144.435000000005</v>
      </c>
      <c r="T460" s="8">
        <f t="shared" si="22"/>
        <v>-35144.435000000005</v>
      </c>
      <c r="U460" s="9">
        <f t="shared" si="23"/>
        <v>-1</v>
      </c>
    </row>
    <row r="461" spans="1:22" outlineLevel="2">
      <c r="A461" t="s">
        <v>260</v>
      </c>
      <c r="B461" t="s">
        <v>261</v>
      </c>
      <c r="C461" t="s">
        <v>184</v>
      </c>
      <c r="D461" t="s">
        <v>185</v>
      </c>
      <c r="E461" s="4">
        <v>0</v>
      </c>
      <c r="F461" s="4">
        <v>1106.95</v>
      </c>
      <c r="G461" s="4">
        <v>0</v>
      </c>
      <c r="H461" s="4">
        <v>0</v>
      </c>
      <c r="I461" s="4">
        <v>0</v>
      </c>
      <c r="J461" s="4">
        <v>0</v>
      </c>
      <c r="K461" s="4">
        <v>506.95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5000</v>
      </c>
      <c r="S461" s="8">
        <f t="shared" si="21"/>
        <v>833.33333333333337</v>
      </c>
      <c r="T461" s="8">
        <f t="shared" si="22"/>
        <v>-833.33333333333337</v>
      </c>
      <c r="U461" s="9">
        <f t="shared" si="23"/>
        <v>-1</v>
      </c>
    </row>
    <row r="462" spans="1:22" outlineLevel="2">
      <c r="A462" t="s">
        <v>260</v>
      </c>
      <c r="B462" t="s">
        <v>261</v>
      </c>
      <c r="C462" t="s">
        <v>168</v>
      </c>
      <c r="D462" t="s">
        <v>169</v>
      </c>
      <c r="E462" s="4">
        <v>0</v>
      </c>
      <c r="F462" s="4">
        <v>5828.72</v>
      </c>
      <c r="G462" s="4">
        <v>14075</v>
      </c>
      <c r="H462" s="4">
        <v>0</v>
      </c>
      <c r="I462" s="4">
        <v>21742.280000000002</v>
      </c>
      <c r="J462" s="4">
        <v>940</v>
      </c>
      <c r="K462" s="4">
        <v>11.579999999999927</v>
      </c>
      <c r="L462" s="4">
        <v>7.2830630415410269E-14</v>
      </c>
      <c r="M462" s="4">
        <v>5230</v>
      </c>
      <c r="N462" s="4">
        <v>7415</v>
      </c>
      <c r="O462" s="4">
        <v>-1065</v>
      </c>
      <c r="P462" s="4">
        <v>5283.32</v>
      </c>
      <c r="Q462" s="4">
        <v>0</v>
      </c>
      <c r="R462" s="4">
        <v>250</v>
      </c>
      <c r="S462" s="8">
        <f t="shared" si="21"/>
        <v>2810.5533333333333</v>
      </c>
      <c r="T462" s="8">
        <f t="shared" si="22"/>
        <v>-2560.5533333333333</v>
      </c>
      <c r="U462" s="9">
        <f t="shared" si="23"/>
        <v>-0.91104954421786455</v>
      </c>
    </row>
    <row r="463" spans="1:22" outlineLevel="2">
      <c r="A463" t="s">
        <v>260</v>
      </c>
      <c r="B463" t="s">
        <v>261</v>
      </c>
      <c r="C463" t="s">
        <v>99</v>
      </c>
      <c r="D463" t="s">
        <v>100</v>
      </c>
      <c r="E463" s="4">
        <v>22795.67</v>
      </c>
      <c r="F463" s="4">
        <v>52332.869999999981</v>
      </c>
      <c r="G463" s="4">
        <v>109598.16</v>
      </c>
      <c r="H463" s="4">
        <v>-37747.759999999995</v>
      </c>
      <c r="I463" s="4">
        <v>31311.08</v>
      </c>
      <c r="J463" s="4">
        <v>40392.36</v>
      </c>
      <c r="K463" s="4">
        <v>19808.679999999997</v>
      </c>
      <c r="L463" s="4">
        <v>28058.38</v>
      </c>
      <c r="M463" s="4">
        <v>39933.380000000005</v>
      </c>
      <c r="N463" s="4">
        <v>216183.38</v>
      </c>
      <c r="O463" s="4">
        <v>53625.879999999976</v>
      </c>
      <c r="P463" s="4">
        <v>28350.880000000008</v>
      </c>
      <c r="Q463" s="4">
        <v>412958.7</v>
      </c>
      <c r="R463" s="4">
        <v>-343464.1</v>
      </c>
      <c r="S463" s="8">
        <f t="shared" si="21"/>
        <v>129851.76666666668</v>
      </c>
      <c r="T463" s="8">
        <f t="shared" si="22"/>
        <v>-473315.86666666664</v>
      </c>
      <c r="U463" s="9">
        <f t="shared" si="23"/>
        <v>-3.6450475709097008</v>
      </c>
      <c r="V463" t="s">
        <v>897</v>
      </c>
    </row>
    <row r="464" spans="1:22" outlineLevel="2">
      <c r="A464" t="s">
        <v>260</v>
      </c>
      <c r="B464" t="s">
        <v>261</v>
      </c>
      <c r="C464" t="s">
        <v>101</v>
      </c>
      <c r="D464" t="s">
        <v>102</v>
      </c>
      <c r="E464" s="4">
        <v>360269.67000000004</v>
      </c>
      <c r="F464" s="4">
        <v>265681.12</v>
      </c>
      <c r="G464" s="4">
        <v>535939.23</v>
      </c>
      <c r="H464" s="4">
        <v>138298.11000000019</v>
      </c>
      <c r="I464" s="4">
        <v>194822.85</v>
      </c>
      <c r="J464" s="4">
        <v>82420.110000000015</v>
      </c>
      <c r="K464" s="4">
        <v>155015.48000000001</v>
      </c>
      <c r="L464" s="4">
        <v>59998.69</v>
      </c>
      <c r="M464" s="4">
        <v>116122.2300000001</v>
      </c>
      <c r="N464" s="4">
        <v>158654.66</v>
      </c>
      <c r="O464" s="4">
        <v>250311.27000000002</v>
      </c>
      <c r="P464" s="4">
        <v>82805.8</v>
      </c>
      <c r="Q464" s="4">
        <v>279889.74</v>
      </c>
      <c r="R464" s="4">
        <v>86329.679999999949</v>
      </c>
      <c r="S464" s="8">
        <f t="shared" si="21"/>
        <v>157963.73166666669</v>
      </c>
      <c r="T464" s="8">
        <f t="shared" si="22"/>
        <v>-71634.051666666739</v>
      </c>
      <c r="U464" s="9">
        <f t="shared" si="23"/>
        <v>-0.45348416950435255</v>
      </c>
      <c r="V464" t="s">
        <v>896</v>
      </c>
    </row>
    <row r="465" spans="1:22" outlineLevel="2">
      <c r="A465" t="s">
        <v>260</v>
      </c>
      <c r="B465" t="s">
        <v>261</v>
      </c>
      <c r="C465" t="s">
        <v>103</v>
      </c>
      <c r="D465" t="s">
        <v>104</v>
      </c>
      <c r="E465" s="4">
        <v>133372.60999999999</v>
      </c>
      <c r="F465" s="4">
        <v>153407.21</v>
      </c>
      <c r="G465" s="4">
        <v>23892.480000000025</v>
      </c>
      <c r="H465" s="4">
        <v>9627.0499999999738</v>
      </c>
      <c r="I465" s="4">
        <v>-20388.200000000026</v>
      </c>
      <c r="J465" s="4">
        <v>-12906.209999999995</v>
      </c>
      <c r="K465" s="4">
        <v>7657.7499999999927</v>
      </c>
      <c r="L465" s="4">
        <v>2066.6200000000026</v>
      </c>
      <c r="M465" s="4">
        <v>12630</v>
      </c>
      <c r="N465" s="4">
        <v>120</v>
      </c>
      <c r="O465" s="4">
        <v>200390</v>
      </c>
      <c r="P465" s="4">
        <v>-71280</v>
      </c>
      <c r="Q465" s="4">
        <v>-73387</v>
      </c>
      <c r="R465" s="4">
        <v>14323.25</v>
      </c>
      <c r="S465" s="8">
        <f t="shared" si="21"/>
        <v>11756.603333333333</v>
      </c>
      <c r="T465" s="8">
        <f t="shared" si="22"/>
        <v>2566.6466666666674</v>
      </c>
      <c r="U465" s="9">
        <f t="shared" si="23"/>
        <v>0.21831532406894177</v>
      </c>
    </row>
    <row r="466" spans="1:22" outlineLevel="2">
      <c r="A466" t="s">
        <v>260</v>
      </c>
      <c r="B466" t="s">
        <v>261</v>
      </c>
      <c r="C466" t="s">
        <v>111</v>
      </c>
      <c r="D466" t="s">
        <v>112</v>
      </c>
      <c r="E466" s="4">
        <v>251727.16</v>
      </c>
      <c r="F466" s="4">
        <v>111268.62000000001</v>
      </c>
      <c r="G466" s="4">
        <v>114794.54000000001</v>
      </c>
      <c r="H466" s="4">
        <v>28044.89</v>
      </c>
      <c r="I466" s="4">
        <v>-22355.66</v>
      </c>
      <c r="J466" s="4">
        <v>56125.089999999989</v>
      </c>
      <c r="K466" s="4">
        <v>40169.67</v>
      </c>
      <c r="L466" s="4">
        <v>114625.29</v>
      </c>
      <c r="M466" s="4">
        <v>96315.55</v>
      </c>
      <c r="N466" s="4">
        <v>173286.55</v>
      </c>
      <c r="O466" s="4">
        <v>90383.44</v>
      </c>
      <c r="P466" s="4">
        <v>315277.31</v>
      </c>
      <c r="Q466" s="4">
        <v>45486.52</v>
      </c>
      <c r="R466" s="4">
        <v>53391.25</v>
      </c>
      <c r="S466" s="8">
        <f t="shared" si="21"/>
        <v>139229.11000000002</v>
      </c>
      <c r="T466" s="8">
        <f t="shared" si="22"/>
        <v>-85837.860000000015</v>
      </c>
      <c r="U466" s="9">
        <f t="shared" si="23"/>
        <v>-0.61652236374993707</v>
      </c>
      <c r="V466" t="s">
        <v>896</v>
      </c>
    </row>
    <row r="467" spans="1:22" outlineLevel="2">
      <c r="A467" t="s">
        <v>260</v>
      </c>
      <c r="B467" t="s">
        <v>261</v>
      </c>
      <c r="C467" t="s">
        <v>170</v>
      </c>
      <c r="D467" t="s">
        <v>171</v>
      </c>
      <c r="E467" s="4">
        <v>5130</v>
      </c>
      <c r="F467" s="4">
        <v>3375</v>
      </c>
      <c r="G467" s="4">
        <v>3105</v>
      </c>
      <c r="H467" s="4">
        <v>1440</v>
      </c>
      <c r="I467" s="4">
        <v>1215</v>
      </c>
      <c r="J467" s="4">
        <v>1125</v>
      </c>
      <c r="K467" s="4">
        <v>1080</v>
      </c>
      <c r="L467" s="4">
        <v>1530</v>
      </c>
      <c r="M467" s="4">
        <v>900</v>
      </c>
      <c r="N467" s="4">
        <v>900</v>
      </c>
      <c r="O467" s="4">
        <v>810</v>
      </c>
      <c r="P467" s="4">
        <v>810</v>
      </c>
      <c r="Q467" s="4">
        <v>405</v>
      </c>
      <c r="S467" s="8">
        <f t="shared" si="21"/>
        <v>892.5</v>
      </c>
      <c r="T467" s="8">
        <f t="shared" si="22"/>
        <v>-892.5</v>
      </c>
      <c r="U467" s="9">
        <f t="shared" si="23"/>
        <v>-1</v>
      </c>
    </row>
    <row r="468" spans="1:22" outlineLevel="2">
      <c r="A468" t="s">
        <v>260</v>
      </c>
      <c r="B468" t="s">
        <v>261</v>
      </c>
      <c r="C468" t="s">
        <v>186</v>
      </c>
      <c r="D468" t="s">
        <v>187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40</v>
      </c>
      <c r="S468" s="8">
        <f t="shared" si="21"/>
        <v>0</v>
      </c>
      <c r="T468" s="8">
        <f t="shared" si="22"/>
        <v>40</v>
      </c>
      <c r="U468" s="9" t="e">
        <f t="shared" si="23"/>
        <v>#DIV/0!</v>
      </c>
      <c r="V468" t="s">
        <v>895</v>
      </c>
    </row>
    <row r="469" spans="1:22" outlineLevel="2">
      <c r="A469" t="s">
        <v>260</v>
      </c>
      <c r="B469" t="s">
        <v>261</v>
      </c>
      <c r="C469" t="s">
        <v>188</v>
      </c>
      <c r="D469" t="s">
        <v>189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140</v>
      </c>
      <c r="O469" s="4">
        <v>0</v>
      </c>
      <c r="P469" s="4">
        <v>0</v>
      </c>
      <c r="Q469" s="4">
        <v>0</v>
      </c>
      <c r="S469" s="8">
        <f t="shared" si="21"/>
        <v>23.333333333333332</v>
      </c>
      <c r="T469" s="8">
        <f t="shared" si="22"/>
        <v>-23.333333333333332</v>
      </c>
      <c r="U469" s="9">
        <f t="shared" si="23"/>
        <v>-1</v>
      </c>
    </row>
    <row r="470" spans="1:22" outlineLevel="2">
      <c r="A470" t="s">
        <v>260</v>
      </c>
      <c r="B470" t="s">
        <v>261</v>
      </c>
      <c r="C470" t="s">
        <v>127</v>
      </c>
      <c r="D470" t="s">
        <v>120</v>
      </c>
      <c r="E470" s="4">
        <v>0</v>
      </c>
      <c r="F470" s="4">
        <v>0</v>
      </c>
      <c r="G470" s="4">
        <v>11</v>
      </c>
      <c r="H470" s="4">
        <v>40</v>
      </c>
      <c r="I470" s="4">
        <v>240</v>
      </c>
      <c r="J470" s="4">
        <v>0</v>
      </c>
      <c r="K470" s="4">
        <v>0</v>
      </c>
      <c r="L470" s="4">
        <v>305.69</v>
      </c>
      <c r="M470" s="4">
        <v>3148.09</v>
      </c>
      <c r="N470" s="4">
        <v>149997.47</v>
      </c>
      <c r="O470" s="4">
        <v>51375.840000000026</v>
      </c>
      <c r="P470" s="4">
        <v>-179808.47</v>
      </c>
      <c r="Q470" s="4">
        <v>-19127.04</v>
      </c>
      <c r="S470" s="8">
        <f t="shared" si="21"/>
        <v>981.93000000000393</v>
      </c>
      <c r="T470" s="8">
        <f t="shared" si="22"/>
        <v>-981.93000000000393</v>
      </c>
      <c r="U470" s="9">
        <f t="shared" si="23"/>
        <v>-1</v>
      </c>
    </row>
    <row r="471" spans="1:22" outlineLevel="2">
      <c r="A471" t="s">
        <v>260</v>
      </c>
      <c r="B471" t="s">
        <v>261</v>
      </c>
      <c r="C471" t="s">
        <v>190</v>
      </c>
      <c r="D471" t="s">
        <v>191</v>
      </c>
      <c r="E471" s="4">
        <v>0</v>
      </c>
      <c r="F471" s="4">
        <v>0</v>
      </c>
      <c r="G471" s="4">
        <v>0</v>
      </c>
      <c r="H471" s="4">
        <v>0</v>
      </c>
      <c r="I471" s="4">
        <v>90473.37000000001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106360</v>
      </c>
      <c r="Q471" s="4">
        <v>21932</v>
      </c>
      <c r="S471" s="8">
        <f t="shared" si="21"/>
        <v>21382</v>
      </c>
      <c r="T471" s="8">
        <f t="shared" si="22"/>
        <v>-21382</v>
      </c>
      <c r="U471" s="9">
        <f t="shared" si="23"/>
        <v>-1</v>
      </c>
    </row>
    <row r="472" spans="1:22" outlineLevel="1">
      <c r="A472" s="1" t="s">
        <v>701</v>
      </c>
      <c r="E472" s="4">
        <f>SUBTOTAL(9,E424:E471)</f>
        <v>2535974.4</v>
      </c>
      <c r="F472" s="4">
        <f>SUBTOTAL(9,F424:F471)</f>
        <v>2797124.3100000005</v>
      </c>
      <c r="G472" s="4">
        <f>SUBTOTAL(9,G424:G471)</f>
        <v>2361062.4199999995</v>
      </c>
      <c r="H472" s="4">
        <f>SUBTOTAL(9,H424:H471)</f>
        <v>1820924.8099999987</v>
      </c>
      <c r="I472" s="4">
        <f>SUBTOTAL(9,I424:I471)</f>
        <v>2025802.7200000009</v>
      </c>
      <c r="J472" s="4">
        <f>SUBTOTAL(9,J424:J471)</f>
        <v>1032909.1000000003</v>
      </c>
      <c r="K472" s="4">
        <f>SUBTOTAL(9,K424:K471)</f>
        <v>1844328.36</v>
      </c>
      <c r="L472" s="4">
        <f>SUBTOTAL(9,L424:L471)</f>
        <v>1647929.8200000003</v>
      </c>
      <c r="M472" s="4">
        <f>SUBTOTAL(9,M424:M471)</f>
        <v>1665301.37</v>
      </c>
      <c r="N472" s="4">
        <f>SUBTOTAL(9,N424:N471)</f>
        <v>2612967.4899999984</v>
      </c>
      <c r="O472" s="4">
        <f>SUBTOTAL(9,O424:O471)</f>
        <v>2046547.9300000002</v>
      </c>
      <c r="P472" s="4">
        <f>SUBTOTAL(9,P424:P471)</f>
        <v>1479044.01</v>
      </c>
      <c r="Q472" s="4">
        <f>SUBTOTAL(9,Q424:Q471)</f>
        <v>1457468.3900000004</v>
      </c>
      <c r="R472" s="4">
        <f>SUBTOTAL(9,R424:R471)</f>
        <v>2889090.3000000003</v>
      </c>
      <c r="S472" s="8">
        <f t="shared" si="21"/>
        <v>1818209.835</v>
      </c>
      <c r="T472" s="8">
        <f t="shared" si="22"/>
        <v>1070880.4650000003</v>
      </c>
      <c r="U472" s="9">
        <f t="shared" si="23"/>
        <v>0.58897518008420646</v>
      </c>
      <c r="V472" t="s">
        <v>897</v>
      </c>
    </row>
    <row r="473" spans="1:22" outlineLevel="2">
      <c r="A473" t="s">
        <v>262</v>
      </c>
      <c r="B473" t="s">
        <v>263</v>
      </c>
      <c r="C473" t="s">
        <v>196</v>
      </c>
      <c r="D473" t="s">
        <v>197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S473" s="8">
        <f t="shared" si="21"/>
        <v>0</v>
      </c>
      <c r="T473" s="8">
        <f t="shared" si="22"/>
        <v>0</v>
      </c>
      <c r="U473" s="9" t="e">
        <f t="shared" si="23"/>
        <v>#DIV/0!</v>
      </c>
    </row>
    <row r="474" spans="1:22" outlineLevel="2">
      <c r="A474" t="s">
        <v>262</v>
      </c>
      <c r="B474" t="s">
        <v>263</v>
      </c>
      <c r="C474" t="s">
        <v>89</v>
      </c>
      <c r="D474" t="s">
        <v>90</v>
      </c>
      <c r="E474" s="4">
        <v>0</v>
      </c>
      <c r="F474" s="4">
        <v>0</v>
      </c>
      <c r="G474" s="4">
        <v>0</v>
      </c>
      <c r="H474" s="4">
        <v>5462.5</v>
      </c>
      <c r="I474" s="4">
        <v>0</v>
      </c>
      <c r="J474" s="4">
        <v>10925</v>
      </c>
      <c r="K474" s="4">
        <v>5462.5</v>
      </c>
      <c r="L474" s="4">
        <v>0</v>
      </c>
      <c r="M474" s="4">
        <v>27219.14</v>
      </c>
      <c r="N474" s="4">
        <v>5462.5</v>
      </c>
      <c r="O474" s="4">
        <v>0</v>
      </c>
      <c r="P474" s="4">
        <v>5462.5</v>
      </c>
      <c r="Q474" s="4">
        <v>0</v>
      </c>
      <c r="S474" s="8">
        <f t="shared" si="21"/>
        <v>6357.3566666666666</v>
      </c>
      <c r="T474" s="8">
        <f t="shared" si="22"/>
        <v>-6357.3566666666666</v>
      </c>
      <c r="U474" s="9">
        <f t="shared" si="23"/>
        <v>-1</v>
      </c>
    </row>
    <row r="475" spans="1:22" outlineLevel="2">
      <c r="A475" t="s">
        <v>262</v>
      </c>
      <c r="B475" t="s">
        <v>263</v>
      </c>
      <c r="C475" t="s">
        <v>166</v>
      </c>
      <c r="D475" t="s">
        <v>167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2500</v>
      </c>
      <c r="O475" s="4">
        <v>0</v>
      </c>
      <c r="P475" s="4">
        <v>0</v>
      </c>
      <c r="Q475" s="4">
        <v>0</v>
      </c>
      <c r="S475" s="8">
        <f t="shared" si="21"/>
        <v>416.66666666666669</v>
      </c>
      <c r="T475" s="8">
        <f t="shared" si="22"/>
        <v>-416.66666666666669</v>
      </c>
      <c r="U475" s="9">
        <f t="shared" si="23"/>
        <v>-1</v>
      </c>
    </row>
    <row r="476" spans="1:22" outlineLevel="2">
      <c r="A476" t="s">
        <v>262</v>
      </c>
      <c r="B476" t="s">
        <v>263</v>
      </c>
      <c r="C476" t="s">
        <v>101</v>
      </c>
      <c r="D476" t="s">
        <v>102</v>
      </c>
      <c r="E476" s="4">
        <v>0</v>
      </c>
      <c r="F476" s="4">
        <v>15000</v>
      </c>
      <c r="G476" s="4">
        <v>18942.5</v>
      </c>
      <c r="H476" s="4">
        <v>22541.559999999998</v>
      </c>
      <c r="I476" s="4">
        <v>10074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S476" s="8">
        <f t="shared" si="21"/>
        <v>0</v>
      </c>
      <c r="T476" s="8">
        <f t="shared" si="22"/>
        <v>0</v>
      </c>
      <c r="U476" s="9" t="e">
        <f t="shared" si="23"/>
        <v>#DIV/0!</v>
      </c>
    </row>
    <row r="477" spans="1:22" outlineLevel="2">
      <c r="A477" t="s">
        <v>262</v>
      </c>
      <c r="B477" t="s">
        <v>263</v>
      </c>
      <c r="C477" t="s">
        <v>103</v>
      </c>
      <c r="D477" t="s">
        <v>104</v>
      </c>
      <c r="E477" s="4">
        <v>0</v>
      </c>
      <c r="F477" s="4">
        <v>16299.359999999999</v>
      </c>
      <c r="G477" s="4">
        <v>3427.2</v>
      </c>
      <c r="H477" s="4">
        <v>5823.57</v>
      </c>
      <c r="I477" s="4">
        <v>5042.1900000000005</v>
      </c>
      <c r="J477" s="4">
        <v>4468.8</v>
      </c>
      <c r="K477" s="4">
        <v>0</v>
      </c>
      <c r="L477" s="4">
        <v>0</v>
      </c>
      <c r="M477" s="4">
        <v>0</v>
      </c>
      <c r="N477" s="4">
        <v>0</v>
      </c>
      <c r="O477" s="4">
        <v>-685.4399999999996</v>
      </c>
      <c r="P477" s="4">
        <v>0</v>
      </c>
      <c r="Q477" s="4">
        <v>5078.3999999999996</v>
      </c>
      <c r="R477" s="4">
        <v>44065.599999999999</v>
      </c>
      <c r="S477" s="8">
        <f t="shared" si="21"/>
        <v>732.16</v>
      </c>
      <c r="T477" s="8">
        <f t="shared" si="22"/>
        <v>43333.439999999995</v>
      </c>
      <c r="U477" s="9">
        <f t="shared" si="23"/>
        <v>59.185751748251747</v>
      </c>
      <c r="V477" t="s">
        <v>896</v>
      </c>
    </row>
    <row r="478" spans="1:22" outlineLevel="1">
      <c r="A478" s="1" t="s">
        <v>702</v>
      </c>
      <c r="E478" s="4">
        <f>SUBTOTAL(9,E473:E477)</f>
        <v>0</v>
      </c>
      <c r="F478" s="4">
        <f>SUBTOTAL(9,F473:F477)</f>
        <v>31299.360000000001</v>
      </c>
      <c r="G478" s="4">
        <f>SUBTOTAL(9,G473:G477)</f>
        <v>22369.7</v>
      </c>
      <c r="H478" s="4">
        <f>SUBTOTAL(9,H473:H477)</f>
        <v>33827.629999999997</v>
      </c>
      <c r="I478" s="4">
        <f>SUBTOTAL(9,I473:I477)</f>
        <v>15116.19</v>
      </c>
      <c r="J478" s="4">
        <f>SUBTOTAL(9,J473:J477)</f>
        <v>15393.8</v>
      </c>
      <c r="K478" s="4">
        <f>SUBTOTAL(9,K473:K477)</f>
        <v>5462.5</v>
      </c>
      <c r="L478" s="4">
        <f>SUBTOTAL(9,L473:L477)</f>
        <v>0</v>
      </c>
      <c r="M478" s="4">
        <f>SUBTOTAL(9,M473:M477)</f>
        <v>27219.14</v>
      </c>
      <c r="N478" s="4">
        <f>SUBTOTAL(9,N473:N477)</f>
        <v>7962.5</v>
      </c>
      <c r="O478" s="4">
        <f>SUBTOTAL(9,O473:O477)</f>
        <v>-685.4399999999996</v>
      </c>
      <c r="P478" s="4">
        <f>SUBTOTAL(9,P473:P477)</f>
        <v>5462.5</v>
      </c>
      <c r="Q478" s="4">
        <f>SUBTOTAL(9,Q473:Q477)</f>
        <v>5078.3999999999996</v>
      </c>
      <c r="R478" s="4">
        <f>SUBTOTAL(9,R473:R477)</f>
        <v>44065.599999999999</v>
      </c>
      <c r="S478" s="8">
        <f t="shared" si="21"/>
        <v>7506.1833333333334</v>
      </c>
      <c r="T478" s="8">
        <f t="shared" si="22"/>
        <v>36559.416666666664</v>
      </c>
      <c r="U478" s="9">
        <f t="shared" si="23"/>
        <v>4.8705733717313056</v>
      </c>
      <c r="V478" t="s">
        <v>896</v>
      </c>
    </row>
    <row r="479" spans="1:22" outlineLevel="2">
      <c r="A479" t="s">
        <v>264</v>
      </c>
      <c r="B479" t="s">
        <v>265</v>
      </c>
      <c r="C479" t="s">
        <v>21</v>
      </c>
      <c r="D479" t="s">
        <v>22</v>
      </c>
      <c r="E479" s="4">
        <v>35.119999999999997</v>
      </c>
      <c r="F479" s="4">
        <v>0</v>
      </c>
      <c r="G479" s="4">
        <v>81.039999999999992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261.33</v>
      </c>
      <c r="O479" s="4">
        <v>305.2</v>
      </c>
      <c r="P479" s="4">
        <v>0</v>
      </c>
      <c r="Q479" s="4">
        <v>0</v>
      </c>
      <c r="R479" s="4">
        <v>250</v>
      </c>
      <c r="S479" s="8">
        <f t="shared" si="21"/>
        <v>94.421666666666667</v>
      </c>
      <c r="T479" s="8">
        <f t="shared" si="22"/>
        <v>155.57833333333332</v>
      </c>
      <c r="U479" s="9">
        <f t="shared" si="23"/>
        <v>1.6476973858401143</v>
      </c>
    </row>
    <row r="480" spans="1:22" outlineLevel="2">
      <c r="A480" t="s">
        <v>264</v>
      </c>
      <c r="B480" t="s">
        <v>265</v>
      </c>
      <c r="C480" t="s">
        <v>23</v>
      </c>
      <c r="D480" t="s">
        <v>24</v>
      </c>
      <c r="E480" s="4">
        <v>2576.88</v>
      </c>
      <c r="F480" s="4">
        <v>2512.5500000000002</v>
      </c>
      <c r="G480" s="4">
        <v>3258.62</v>
      </c>
      <c r="H480" s="4">
        <v>1506.84</v>
      </c>
      <c r="I480" s="4">
        <v>998.05</v>
      </c>
      <c r="J480" s="4">
        <v>0</v>
      </c>
      <c r="K480" s="4">
        <v>0</v>
      </c>
      <c r="L480" s="4">
        <v>0</v>
      </c>
      <c r="M480" s="4">
        <v>0</v>
      </c>
      <c r="N480" s="4">
        <v>90</v>
      </c>
      <c r="O480" s="4">
        <v>0</v>
      </c>
      <c r="P480" s="4">
        <v>0</v>
      </c>
      <c r="Q480" s="4">
        <v>0</v>
      </c>
      <c r="S480" s="8">
        <f t="shared" si="21"/>
        <v>15</v>
      </c>
      <c r="T480" s="8">
        <f t="shared" si="22"/>
        <v>-15</v>
      </c>
      <c r="U480" s="9">
        <f t="shared" si="23"/>
        <v>-1</v>
      </c>
    </row>
    <row r="481" spans="1:22" outlineLevel="2">
      <c r="A481" t="s">
        <v>264</v>
      </c>
      <c r="B481" t="s">
        <v>265</v>
      </c>
      <c r="C481" t="s">
        <v>25</v>
      </c>
      <c r="D481" t="s">
        <v>26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906.9</v>
      </c>
      <c r="O481" s="4">
        <v>0</v>
      </c>
      <c r="P481" s="4">
        <v>0</v>
      </c>
      <c r="Q481" s="4">
        <v>573.63000000000011</v>
      </c>
      <c r="S481" s="8">
        <f t="shared" si="21"/>
        <v>246.75500000000002</v>
      </c>
      <c r="T481" s="8">
        <f t="shared" si="22"/>
        <v>-246.75500000000002</v>
      </c>
      <c r="U481" s="9">
        <f t="shared" si="23"/>
        <v>-1</v>
      </c>
    </row>
    <row r="482" spans="1:22" outlineLevel="2">
      <c r="A482" t="s">
        <v>264</v>
      </c>
      <c r="B482" t="s">
        <v>265</v>
      </c>
      <c r="C482" t="s">
        <v>27</v>
      </c>
      <c r="D482" t="s">
        <v>28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352.53000000000003</v>
      </c>
      <c r="O482" s="4">
        <v>0</v>
      </c>
      <c r="P482" s="4">
        <v>0</v>
      </c>
      <c r="Q482" s="4">
        <v>0</v>
      </c>
      <c r="S482" s="8">
        <f t="shared" si="21"/>
        <v>58.755000000000003</v>
      </c>
      <c r="T482" s="8">
        <f t="shared" si="22"/>
        <v>-58.755000000000003</v>
      </c>
      <c r="U482" s="9">
        <f t="shared" si="23"/>
        <v>-1</v>
      </c>
    </row>
    <row r="483" spans="1:22" outlineLevel="2">
      <c r="A483" t="s">
        <v>264</v>
      </c>
      <c r="B483" t="s">
        <v>265</v>
      </c>
      <c r="C483" t="s">
        <v>136</v>
      </c>
      <c r="D483" t="s">
        <v>137</v>
      </c>
      <c r="E483" s="4">
        <v>146963.00999999998</v>
      </c>
      <c r="F483" s="4">
        <v>142909.01999999999</v>
      </c>
      <c r="G483" s="4">
        <v>129213.22999999998</v>
      </c>
      <c r="H483" s="4">
        <v>116230.77000000002</v>
      </c>
      <c r="I483" s="4">
        <v>127734.1</v>
      </c>
      <c r="J483" s="4">
        <v>124889.78</v>
      </c>
      <c r="K483" s="4">
        <v>132379.86000000002</v>
      </c>
      <c r="L483" s="4">
        <v>132959.87</v>
      </c>
      <c r="M483" s="4">
        <v>128985.97</v>
      </c>
      <c r="N483" s="4">
        <v>127860.5</v>
      </c>
      <c r="O483" s="4">
        <v>119738.27</v>
      </c>
      <c r="P483" s="4">
        <v>124059.54999999999</v>
      </c>
      <c r="Q483" s="4">
        <v>115213.04999999999</v>
      </c>
      <c r="R483" s="4">
        <v>104063.42000000001</v>
      </c>
      <c r="S483" s="8">
        <f t="shared" si="21"/>
        <v>124802.86833333333</v>
      </c>
      <c r="T483" s="8">
        <f t="shared" si="22"/>
        <v>-20739.448333333319</v>
      </c>
      <c r="U483" s="9">
        <f t="shared" si="23"/>
        <v>-0.16617765769566104</v>
      </c>
      <c r="V483" t="s">
        <v>896</v>
      </c>
    </row>
    <row r="484" spans="1:22" outlineLevel="2">
      <c r="A484" t="s">
        <v>264</v>
      </c>
      <c r="B484" t="s">
        <v>265</v>
      </c>
      <c r="C484" t="s">
        <v>142</v>
      </c>
      <c r="D484" t="s">
        <v>143</v>
      </c>
      <c r="E484" s="4">
        <v>20000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5000</v>
      </c>
      <c r="Q484" s="4">
        <v>0</v>
      </c>
      <c r="S484" s="8">
        <f t="shared" si="21"/>
        <v>833.33333333333337</v>
      </c>
      <c r="T484" s="8">
        <f t="shared" si="22"/>
        <v>-833.33333333333337</v>
      </c>
      <c r="U484" s="9">
        <f t="shared" si="23"/>
        <v>-1</v>
      </c>
    </row>
    <row r="485" spans="1:22" outlineLevel="2">
      <c r="A485" t="s">
        <v>264</v>
      </c>
      <c r="B485" t="s">
        <v>265</v>
      </c>
      <c r="C485" t="s">
        <v>144</v>
      </c>
      <c r="D485" t="s">
        <v>145</v>
      </c>
      <c r="E485" s="4">
        <v>26889.459999999995</v>
      </c>
      <c r="F485" s="4">
        <v>6131.8700000000008</v>
      </c>
      <c r="G485" s="4">
        <v>26166.61</v>
      </c>
      <c r="H485" s="4">
        <v>17382.93</v>
      </c>
      <c r="I485" s="4">
        <v>28264.62</v>
      </c>
      <c r="J485" s="4">
        <v>5821.35</v>
      </c>
      <c r="K485" s="4">
        <v>22629.420000000002</v>
      </c>
      <c r="L485" s="4">
        <v>22186.05</v>
      </c>
      <c r="M485" s="4">
        <v>25400.480000000003</v>
      </c>
      <c r="N485" s="4">
        <v>20261.3</v>
      </c>
      <c r="O485" s="4">
        <v>17059.159999999996</v>
      </c>
      <c r="P485" s="4">
        <v>15915.02</v>
      </c>
      <c r="Q485" s="4">
        <v>21874.99</v>
      </c>
      <c r="R485" s="4">
        <v>2460.6899999999987</v>
      </c>
      <c r="S485" s="8">
        <f t="shared" si="21"/>
        <v>20449.5</v>
      </c>
      <c r="T485" s="8">
        <f t="shared" si="22"/>
        <v>-17988.810000000001</v>
      </c>
      <c r="U485" s="9">
        <f t="shared" si="23"/>
        <v>-0.8796699185799165</v>
      </c>
    </row>
    <row r="486" spans="1:22" outlineLevel="2">
      <c r="A486" t="s">
        <v>264</v>
      </c>
      <c r="B486" t="s">
        <v>265</v>
      </c>
      <c r="C486" t="s">
        <v>146</v>
      </c>
      <c r="D486" t="s">
        <v>147</v>
      </c>
      <c r="E486" s="4">
        <v>14152.070000000002</v>
      </c>
      <c r="F486" s="4">
        <v>11502.1</v>
      </c>
      <c r="G486" s="4">
        <v>14033.28</v>
      </c>
      <c r="H486" s="4">
        <v>9155.1</v>
      </c>
      <c r="I486" s="4">
        <v>10516</v>
      </c>
      <c r="J486" s="4">
        <v>10339.52</v>
      </c>
      <c r="K486" s="4">
        <v>11665.06</v>
      </c>
      <c r="L486" s="4">
        <v>11465.32</v>
      </c>
      <c r="M486" s="4">
        <v>11571.7</v>
      </c>
      <c r="N486" s="4">
        <v>11209.86</v>
      </c>
      <c r="O486" s="4">
        <v>10647.939999999999</v>
      </c>
      <c r="P486" s="4">
        <v>10566.34</v>
      </c>
      <c r="Q486" s="4">
        <v>10760.109999999999</v>
      </c>
      <c r="R486" s="4">
        <v>9329.75</v>
      </c>
      <c r="S486" s="8">
        <f t="shared" si="21"/>
        <v>11036.878333333334</v>
      </c>
      <c r="T486" s="8">
        <f t="shared" si="22"/>
        <v>-1707.128333333334</v>
      </c>
      <c r="U486" s="9">
        <f t="shared" si="23"/>
        <v>-0.1546749254431394</v>
      </c>
    </row>
    <row r="487" spans="1:22" outlineLevel="2">
      <c r="A487" t="s">
        <v>264</v>
      </c>
      <c r="B487" t="s">
        <v>265</v>
      </c>
      <c r="C487" t="s">
        <v>150</v>
      </c>
      <c r="D487" t="s">
        <v>151</v>
      </c>
      <c r="E487" s="4">
        <v>0</v>
      </c>
      <c r="F487" s="4">
        <v>56158</v>
      </c>
      <c r="G487" s="4">
        <v>11231.600000000006</v>
      </c>
      <c r="H487" s="4">
        <v>20201.11</v>
      </c>
      <c r="I487" s="4">
        <v>38320.94</v>
      </c>
      <c r="J487" s="4">
        <v>25401.3</v>
      </c>
      <c r="K487" s="4">
        <v>30365.33</v>
      </c>
      <c r="L487" s="4">
        <v>30365.33</v>
      </c>
      <c r="M487" s="4">
        <v>30365.33</v>
      </c>
      <c r="N487" s="4">
        <v>28257.73</v>
      </c>
      <c r="O487" s="4">
        <v>28257.73</v>
      </c>
      <c r="P487" s="4">
        <v>28257.73</v>
      </c>
      <c r="Q487" s="4">
        <v>20510.47</v>
      </c>
      <c r="R487" s="4">
        <v>14947.279999999999</v>
      </c>
      <c r="S487" s="8">
        <f t="shared" si="21"/>
        <v>27669.053333333333</v>
      </c>
      <c r="T487" s="8">
        <f t="shared" si="22"/>
        <v>-12721.773333333334</v>
      </c>
      <c r="U487" s="9">
        <f t="shared" si="23"/>
        <v>-0.45978346928144515</v>
      </c>
    </row>
    <row r="488" spans="1:22" outlineLevel="2">
      <c r="A488" t="s">
        <v>264</v>
      </c>
      <c r="B488" t="s">
        <v>265</v>
      </c>
      <c r="C488" t="s">
        <v>152</v>
      </c>
      <c r="D488" t="s">
        <v>153</v>
      </c>
      <c r="E488" s="4">
        <v>12913.75</v>
      </c>
      <c r="F488" s="4">
        <v>13746.76</v>
      </c>
      <c r="G488" s="4">
        <v>13951.56</v>
      </c>
      <c r="H488" s="4">
        <v>8918.57</v>
      </c>
      <c r="I488" s="4">
        <v>9962.9600000000009</v>
      </c>
      <c r="J488" s="4">
        <v>18412.060000000001</v>
      </c>
      <c r="K488" s="4">
        <v>9675.5499999999993</v>
      </c>
      <c r="L488" s="4">
        <v>9700.64</v>
      </c>
      <c r="M488" s="4">
        <v>8178.0499999999993</v>
      </c>
      <c r="N488" s="4">
        <v>5250.66</v>
      </c>
      <c r="O488" s="4">
        <v>4668.71</v>
      </c>
      <c r="P488" s="4">
        <v>7512.52</v>
      </c>
      <c r="Q488" s="4">
        <v>8342.89</v>
      </c>
      <c r="R488" s="4">
        <v>7577.67</v>
      </c>
      <c r="S488" s="8">
        <f t="shared" si="21"/>
        <v>7275.5783333333338</v>
      </c>
      <c r="T488" s="8">
        <f t="shared" si="22"/>
        <v>302.09166666666624</v>
      </c>
      <c r="U488" s="9">
        <f t="shared" si="23"/>
        <v>4.15213269414779E-2</v>
      </c>
    </row>
    <row r="489" spans="1:22" outlineLevel="2">
      <c r="A489" t="s">
        <v>264</v>
      </c>
      <c r="B489" t="s">
        <v>265</v>
      </c>
      <c r="C489" t="s">
        <v>154</v>
      </c>
      <c r="D489" t="s">
        <v>155</v>
      </c>
      <c r="E489" s="4">
        <v>1183</v>
      </c>
      <c r="F489" s="4">
        <v>288.8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1094.9000000000001</v>
      </c>
      <c r="S489" s="8">
        <f t="shared" si="21"/>
        <v>182.48333333333335</v>
      </c>
      <c r="T489" s="8">
        <f t="shared" si="22"/>
        <v>-182.48333333333335</v>
      </c>
      <c r="U489" s="9">
        <f t="shared" si="23"/>
        <v>-1</v>
      </c>
    </row>
    <row r="490" spans="1:22" outlineLevel="2">
      <c r="A490" t="s">
        <v>264</v>
      </c>
      <c r="B490" t="s">
        <v>265</v>
      </c>
      <c r="C490" t="s">
        <v>216</v>
      </c>
      <c r="D490" t="s">
        <v>217</v>
      </c>
      <c r="E490" s="4">
        <v>0</v>
      </c>
      <c r="F490" s="4">
        <v>12997.04</v>
      </c>
      <c r="G490" s="4">
        <v>-12997.04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S490" s="8">
        <f t="shared" si="21"/>
        <v>0</v>
      </c>
      <c r="T490" s="8">
        <f t="shared" si="22"/>
        <v>0</v>
      </c>
      <c r="U490" s="9" t="e">
        <f t="shared" si="23"/>
        <v>#DIV/0!</v>
      </c>
    </row>
    <row r="491" spans="1:22" outlineLevel="2">
      <c r="A491" t="s">
        <v>264</v>
      </c>
      <c r="B491" t="s">
        <v>265</v>
      </c>
      <c r="C491" t="s">
        <v>158</v>
      </c>
      <c r="D491" t="s">
        <v>159</v>
      </c>
      <c r="E491" s="4">
        <v>16666.669999999998</v>
      </c>
      <c r="F491" s="4">
        <v>16667</v>
      </c>
      <c r="G491" s="4">
        <v>-23173.339999999997</v>
      </c>
      <c r="H491" s="4">
        <v>17159.75</v>
      </c>
      <c r="I491" s="4">
        <v>16667</v>
      </c>
      <c r="J491" s="4">
        <v>10652.239999999998</v>
      </c>
      <c r="K491" s="4">
        <v>16667</v>
      </c>
      <c r="L491" s="4">
        <v>16667</v>
      </c>
      <c r="M491" s="4">
        <v>9417.5199999999968</v>
      </c>
      <c r="N491" s="4">
        <v>16667</v>
      </c>
      <c r="O491" s="4">
        <v>16667</v>
      </c>
      <c r="P491" s="4">
        <v>8926.3399999999965</v>
      </c>
      <c r="Q491" s="4">
        <v>12000</v>
      </c>
      <c r="R491" s="4">
        <v>12000</v>
      </c>
      <c r="S491" s="8">
        <f t="shared" si="21"/>
        <v>13390.809999999998</v>
      </c>
      <c r="T491" s="8">
        <f t="shared" si="22"/>
        <v>-1390.8099999999977</v>
      </c>
      <c r="U491" s="9">
        <f t="shared" si="23"/>
        <v>-0.10386302247586202</v>
      </c>
    </row>
    <row r="492" spans="1:22" outlineLevel="2">
      <c r="A492" t="s">
        <v>264</v>
      </c>
      <c r="B492" t="s">
        <v>265</v>
      </c>
      <c r="C492" t="s">
        <v>160</v>
      </c>
      <c r="D492" t="s">
        <v>161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2712.98</v>
      </c>
      <c r="N492" s="4">
        <v>0</v>
      </c>
      <c r="O492" s="4">
        <v>0</v>
      </c>
      <c r="P492" s="4">
        <v>885.91</v>
      </c>
      <c r="Q492" s="4">
        <v>0</v>
      </c>
      <c r="S492" s="8">
        <f t="shared" si="21"/>
        <v>599.81499999999994</v>
      </c>
      <c r="T492" s="8">
        <f t="shared" si="22"/>
        <v>-599.81499999999994</v>
      </c>
      <c r="U492" s="9">
        <f t="shared" si="23"/>
        <v>-1</v>
      </c>
    </row>
    <row r="493" spans="1:22" outlineLevel="2">
      <c r="A493" t="s">
        <v>264</v>
      </c>
      <c r="B493" t="s">
        <v>265</v>
      </c>
      <c r="C493" t="s">
        <v>164</v>
      </c>
      <c r="D493" t="s">
        <v>165</v>
      </c>
      <c r="E493" s="4">
        <v>420</v>
      </c>
      <c r="F493" s="4">
        <v>280</v>
      </c>
      <c r="G493" s="4">
        <v>210</v>
      </c>
      <c r="H493" s="4">
        <v>175</v>
      </c>
      <c r="I493" s="4">
        <v>175</v>
      </c>
      <c r="J493" s="4">
        <v>210</v>
      </c>
      <c r="K493" s="4">
        <v>210</v>
      </c>
      <c r="L493" s="4">
        <v>315</v>
      </c>
      <c r="M493" s="4">
        <v>210</v>
      </c>
      <c r="N493" s="4">
        <v>210</v>
      </c>
      <c r="O493" s="4">
        <v>210</v>
      </c>
      <c r="P493" s="4">
        <v>210</v>
      </c>
      <c r="Q493" s="4">
        <v>385</v>
      </c>
      <c r="R493" s="4">
        <v>280</v>
      </c>
      <c r="S493" s="8">
        <f t="shared" si="21"/>
        <v>256.66666666666669</v>
      </c>
      <c r="T493" s="8">
        <f t="shared" si="22"/>
        <v>23.333333333333314</v>
      </c>
      <c r="U493" s="9">
        <f t="shared" si="23"/>
        <v>9.0909090909090828E-2</v>
      </c>
    </row>
    <row r="494" spans="1:22" outlineLevel="2">
      <c r="A494" t="s">
        <v>264</v>
      </c>
      <c r="B494" t="s">
        <v>265</v>
      </c>
      <c r="C494" t="s">
        <v>59</v>
      </c>
      <c r="D494" t="s">
        <v>60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46.67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S494" s="8">
        <f t="shared" si="21"/>
        <v>7.7783333333333333</v>
      </c>
      <c r="T494" s="8">
        <f t="shared" si="22"/>
        <v>-7.7783333333333333</v>
      </c>
      <c r="U494" s="9">
        <f t="shared" si="23"/>
        <v>-1</v>
      </c>
    </row>
    <row r="495" spans="1:22" outlineLevel="2">
      <c r="A495" t="s">
        <v>264</v>
      </c>
      <c r="B495" t="s">
        <v>265</v>
      </c>
      <c r="C495" t="s">
        <v>99</v>
      </c>
      <c r="D495" t="s">
        <v>100</v>
      </c>
      <c r="E495" s="4">
        <v>0</v>
      </c>
      <c r="F495" s="4">
        <v>0</v>
      </c>
      <c r="G495" s="4">
        <v>0</v>
      </c>
      <c r="H495" s="4">
        <v>-1742.6499999999996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S495" s="8">
        <f t="shared" si="21"/>
        <v>0</v>
      </c>
      <c r="T495" s="8">
        <f t="shared" si="22"/>
        <v>0</v>
      </c>
      <c r="U495" s="9" t="e">
        <f t="shared" si="23"/>
        <v>#DIV/0!</v>
      </c>
    </row>
    <row r="496" spans="1:22" outlineLevel="2">
      <c r="A496" t="s">
        <v>264</v>
      </c>
      <c r="B496" t="s">
        <v>265</v>
      </c>
      <c r="C496" t="s">
        <v>170</v>
      </c>
      <c r="D496" t="s">
        <v>171</v>
      </c>
      <c r="E496" s="4">
        <v>135</v>
      </c>
      <c r="F496" s="4">
        <v>90</v>
      </c>
      <c r="G496" s="4">
        <v>90</v>
      </c>
      <c r="H496" s="4">
        <v>90</v>
      </c>
      <c r="I496" s="4">
        <v>90</v>
      </c>
      <c r="J496" s="4">
        <v>90</v>
      </c>
      <c r="K496" s="4">
        <v>90</v>
      </c>
      <c r="L496" s="4">
        <v>135</v>
      </c>
      <c r="M496" s="4">
        <v>90</v>
      </c>
      <c r="N496" s="4">
        <v>90</v>
      </c>
      <c r="O496" s="4">
        <v>90</v>
      </c>
      <c r="P496" s="4">
        <v>90</v>
      </c>
      <c r="Q496" s="4">
        <v>45</v>
      </c>
      <c r="S496" s="8">
        <f t="shared" si="21"/>
        <v>90</v>
      </c>
      <c r="T496" s="8">
        <f t="shared" si="22"/>
        <v>-90</v>
      </c>
      <c r="U496" s="9">
        <f t="shared" si="23"/>
        <v>-1</v>
      </c>
    </row>
    <row r="497" spans="1:22" outlineLevel="2">
      <c r="A497" t="s">
        <v>264</v>
      </c>
      <c r="B497" t="s">
        <v>265</v>
      </c>
      <c r="C497" t="s">
        <v>127</v>
      </c>
      <c r="D497" t="s">
        <v>120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1.48</v>
      </c>
      <c r="O497" s="4">
        <v>0</v>
      </c>
      <c r="P497" s="4">
        <v>0</v>
      </c>
      <c r="Q497" s="4">
        <v>0</v>
      </c>
      <c r="S497" s="8">
        <f t="shared" si="21"/>
        <v>0.24666666666666667</v>
      </c>
      <c r="T497" s="8">
        <f t="shared" si="22"/>
        <v>-0.24666666666666667</v>
      </c>
      <c r="U497" s="9">
        <f t="shared" si="23"/>
        <v>-1</v>
      </c>
    </row>
    <row r="498" spans="1:22" outlineLevel="1">
      <c r="A498" s="1" t="s">
        <v>703</v>
      </c>
      <c r="E498" s="4">
        <f>SUBTOTAL(9,E479:E497)</f>
        <v>241934.95999999996</v>
      </c>
      <c r="F498" s="4">
        <f>SUBTOTAL(9,F479:F497)</f>
        <v>263283.14</v>
      </c>
      <c r="G498" s="4">
        <f>SUBTOTAL(9,G479:G497)</f>
        <v>162065.56</v>
      </c>
      <c r="H498" s="4">
        <f>SUBTOTAL(9,H479:H497)</f>
        <v>189077.42</v>
      </c>
      <c r="I498" s="4">
        <f>SUBTOTAL(9,I479:I497)</f>
        <v>232728.67</v>
      </c>
      <c r="J498" s="4">
        <f>SUBTOTAL(9,J479:J497)</f>
        <v>195816.24999999997</v>
      </c>
      <c r="K498" s="4">
        <f>SUBTOTAL(9,K479:K497)</f>
        <v>223682.22000000003</v>
      </c>
      <c r="L498" s="4">
        <f>SUBTOTAL(9,L479:L497)</f>
        <v>223840.88000000003</v>
      </c>
      <c r="M498" s="4">
        <f>SUBTOTAL(9,M479:M497)</f>
        <v>216932.03000000003</v>
      </c>
      <c r="N498" s="4">
        <f>SUBTOTAL(9,N479:N497)</f>
        <v>211419.29</v>
      </c>
      <c r="O498" s="4">
        <f>SUBTOTAL(9,O479:O497)</f>
        <v>197644.01</v>
      </c>
      <c r="P498" s="4">
        <f>SUBTOTAL(9,P479:P497)</f>
        <v>201423.40999999997</v>
      </c>
      <c r="Q498" s="4">
        <f>SUBTOTAL(9,Q479:Q497)</f>
        <v>190800.03999999995</v>
      </c>
      <c r="R498" s="4">
        <f>SUBTOTAL(9,R479:R497)</f>
        <v>150908.81000000003</v>
      </c>
      <c r="S498" s="8">
        <f t="shared" si="21"/>
        <v>207009.94333333336</v>
      </c>
      <c r="T498" s="8">
        <f t="shared" si="22"/>
        <v>-56101.133333333331</v>
      </c>
      <c r="U498" s="9">
        <f t="shared" si="23"/>
        <v>-0.27100694985939722</v>
      </c>
      <c r="V498" t="s">
        <v>896</v>
      </c>
    </row>
    <row r="499" spans="1:22" outlineLevel="2">
      <c r="A499" t="s">
        <v>266</v>
      </c>
      <c r="B499" t="s">
        <v>267</v>
      </c>
      <c r="C499" t="s">
        <v>21</v>
      </c>
      <c r="D499" t="s">
        <v>22</v>
      </c>
      <c r="E499" s="4">
        <v>2.1316282072803006E-14</v>
      </c>
      <c r="F499" s="4">
        <v>424.5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S499" s="8">
        <f t="shared" si="21"/>
        <v>0</v>
      </c>
      <c r="T499" s="8">
        <f t="shared" si="22"/>
        <v>0</v>
      </c>
      <c r="U499" s="9" t="e">
        <f t="shared" si="23"/>
        <v>#DIV/0!</v>
      </c>
    </row>
    <row r="500" spans="1:22" outlineLevel="2">
      <c r="A500" t="s">
        <v>266</v>
      </c>
      <c r="B500" t="s">
        <v>267</v>
      </c>
      <c r="C500" t="s">
        <v>23</v>
      </c>
      <c r="D500" t="s">
        <v>24</v>
      </c>
      <c r="E500" s="4">
        <v>3.1263880373444408E-13</v>
      </c>
      <c r="F500" s="4">
        <v>2080.73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S500" s="8">
        <f t="shared" si="21"/>
        <v>0</v>
      </c>
      <c r="T500" s="8">
        <f t="shared" si="22"/>
        <v>0</v>
      </c>
      <c r="U500" s="9" t="e">
        <f t="shared" si="23"/>
        <v>#DIV/0!</v>
      </c>
    </row>
    <row r="501" spans="1:22" outlineLevel="2">
      <c r="A501" t="s">
        <v>266</v>
      </c>
      <c r="B501" t="s">
        <v>267</v>
      </c>
      <c r="C501" t="s">
        <v>27</v>
      </c>
      <c r="D501" t="s">
        <v>28</v>
      </c>
      <c r="E501" s="4">
        <v>0</v>
      </c>
      <c r="F501" s="4">
        <v>-215.73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S501" s="8">
        <f t="shared" si="21"/>
        <v>0</v>
      </c>
      <c r="T501" s="8">
        <f t="shared" si="22"/>
        <v>0</v>
      </c>
      <c r="U501" s="9" t="e">
        <f t="shared" si="23"/>
        <v>#DIV/0!</v>
      </c>
    </row>
    <row r="502" spans="1:22" outlineLevel="2">
      <c r="A502" t="s">
        <v>266</v>
      </c>
      <c r="B502" t="s">
        <v>267</v>
      </c>
      <c r="C502" t="s">
        <v>136</v>
      </c>
      <c r="D502" t="s">
        <v>137</v>
      </c>
      <c r="E502" s="4">
        <v>0</v>
      </c>
      <c r="F502" s="4">
        <v>87020.84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S502" s="8">
        <f t="shared" si="21"/>
        <v>0</v>
      </c>
      <c r="T502" s="8">
        <f t="shared" si="22"/>
        <v>0</v>
      </c>
      <c r="U502" s="9" t="e">
        <f t="shared" si="23"/>
        <v>#DIV/0!</v>
      </c>
    </row>
    <row r="503" spans="1:22" outlineLevel="2">
      <c r="A503" t="s">
        <v>266</v>
      </c>
      <c r="B503" t="s">
        <v>267</v>
      </c>
      <c r="C503" t="s">
        <v>140</v>
      </c>
      <c r="D503" t="s">
        <v>141</v>
      </c>
      <c r="E503" s="4">
        <v>0</v>
      </c>
      <c r="F503" s="4">
        <v>0</v>
      </c>
      <c r="G503" s="4">
        <v>0</v>
      </c>
      <c r="H503" s="4">
        <v>-2271.1200000000003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S503" s="8">
        <f t="shared" si="21"/>
        <v>0</v>
      </c>
      <c r="T503" s="8">
        <f t="shared" si="22"/>
        <v>0</v>
      </c>
      <c r="U503" s="9" t="e">
        <f t="shared" si="23"/>
        <v>#DIV/0!</v>
      </c>
    </row>
    <row r="504" spans="1:22" outlineLevel="2">
      <c r="A504" t="s">
        <v>266</v>
      </c>
      <c r="B504" t="s">
        <v>267</v>
      </c>
      <c r="C504" t="s">
        <v>144</v>
      </c>
      <c r="D504" t="s">
        <v>145</v>
      </c>
      <c r="E504" s="4">
        <v>3.637978807091713E-12</v>
      </c>
      <c r="F504" s="4">
        <v>-4361.41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S504" s="8">
        <f t="shared" si="21"/>
        <v>0</v>
      </c>
      <c r="T504" s="8">
        <f t="shared" si="22"/>
        <v>0</v>
      </c>
      <c r="U504" s="9" t="e">
        <f t="shared" si="23"/>
        <v>#DIV/0!</v>
      </c>
    </row>
    <row r="505" spans="1:22" outlineLevel="2">
      <c r="A505" t="s">
        <v>266</v>
      </c>
      <c r="B505" t="s">
        <v>267</v>
      </c>
      <c r="C505" t="s">
        <v>146</v>
      </c>
      <c r="D505" t="s">
        <v>147</v>
      </c>
      <c r="E505" s="4">
        <v>-1.8189894035458565E-12</v>
      </c>
      <c r="F505" s="4">
        <v>-14975.46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S505" s="8">
        <f t="shared" si="21"/>
        <v>0</v>
      </c>
      <c r="T505" s="8">
        <f t="shared" si="22"/>
        <v>0</v>
      </c>
      <c r="U505" s="9" t="e">
        <f t="shared" si="23"/>
        <v>#DIV/0!</v>
      </c>
    </row>
    <row r="506" spans="1:22" outlineLevel="2">
      <c r="A506" t="s">
        <v>266</v>
      </c>
      <c r="B506" t="s">
        <v>267</v>
      </c>
      <c r="C506" t="s">
        <v>152</v>
      </c>
      <c r="D506" t="s">
        <v>153</v>
      </c>
      <c r="E506" s="4">
        <v>0</v>
      </c>
      <c r="F506" s="4">
        <v>6467.01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S506" s="8">
        <f t="shared" si="21"/>
        <v>0</v>
      </c>
      <c r="T506" s="8">
        <f t="shared" si="22"/>
        <v>0</v>
      </c>
      <c r="U506" s="9" t="e">
        <f t="shared" si="23"/>
        <v>#DIV/0!</v>
      </c>
    </row>
    <row r="507" spans="1:22" outlineLevel="2">
      <c r="A507" t="s">
        <v>266</v>
      </c>
      <c r="B507" t="s">
        <v>267</v>
      </c>
      <c r="C507" t="s">
        <v>154</v>
      </c>
      <c r="D507" t="s">
        <v>155</v>
      </c>
      <c r="E507" s="4">
        <v>0</v>
      </c>
      <c r="F507" s="4">
        <v>168.82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S507" s="8">
        <f t="shared" si="21"/>
        <v>0</v>
      </c>
      <c r="T507" s="8">
        <f t="shared" si="22"/>
        <v>0</v>
      </c>
      <c r="U507" s="9" t="e">
        <f t="shared" si="23"/>
        <v>#DIV/0!</v>
      </c>
    </row>
    <row r="508" spans="1:22" outlineLevel="2">
      <c r="A508" t="s">
        <v>266</v>
      </c>
      <c r="B508" t="s">
        <v>267</v>
      </c>
      <c r="C508" t="s">
        <v>164</v>
      </c>
      <c r="D508" t="s">
        <v>165</v>
      </c>
      <c r="E508" s="4">
        <v>0</v>
      </c>
      <c r="F508" s="4">
        <v>175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S508" s="8">
        <f t="shared" si="21"/>
        <v>0</v>
      </c>
      <c r="T508" s="8">
        <f t="shared" si="22"/>
        <v>0</v>
      </c>
      <c r="U508" s="9" t="e">
        <f t="shared" si="23"/>
        <v>#DIV/0!</v>
      </c>
    </row>
    <row r="509" spans="1:22" outlineLevel="2">
      <c r="A509" t="s">
        <v>266</v>
      </c>
      <c r="B509" t="s">
        <v>267</v>
      </c>
      <c r="C509" t="s">
        <v>89</v>
      </c>
      <c r="D509" t="s">
        <v>90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-9091.23</v>
      </c>
      <c r="S509" s="8">
        <f t="shared" si="21"/>
        <v>-1515.2049999999999</v>
      </c>
      <c r="T509" s="8">
        <f t="shared" si="22"/>
        <v>1515.2049999999999</v>
      </c>
      <c r="U509" s="9">
        <f t="shared" si="23"/>
        <v>-1</v>
      </c>
    </row>
    <row r="510" spans="1:22" outlineLevel="2">
      <c r="A510" t="s">
        <v>266</v>
      </c>
      <c r="B510" t="s">
        <v>267</v>
      </c>
      <c r="C510" t="s">
        <v>101</v>
      </c>
      <c r="D510" t="s">
        <v>102</v>
      </c>
      <c r="E510" s="4">
        <v>0</v>
      </c>
      <c r="F510" s="4">
        <v>10666.66</v>
      </c>
      <c r="G510" s="4">
        <v>10666.66</v>
      </c>
      <c r="H510" s="4">
        <v>9628.51</v>
      </c>
      <c r="I510" s="4">
        <v>10666.66</v>
      </c>
      <c r="J510" s="4">
        <v>10666.66</v>
      </c>
      <c r="K510" s="4">
        <v>10666.66</v>
      </c>
      <c r="L510" s="4">
        <v>10666.66</v>
      </c>
      <c r="M510" s="4">
        <v>21333.32</v>
      </c>
      <c r="N510" s="4">
        <v>0</v>
      </c>
      <c r="O510" s="4">
        <v>10666.66</v>
      </c>
      <c r="P510" s="4">
        <v>21333.32</v>
      </c>
      <c r="Q510" s="4">
        <v>-10018.56</v>
      </c>
      <c r="S510" s="8">
        <f t="shared" si="21"/>
        <v>8996.9</v>
      </c>
      <c r="T510" s="8">
        <f t="shared" si="22"/>
        <v>-8996.9</v>
      </c>
      <c r="U510" s="9">
        <f t="shared" si="23"/>
        <v>-1</v>
      </c>
    </row>
    <row r="511" spans="1:22" outlineLevel="2">
      <c r="A511" t="s">
        <v>266</v>
      </c>
      <c r="B511" t="s">
        <v>267</v>
      </c>
      <c r="C511" t="s">
        <v>103</v>
      </c>
      <c r="D511" t="s">
        <v>104</v>
      </c>
      <c r="E511" s="4">
        <v>-2.2737367544323206E-13</v>
      </c>
      <c r="F511" s="4">
        <v>-10071</v>
      </c>
      <c r="G511" s="4">
        <v>10071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-3495.3200000000015</v>
      </c>
      <c r="N511" s="4">
        <v>0</v>
      </c>
      <c r="O511" s="4">
        <v>3495.3200000000015</v>
      </c>
      <c r="P511" s="4">
        <v>0</v>
      </c>
      <c r="Q511" s="4">
        <v>0</v>
      </c>
      <c r="S511" s="8">
        <f t="shared" si="21"/>
        <v>0</v>
      </c>
      <c r="T511" s="8">
        <f t="shared" si="22"/>
        <v>0</v>
      </c>
      <c r="U511" s="9" t="e">
        <f t="shared" si="23"/>
        <v>#DIV/0!</v>
      </c>
    </row>
    <row r="512" spans="1:22" outlineLevel="2">
      <c r="A512" t="s">
        <v>266</v>
      </c>
      <c r="B512" t="s">
        <v>267</v>
      </c>
      <c r="C512" t="s">
        <v>111</v>
      </c>
      <c r="D512" t="s">
        <v>112</v>
      </c>
      <c r="E512" s="4">
        <v>0</v>
      </c>
      <c r="F512" s="4">
        <v>45061.89</v>
      </c>
      <c r="G512" s="4">
        <v>0</v>
      </c>
      <c r="H512" s="4">
        <v>0</v>
      </c>
      <c r="I512" s="4">
        <v>0</v>
      </c>
      <c r="J512" s="4">
        <v>78750</v>
      </c>
      <c r="K512" s="4">
        <v>0</v>
      </c>
      <c r="L512" s="4">
        <v>0</v>
      </c>
      <c r="M512" s="4">
        <v>0</v>
      </c>
      <c r="N512" s="4">
        <v>0</v>
      </c>
      <c r="O512" s="4">
        <v>1120</v>
      </c>
      <c r="P512" s="4">
        <v>0</v>
      </c>
      <c r="Q512" s="4">
        <v>0</v>
      </c>
      <c r="S512" s="8">
        <f t="shared" si="21"/>
        <v>186.66666666666666</v>
      </c>
      <c r="T512" s="8">
        <f t="shared" si="22"/>
        <v>-186.66666666666666</v>
      </c>
      <c r="U512" s="9">
        <f t="shared" si="23"/>
        <v>-1</v>
      </c>
    </row>
    <row r="513" spans="1:22" outlineLevel="2">
      <c r="A513" t="s">
        <v>266</v>
      </c>
      <c r="B513" t="s">
        <v>267</v>
      </c>
      <c r="C513" t="s">
        <v>117</v>
      </c>
      <c r="D513" t="s">
        <v>118</v>
      </c>
      <c r="E513" s="4">
        <v>1.8189894035458565E-12</v>
      </c>
      <c r="F513" s="4">
        <v>-16732.8</v>
      </c>
      <c r="G513" s="4">
        <v>0</v>
      </c>
      <c r="H513" s="4">
        <v>-2907.3999999999996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S513" s="8">
        <f t="shared" si="21"/>
        <v>0</v>
      </c>
      <c r="T513" s="8">
        <f t="shared" si="22"/>
        <v>0</v>
      </c>
      <c r="U513" s="9" t="e">
        <f t="shared" si="23"/>
        <v>#DIV/0!</v>
      </c>
    </row>
    <row r="514" spans="1:22" outlineLevel="2">
      <c r="A514" t="s">
        <v>266</v>
      </c>
      <c r="B514" t="s">
        <v>267</v>
      </c>
      <c r="C514" t="s">
        <v>170</v>
      </c>
      <c r="D514" t="s">
        <v>171</v>
      </c>
      <c r="E514" s="4">
        <v>0</v>
      </c>
      <c r="F514" s="4">
        <v>495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S514" s="8">
        <f t="shared" si="21"/>
        <v>0</v>
      </c>
      <c r="T514" s="8">
        <f t="shared" si="22"/>
        <v>0</v>
      </c>
      <c r="U514" s="9" t="e">
        <f t="shared" si="23"/>
        <v>#DIV/0!</v>
      </c>
    </row>
    <row r="515" spans="1:22" outlineLevel="2">
      <c r="A515" t="s">
        <v>266</v>
      </c>
      <c r="B515" t="s">
        <v>267</v>
      </c>
      <c r="C515" t="s">
        <v>127</v>
      </c>
      <c r="D515" t="s">
        <v>120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S515" s="8">
        <f t="shared" ref="S515:S578" si="24">AVERAGE(L515:Q515)</f>
        <v>0</v>
      </c>
      <c r="T515" s="8">
        <f t="shared" ref="T515:T578" si="25">R515-S515</f>
        <v>0</v>
      </c>
      <c r="U515" s="9" t="e">
        <f t="shared" ref="U515:U578" si="26">(R515-S515)/S515</f>
        <v>#DIV/0!</v>
      </c>
    </row>
    <row r="516" spans="1:22" outlineLevel="1">
      <c r="A516" s="1" t="s">
        <v>704</v>
      </c>
      <c r="E516" s="4">
        <f>SUBTOTAL(9,E499:E515)</f>
        <v>3.744560217455728E-12</v>
      </c>
      <c r="F516" s="4">
        <f>SUBTOTAL(9,F499:F515)</f>
        <v>106204.05</v>
      </c>
      <c r="G516" s="4">
        <f>SUBTOTAL(9,G499:G515)</f>
        <v>20737.66</v>
      </c>
      <c r="H516" s="4">
        <f>SUBTOTAL(9,H499:H515)</f>
        <v>4449.99</v>
      </c>
      <c r="I516" s="4">
        <f>SUBTOTAL(9,I499:I515)</f>
        <v>10666.66</v>
      </c>
      <c r="J516" s="4">
        <f>SUBTOTAL(9,J499:J515)</f>
        <v>89416.66</v>
      </c>
      <c r="K516" s="4">
        <f>SUBTOTAL(9,K499:K515)</f>
        <v>10666.66</v>
      </c>
      <c r="L516" s="4">
        <f>SUBTOTAL(9,L499:L515)</f>
        <v>10666.66</v>
      </c>
      <c r="M516" s="4">
        <f>SUBTOTAL(9,M499:M515)</f>
        <v>17838</v>
      </c>
      <c r="N516" s="4">
        <f>SUBTOTAL(9,N499:N515)</f>
        <v>0</v>
      </c>
      <c r="O516" s="4">
        <f>SUBTOTAL(9,O499:O515)</f>
        <v>15281.980000000001</v>
      </c>
      <c r="P516" s="4">
        <f>SUBTOTAL(9,P499:P515)</f>
        <v>21333.32</v>
      </c>
      <c r="Q516" s="4">
        <f>SUBTOTAL(9,Q499:Q515)</f>
        <v>-19109.79</v>
      </c>
      <c r="R516" s="4">
        <f>SUBTOTAL(9,R499:R515)</f>
        <v>0</v>
      </c>
      <c r="S516" s="8">
        <f t="shared" si="24"/>
        <v>7668.3616666666667</v>
      </c>
      <c r="T516" s="8">
        <f t="shared" si="25"/>
        <v>-7668.3616666666667</v>
      </c>
      <c r="U516" s="9">
        <f t="shared" si="26"/>
        <v>-1</v>
      </c>
    </row>
    <row r="517" spans="1:22" outlineLevel="2">
      <c r="A517" t="s">
        <v>268</v>
      </c>
      <c r="B517" t="s">
        <v>269</v>
      </c>
      <c r="C517" t="s">
        <v>21</v>
      </c>
      <c r="D517" t="s">
        <v>22</v>
      </c>
      <c r="E517" s="4">
        <v>143.44999999999999</v>
      </c>
      <c r="F517" s="4">
        <v>87.87</v>
      </c>
      <c r="G517" s="4">
        <v>0</v>
      </c>
      <c r="H517" s="4">
        <v>0</v>
      </c>
      <c r="I517" s="4">
        <v>533.61</v>
      </c>
      <c r="J517" s="4">
        <v>51.81</v>
      </c>
      <c r="K517" s="4">
        <v>898.03</v>
      </c>
      <c r="L517" s="4">
        <v>123.29</v>
      </c>
      <c r="M517" s="4">
        <v>0</v>
      </c>
      <c r="N517" s="4">
        <v>353.81</v>
      </c>
      <c r="O517" s="4">
        <v>1234.04</v>
      </c>
      <c r="P517" s="4">
        <v>0</v>
      </c>
      <c r="Q517" s="4">
        <v>860.79</v>
      </c>
      <c r="S517" s="8">
        <f t="shared" si="24"/>
        <v>428.65499999999997</v>
      </c>
      <c r="T517" s="8">
        <f t="shared" si="25"/>
        <v>-428.65499999999997</v>
      </c>
      <c r="U517" s="9">
        <f t="shared" si="26"/>
        <v>-1</v>
      </c>
    </row>
    <row r="518" spans="1:22" outlineLevel="2">
      <c r="A518" t="s">
        <v>268</v>
      </c>
      <c r="B518" t="s">
        <v>269</v>
      </c>
      <c r="C518" t="s">
        <v>23</v>
      </c>
      <c r="D518" t="s">
        <v>24</v>
      </c>
      <c r="E518" s="4">
        <v>1010.0699999999999</v>
      </c>
      <c r="F518" s="4">
        <v>0</v>
      </c>
      <c r="G518" s="4">
        <v>525.66</v>
      </c>
      <c r="H518" s="4">
        <v>0</v>
      </c>
      <c r="I518" s="4">
        <v>156.43</v>
      </c>
      <c r="J518" s="4">
        <v>723.36</v>
      </c>
      <c r="K518" s="4">
        <v>494.65</v>
      </c>
      <c r="L518" s="4">
        <v>656.96</v>
      </c>
      <c r="M518" s="4">
        <v>0</v>
      </c>
      <c r="N518" s="4">
        <v>273.36</v>
      </c>
      <c r="O518" s="4">
        <v>382.05</v>
      </c>
      <c r="P518" s="4">
        <v>0</v>
      </c>
      <c r="Q518" s="4">
        <v>0</v>
      </c>
      <c r="S518" s="8">
        <f t="shared" si="24"/>
        <v>218.72833333333335</v>
      </c>
      <c r="T518" s="8">
        <f t="shared" si="25"/>
        <v>-218.72833333333335</v>
      </c>
      <c r="U518" s="9">
        <f t="shared" si="26"/>
        <v>-1</v>
      </c>
    </row>
    <row r="519" spans="1:22" outlineLevel="2">
      <c r="A519" t="s">
        <v>268</v>
      </c>
      <c r="B519" t="s">
        <v>269</v>
      </c>
      <c r="C519" t="s">
        <v>25</v>
      </c>
      <c r="D519" t="s">
        <v>26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1698.1999999999998</v>
      </c>
      <c r="O519" s="4">
        <v>818.92</v>
      </c>
      <c r="P519" s="4">
        <v>0</v>
      </c>
      <c r="Q519" s="4">
        <v>0</v>
      </c>
      <c r="S519" s="8">
        <f t="shared" si="24"/>
        <v>419.52</v>
      </c>
      <c r="T519" s="8">
        <f t="shared" si="25"/>
        <v>-419.52</v>
      </c>
      <c r="U519" s="9">
        <f t="shared" si="26"/>
        <v>-1</v>
      </c>
    </row>
    <row r="520" spans="1:22" outlineLevel="2">
      <c r="A520" t="s">
        <v>268</v>
      </c>
      <c r="B520" t="s">
        <v>269</v>
      </c>
      <c r="C520" t="s">
        <v>27</v>
      </c>
      <c r="D520" t="s">
        <v>28</v>
      </c>
      <c r="E520" s="4">
        <v>159.26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20</v>
      </c>
      <c r="N520" s="4">
        <v>931.69</v>
      </c>
      <c r="O520" s="4">
        <v>492.97</v>
      </c>
      <c r="P520" s="4">
        <v>0</v>
      </c>
      <c r="Q520" s="4">
        <v>0</v>
      </c>
      <c r="S520" s="8">
        <f t="shared" si="24"/>
        <v>240.77666666666667</v>
      </c>
      <c r="T520" s="8">
        <f t="shared" si="25"/>
        <v>-240.77666666666667</v>
      </c>
      <c r="U520" s="9">
        <f t="shared" si="26"/>
        <v>-1</v>
      </c>
    </row>
    <row r="521" spans="1:22" outlineLevel="2">
      <c r="A521" t="s">
        <v>268</v>
      </c>
      <c r="B521" t="s">
        <v>269</v>
      </c>
      <c r="C521" t="s">
        <v>136</v>
      </c>
      <c r="D521" t="s">
        <v>137</v>
      </c>
      <c r="E521" s="4">
        <v>92001.46</v>
      </c>
      <c r="F521" s="4">
        <v>85689.290000000008</v>
      </c>
      <c r="G521" s="4">
        <v>102350.31</v>
      </c>
      <c r="H521" s="4">
        <v>73345.849999999991</v>
      </c>
      <c r="I521" s="4">
        <v>66737.600000000006</v>
      </c>
      <c r="J521" s="4">
        <v>72537.920000000013</v>
      </c>
      <c r="K521" s="4">
        <v>84073.09</v>
      </c>
      <c r="L521" s="4">
        <v>87817.609999999986</v>
      </c>
      <c r="M521" s="4">
        <v>85662.669999999984</v>
      </c>
      <c r="N521" s="4">
        <v>81397.09</v>
      </c>
      <c r="O521" s="4">
        <v>72475.88</v>
      </c>
      <c r="P521" s="4">
        <v>74891.73000000001</v>
      </c>
      <c r="Q521" s="4">
        <v>74891.77</v>
      </c>
      <c r="R521" s="4">
        <v>67644.160000000003</v>
      </c>
      <c r="S521" s="8">
        <f t="shared" si="24"/>
        <v>79522.791666666672</v>
      </c>
      <c r="T521" s="8">
        <f t="shared" si="25"/>
        <v>-11878.631666666668</v>
      </c>
      <c r="U521" s="9">
        <f t="shared" si="26"/>
        <v>-0.14937392686687831</v>
      </c>
      <c r="V521" t="s">
        <v>896</v>
      </c>
    </row>
    <row r="522" spans="1:22" outlineLevel="2">
      <c r="A522" t="s">
        <v>268</v>
      </c>
      <c r="B522" t="s">
        <v>269</v>
      </c>
      <c r="C522" t="s">
        <v>142</v>
      </c>
      <c r="D522" t="s">
        <v>143</v>
      </c>
      <c r="E522" s="4">
        <v>0</v>
      </c>
      <c r="F522" s="4">
        <v>7500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7500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S522" s="8">
        <f t="shared" si="24"/>
        <v>1250</v>
      </c>
      <c r="T522" s="8">
        <f t="shared" si="25"/>
        <v>-1250</v>
      </c>
      <c r="U522" s="9">
        <f t="shared" si="26"/>
        <v>-1</v>
      </c>
    </row>
    <row r="523" spans="1:22" outlineLevel="2">
      <c r="A523" t="s">
        <v>268</v>
      </c>
      <c r="B523" t="s">
        <v>269</v>
      </c>
      <c r="C523" t="s">
        <v>144</v>
      </c>
      <c r="D523" t="s">
        <v>145</v>
      </c>
      <c r="E523" s="4">
        <v>18298.439999999999</v>
      </c>
      <c r="F523" s="4">
        <v>3341.3399999999983</v>
      </c>
      <c r="G523" s="4">
        <v>16569.280000000002</v>
      </c>
      <c r="H523" s="4">
        <v>7618.739999999998</v>
      </c>
      <c r="I523" s="4">
        <v>15600.86</v>
      </c>
      <c r="J523" s="4">
        <v>3576.8500000000004</v>
      </c>
      <c r="K523" s="4">
        <v>12606.51</v>
      </c>
      <c r="L523" s="4">
        <v>12449.49</v>
      </c>
      <c r="M523" s="4">
        <v>13990.039999999999</v>
      </c>
      <c r="N523" s="4">
        <v>11281.83</v>
      </c>
      <c r="O523" s="4">
        <v>9436.0099999999984</v>
      </c>
      <c r="P523" s="4">
        <v>10047</v>
      </c>
      <c r="Q523" s="4">
        <v>16241.610000000004</v>
      </c>
      <c r="R523" s="4">
        <v>2460.2000000000007</v>
      </c>
      <c r="S523" s="8">
        <f t="shared" si="24"/>
        <v>12240.996666666666</v>
      </c>
      <c r="T523" s="8">
        <f t="shared" si="25"/>
        <v>-9780.7966666666653</v>
      </c>
      <c r="U523" s="9">
        <f t="shared" si="26"/>
        <v>-0.79901963320524816</v>
      </c>
    </row>
    <row r="524" spans="1:22" outlineLevel="2">
      <c r="A524" t="s">
        <v>268</v>
      </c>
      <c r="B524" t="s">
        <v>269</v>
      </c>
      <c r="C524" t="s">
        <v>146</v>
      </c>
      <c r="D524" t="s">
        <v>147</v>
      </c>
      <c r="E524" s="4">
        <v>8413.92</v>
      </c>
      <c r="F524" s="4">
        <v>8931.82</v>
      </c>
      <c r="G524" s="4">
        <v>6764.5</v>
      </c>
      <c r="H524" s="4">
        <v>3351.5399999999995</v>
      </c>
      <c r="I524" s="4">
        <v>7484.25</v>
      </c>
      <c r="J524" s="4">
        <v>6716.0399999999991</v>
      </c>
      <c r="K524" s="4">
        <v>9649.7999999999993</v>
      </c>
      <c r="L524" s="4">
        <v>8404.07</v>
      </c>
      <c r="M524" s="4">
        <v>20280.21</v>
      </c>
      <c r="N524" s="4">
        <v>8139.7199999999993</v>
      </c>
      <c r="O524" s="4">
        <v>4978.3799999999992</v>
      </c>
      <c r="P524" s="4">
        <v>6354.57</v>
      </c>
      <c r="Q524" s="4">
        <v>7489.2199999999984</v>
      </c>
      <c r="R524" s="4">
        <v>6764.44</v>
      </c>
      <c r="S524" s="8">
        <f t="shared" si="24"/>
        <v>9274.3616666666658</v>
      </c>
      <c r="T524" s="8">
        <f t="shared" si="25"/>
        <v>-2509.9216666666662</v>
      </c>
      <c r="U524" s="9">
        <f t="shared" si="26"/>
        <v>-0.27063012602664294</v>
      </c>
    </row>
    <row r="525" spans="1:22" outlineLevel="2">
      <c r="A525" t="s">
        <v>268</v>
      </c>
      <c r="B525" t="s">
        <v>269</v>
      </c>
      <c r="C525" t="s">
        <v>148</v>
      </c>
      <c r="D525" t="s">
        <v>149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1.0000000000218279E-2</v>
      </c>
      <c r="N525" s="4">
        <v>7083.33</v>
      </c>
      <c r="O525" s="4">
        <v>-7083.33</v>
      </c>
      <c r="P525" s="4">
        <v>7083.33</v>
      </c>
      <c r="Q525" s="4">
        <v>7083.33</v>
      </c>
      <c r="R525" s="4">
        <v>7083.33</v>
      </c>
      <c r="S525" s="8">
        <f t="shared" si="24"/>
        <v>2361.1116666666667</v>
      </c>
      <c r="T525" s="8">
        <f t="shared" si="25"/>
        <v>4722.2183333333332</v>
      </c>
      <c r="U525" s="9">
        <f t="shared" si="26"/>
        <v>1.9999978823534394</v>
      </c>
    </row>
    <row r="526" spans="1:22" outlineLevel="2">
      <c r="A526" t="s">
        <v>268</v>
      </c>
      <c r="B526" t="s">
        <v>269</v>
      </c>
      <c r="C526" t="s">
        <v>150</v>
      </c>
      <c r="D526" t="s">
        <v>151</v>
      </c>
      <c r="E526" s="4">
        <v>0</v>
      </c>
      <c r="F526" s="4">
        <v>29316</v>
      </c>
      <c r="G526" s="4">
        <v>5863.1999999999971</v>
      </c>
      <c r="H526" s="4">
        <v>27379.1</v>
      </c>
      <c r="I526" s="4">
        <v>27369.260000000002</v>
      </c>
      <c r="J526" s="4">
        <v>18141.91</v>
      </c>
      <c r="K526" s="4">
        <v>24302.9</v>
      </c>
      <c r="L526" s="4">
        <v>24302.9</v>
      </c>
      <c r="M526" s="4">
        <v>24302.9</v>
      </c>
      <c r="N526" s="4">
        <v>21096.46</v>
      </c>
      <c r="O526" s="4">
        <v>21096.46</v>
      </c>
      <c r="P526" s="4">
        <v>21096.46</v>
      </c>
      <c r="Q526" s="4">
        <v>16597.310000000001</v>
      </c>
      <c r="R526" s="4">
        <v>11127.669999999998</v>
      </c>
      <c r="S526" s="8">
        <f t="shared" si="24"/>
        <v>21415.414999999997</v>
      </c>
      <c r="T526" s="8">
        <f t="shared" si="25"/>
        <v>-10287.744999999999</v>
      </c>
      <c r="U526" s="9">
        <f t="shared" si="26"/>
        <v>-0.48038970993557678</v>
      </c>
    </row>
    <row r="527" spans="1:22" outlineLevel="2">
      <c r="A527" t="s">
        <v>268</v>
      </c>
      <c r="B527" t="s">
        <v>269</v>
      </c>
      <c r="C527" t="s">
        <v>152</v>
      </c>
      <c r="D527" t="s">
        <v>153</v>
      </c>
      <c r="E527" s="4">
        <v>6873.34</v>
      </c>
      <c r="F527" s="4">
        <v>6991.95</v>
      </c>
      <c r="G527" s="4">
        <v>18246.68</v>
      </c>
      <c r="H527" s="4">
        <v>3215.1299999999992</v>
      </c>
      <c r="I527" s="4">
        <v>3443.5200000000004</v>
      </c>
      <c r="J527" s="4">
        <v>5593.16</v>
      </c>
      <c r="K527" s="4">
        <v>6154.38</v>
      </c>
      <c r="L527" s="4">
        <v>4865.63</v>
      </c>
      <c r="M527" s="4">
        <v>4919.4799999999996</v>
      </c>
      <c r="N527" s="4">
        <v>4512.01</v>
      </c>
      <c r="O527" s="4">
        <v>3919.1400000000003</v>
      </c>
      <c r="P527" s="4">
        <v>4891.0300000000007</v>
      </c>
      <c r="Q527" s="4">
        <v>5533.34</v>
      </c>
      <c r="R527" s="4">
        <v>25825.19</v>
      </c>
      <c r="S527" s="8">
        <f t="shared" si="24"/>
        <v>4773.4383333333335</v>
      </c>
      <c r="T527" s="8">
        <f t="shared" si="25"/>
        <v>21051.751666666663</v>
      </c>
      <c r="U527" s="9">
        <f t="shared" si="26"/>
        <v>4.4101861586145272</v>
      </c>
      <c r="V527" t="s">
        <v>896</v>
      </c>
    </row>
    <row r="528" spans="1:22" outlineLevel="2">
      <c r="A528" t="s">
        <v>268</v>
      </c>
      <c r="B528" t="s">
        <v>269</v>
      </c>
      <c r="C528" t="s">
        <v>154</v>
      </c>
      <c r="D528" t="s">
        <v>155</v>
      </c>
      <c r="E528" s="4">
        <v>728</v>
      </c>
      <c r="F528" s="4">
        <v>0</v>
      </c>
      <c r="G528" s="4">
        <v>0</v>
      </c>
      <c r="H528" s="4">
        <v>91</v>
      </c>
      <c r="I528" s="4">
        <v>0</v>
      </c>
      <c r="J528" s="4">
        <v>0</v>
      </c>
      <c r="K528" s="4">
        <v>0</v>
      </c>
      <c r="L528" s="4">
        <v>62.89</v>
      </c>
      <c r="M528" s="4">
        <v>28.11</v>
      </c>
      <c r="N528" s="4">
        <v>0</v>
      </c>
      <c r="O528" s="4">
        <v>0</v>
      </c>
      <c r="P528" s="4">
        <v>0</v>
      </c>
      <c r="Q528" s="4">
        <v>546</v>
      </c>
      <c r="S528" s="8">
        <f t="shared" si="24"/>
        <v>106.16666666666667</v>
      </c>
      <c r="T528" s="8">
        <f t="shared" si="25"/>
        <v>-106.16666666666667</v>
      </c>
      <c r="U528" s="9">
        <f t="shared" si="26"/>
        <v>-1</v>
      </c>
    </row>
    <row r="529" spans="1:22" outlineLevel="2">
      <c r="A529" t="s">
        <v>268</v>
      </c>
      <c r="B529" t="s">
        <v>269</v>
      </c>
      <c r="C529" t="s">
        <v>158</v>
      </c>
      <c r="D529" t="s">
        <v>159</v>
      </c>
      <c r="E529" s="4">
        <v>17666.669999999998</v>
      </c>
      <c r="F529" s="4">
        <v>17667</v>
      </c>
      <c r="G529" s="4">
        <v>1528.3800000000047</v>
      </c>
      <c r="H529" s="4">
        <v>18398.84</v>
      </c>
      <c r="I529" s="4">
        <v>17667</v>
      </c>
      <c r="J529" s="4">
        <v>-27364.45</v>
      </c>
      <c r="K529" s="4">
        <v>17667</v>
      </c>
      <c r="L529" s="4">
        <v>17667</v>
      </c>
      <c r="M529" s="4">
        <v>3640.6800000000003</v>
      </c>
      <c r="N529" s="4">
        <v>17667</v>
      </c>
      <c r="O529" s="4">
        <v>17667</v>
      </c>
      <c r="P529" s="4">
        <v>-4984.0999999999985</v>
      </c>
      <c r="Q529" s="4">
        <v>17666.669999999998</v>
      </c>
      <c r="R529" s="4">
        <v>17666.669999999998</v>
      </c>
      <c r="S529" s="8">
        <f t="shared" si="24"/>
        <v>11554.041666666666</v>
      </c>
      <c r="T529" s="8">
        <f t="shared" si="25"/>
        <v>6112.6283333333322</v>
      </c>
      <c r="U529" s="9">
        <f t="shared" si="26"/>
        <v>0.52904676213590474</v>
      </c>
    </row>
    <row r="530" spans="1:22" outlineLevel="2">
      <c r="A530" t="s">
        <v>268</v>
      </c>
      <c r="B530" t="s">
        <v>269</v>
      </c>
      <c r="C530" t="s">
        <v>160</v>
      </c>
      <c r="D530" t="s">
        <v>161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2730.96</v>
      </c>
      <c r="N530" s="4">
        <v>0</v>
      </c>
      <c r="O530" s="4">
        <v>0</v>
      </c>
      <c r="P530" s="4">
        <v>87.96</v>
      </c>
      <c r="Q530" s="4">
        <v>0</v>
      </c>
      <c r="S530" s="8">
        <f t="shared" si="24"/>
        <v>469.82</v>
      </c>
      <c r="T530" s="8">
        <f t="shared" si="25"/>
        <v>-469.82</v>
      </c>
      <c r="U530" s="9">
        <f t="shared" si="26"/>
        <v>-1</v>
      </c>
    </row>
    <row r="531" spans="1:22" outlineLevel="2">
      <c r="A531" t="s">
        <v>268</v>
      </c>
      <c r="B531" t="s">
        <v>269</v>
      </c>
      <c r="C531" t="s">
        <v>234</v>
      </c>
      <c r="D531" t="s">
        <v>235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170998.43</v>
      </c>
      <c r="R531" s="4">
        <v>170998.42999999996</v>
      </c>
      <c r="S531" s="8">
        <f t="shared" si="24"/>
        <v>28499.738333333331</v>
      </c>
      <c r="T531" s="8">
        <f t="shared" si="25"/>
        <v>142498.69166666662</v>
      </c>
      <c r="U531" s="9">
        <f t="shared" si="26"/>
        <v>4.9999999999999991</v>
      </c>
      <c r="V531" t="s">
        <v>896</v>
      </c>
    </row>
    <row r="532" spans="1:22" outlineLevel="2">
      <c r="A532" t="s">
        <v>268</v>
      </c>
      <c r="B532" t="s">
        <v>269</v>
      </c>
      <c r="C532" t="s">
        <v>51</v>
      </c>
      <c r="D532" t="s">
        <v>52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40</v>
      </c>
      <c r="M532" s="4">
        <v>2150</v>
      </c>
      <c r="N532" s="4">
        <v>0</v>
      </c>
      <c r="O532" s="4">
        <v>0</v>
      </c>
      <c r="P532" s="4">
        <v>0</v>
      </c>
      <c r="Q532" s="4">
        <v>0</v>
      </c>
      <c r="S532" s="8">
        <f t="shared" si="24"/>
        <v>365</v>
      </c>
      <c r="T532" s="8">
        <f t="shared" si="25"/>
        <v>-365</v>
      </c>
      <c r="U532" s="9">
        <f t="shared" si="26"/>
        <v>-1</v>
      </c>
    </row>
    <row r="533" spans="1:22" outlineLevel="2">
      <c r="A533" t="s">
        <v>268</v>
      </c>
      <c r="B533" t="s">
        <v>269</v>
      </c>
      <c r="C533" t="s">
        <v>164</v>
      </c>
      <c r="D533" t="s">
        <v>165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35</v>
      </c>
      <c r="K533" s="4">
        <v>70</v>
      </c>
      <c r="L533" s="4">
        <v>105</v>
      </c>
      <c r="M533" s="4">
        <v>70</v>
      </c>
      <c r="N533" s="4">
        <v>70</v>
      </c>
      <c r="O533" s="4">
        <v>70</v>
      </c>
      <c r="P533" s="4">
        <v>70</v>
      </c>
      <c r="Q533" s="4">
        <v>245</v>
      </c>
      <c r="R533" s="4">
        <v>210</v>
      </c>
      <c r="S533" s="8">
        <f t="shared" si="24"/>
        <v>105</v>
      </c>
      <c r="T533" s="8">
        <f t="shared" si="25"/>
        <v>105</v>
      </c>
      <c r="U533" s="9">
        <f t="shared" si="26"/>
        <v>1</v>
      </c>
    </row>
    <row r="534" spans="1:22" outlineLevel="2">
      <c r="A534" t="s">
        <v>268</v>
      </c>
      <c r="B534" t="s">
        <v>269</v>
      </c>
      <c r="C534" t="s">
        <v>196</v>
      </c>
      <c r="D534" t="s">
        <v>197</v>
      </c>
      <c r="E534" s="4">
        <v>0</v>
      </c>
      <c r="F534" s="4">
        <v>0</v>
      </c>
      <c r="G534" s="4">
        <v>-2.2737367544323206E-13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S534" s="8">
        <f t="shared" si="24"/>
        <v>0</v>
      </c>
      <c r="T534" s="8">
        <f t="shared" si="25"/>
        <v>0</v>
      </c>
      <c r="U534" s="9" t="e">
        <f t="shared" si="26"/>
        <v>#DIV/0!</v>
      </c>
    </row>
    <row r="535" spans="1:22" outlineLevel="2">
      <c r="A535" t="s">
        <v>268</v>
      </c>
      <c r="B535" t="s">
        <v>269</v>
      </c>
      <c r="C535" t="s">
        <v>83</v>
      </c>
      <c r="D535" t="s">
        <v>84</v>
      </c>
      <c r="E535" s="4">
        <v>2739.58</v>
      </c>
      <c r="F535" s="4">
        <v>2739.58</v>
      </c>
      <c r="G535" s="4">
        <v>2739.58</v>
      </c>
      <c r="H535" s="4">
        <v>2739.58</v>
      </c>
      <c r="I535" s="4">
        <v>2739.58</v>
      </c>
      <c r="J535" s="4">
        <v>2739.58</v>
      </c>
      <c r="K535" s="4">
        <v>2739.58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1371.88</v>
      </c>
      <c r="S535" s="8">
        <f t="shared" si="24"/>
        <v>228.64666666666668</v>
      </c>
      <c r="T535" s="8">
        <f t="shared" si="25"/>
        <v>-228.64666666666668</v>
      </c>
      <c r="U535" s="9">
        <f t="shared" si="26"/>
        <v>-1</v>
      </c>
    </row>
    <row r="536" spans="1:22" outlineLevel="2">
      <c r="A536" t="s">
        <v>268</v>
      </c>
      <c r="B536" t="s">
        <v>269</v>
      </c>
      <c r="C536" t="s">
        <v>89</v>
      </c>
      <c r="D536" t="s">
        <v>90</v>
      </c>
      <c r="E536" s="4">
        <v>8663.7900000000009</v>
      </c>
      <c r="F536" s="4">
        <v>6422.5599999999995</v>
      </c>
      <c r="G536" s="4">
        <v>8636.56</v>
      </c>
      <c r="H536" s="4">
        <v>5638.2099999999991</v>
      </c>
      <c r="I536" s="4">
        <v>7898.5599999999995</v>
      </c>
      <c r="J536" s="4">
        <v>7160.5599999999995</v>
      </c>
      <c r="K536" s="4">
        <v>17731.89</v>
      </c>
      <c r="L536" s="4">
        <v>10776.73</v>
      </c>
      <c r="M536" s="4">
        <v>11515.73</v>
      </c>
      <c r="N536" s="4">
        <v>11544.73</v>
      </c>
      <c r="O536" s="4">
        <v>11544.73</v>
      </c>
      <c r="P536" s="4">
        <v>10601.33</v>
      </c>
      <c r="Q536" s="4">
        <v>10776.73</v>
      </c>
      <c r="R536" s="4">
        <v>10776.73</v>
      </c>
      <c r="S536" s="8">
        <f t="shared" si="24"/>
        <v>11126.663333333332</v>
      </c>
      <c r="T536" s="8">
        <f t="shared" si="25"/>
        <v>-349.93333333333248</v>
      </c>
      <c r="U536" s="9">
        <f t="shared" si="26"/>
        <v>-3.1449979463744525E-2</v>
      </c>
    </row>
    <row r="537" spans="1:22" outlineLevel="2">
      <c r="A537" t="s">
        <v>268</v>
      </c>
      <c r="B537" t="s">
        <v>269</v>
      </c>
      <c r="C537" t="s">
        <v>166</v>
      </c>
      <c r="D537" t="s">
        <v>167</v>
      </c>
      <c r="E537" s="4">
        <v>17500</v>
      </c>
      <c r="F537" s="4">
        <v>9666.67</v>
      </c>
      <c r="G537" s="4">
        <v>29333.37</v>
      </c>
      <c r="H537" s="4">
        <v>19500</v>
      </c>
      <c r="I537" s="4">
        <v>9833.33</v>
      </c>
      <c r="J537" s="4">
        <v>29500.03</v>
      </c>
      <c r="K537" s="4">
        <v>9833.33</v>
      </c>
      <c r="L537" s="4">
        <v>9833.33</v>
      </c>
      <c r="M537" s="4">
        <v>9833.33</v>
      </c>
      <c r="N537" s="4">
        <v>9833.33</v>
      </c>
      <c r="O537" s="4">
        <v>9833.33</v>
      </c>
      <c r="P537" s="4">
        <v>9833.33</v>
      </c>
      <c r="Q537" s="4">
        <v>15862.94</v>
      </c>
      <c r="R537" s="4">
        <v>6029.6100000000006</v>
      </c>
      <c r="S537" s="8">
        <f t="shared" si="24"/>
        <v>10838.265000000001</v>
      </c>
      <c r="T537" s="8">
        <f t="shared" si="25"/>
        <v>-4808.6550000000007</v>
      </c>
      <c r="U537" s="9">
        <f t="shared" si="26"/>
        <v>-0.44367387215573711</v>
      </c>
    </row>
    <row r="538" spans="1:22" outlineLevel="2">
      <c r="A538" t="s">
        <v>268</v>
      </c>
      <c r="B538" t="s">
        <v>269</v>
      </c>
      <c r="C538" t="s">
        <v>93</v>
      </c>
      <c r="D538" t="s">
        <v>94</v>
      </c>
      <c r="E538" s="4">
        <v>183.85</v>
      </c>
      <c r="F538" s="4">
        <v>0</v>
      </c>
      <c r="G538" s="4">
        <v>0</v>
      </c>
      <c r="H538" s="4">
        <v>0</v>
      </c>
      <c r="I538" s="4">
        <v>0</v>
      </c>
      <c r="J538" s="4">
        <v>550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S538" s="8">
        <f t="shared" si="24"/>
        <v>0</v>
      </c>
      <c r="T538" s="8">
        <f t="shared" si="25"/>
        <v>0</v>
      </c>
      <c r="U538" s="9" t="e">
        <f t="shared" si="26"/>
        <v>#DIV/0!</v>
      </c>
    </row>
    <row r="539" spans="1:22" outlineLevel="2">
      <c r="A539" t="s">
        <v>268</v>
      </c>
      <c r="B539" t="s">
        <v>269</v>
      </c>
      <c r="C539" t="s">
        <v>168</v>
      </c>
      <c r="D539" t="s">
        <v>169</v>
      </c>
      <c r="E539" s="4">
        <v>0</v>
      </c>
      <c r="F539" s="4">
        <v>0</v>
      </c>
      <c r="G539" s="4">
        <v>4824.84</v>
      </c>
      <c r="H539" s="4">
        <v>0</v>
      </c>
      <c r="I539" s="4">
        <v>5299.39</v>
      </c>
      <c r="J539" s="4">
        <v>0</v>
      </c>
      <c r="K539" s="4">
        <v>-518</v>
      </c>
      <c r="L539" s="4">
        <v>16315</v>
      </c>
      <c r="M539" s="4">
        <v>2599.119999999999</v>
      </c>
      <c r="N539" s="4">
        <v>-10830.060000000001</v>
      </c>
      <c r="O539" s="4">
        <v>6876.24</v>
      </c>
      <c r="P539" s="4">
        <v>70655.39</v>
      </c>
      <c r="Q539" s="4">
        <v>1.4551915228366852E-11</v>
      </c>
      <c r="R539" s="4">
        <v>15525.670000000009</v>
      </c>
      <c r="S539" s="8">
        <f t="shared" si="24"/>
        <v>14269.281666666669</v>
      </c>
      <c r="T539" s="8">
        <f t="shared" si="25"/>
        <v>1256.3883333333397</v>
      </c>
      <c r="U539" s="9">
        <f t="shared" si="26"/>
        <v>8.8048464014014685E-2</v>
      </c>
    </row>
    <row r="540" spans="1:22" outlineLevel="2">
      <c r="A540" t="s">
        <v>268</v>
      </c>
      <c r="B540" t="s">
        <v>269</v>
      </c>
      <c r="C540" t="s">
        <v>99</v>
      </c>
      <c r="D540" t="s">
        <v>100</v>
      </c>
      <c r="E540" s="4">
        <v>135.65</v>
      </c>
      <c r="F540" s="4">
        <v>154.97999999999999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-0.48999999999998067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S540" s="8">
        <f t="shared" si="24"/>
        <v>-8.1666666666663446E-2</v>
      </c>
      <c r="T540" s="8">
        <f t="shared" si="25"/>
        <v>8.1666666666663446E-2</v>
      </c>
      <c r="U540" s="9">
        <f t="shared" si="26"/>
        <v>-1</v>
      </c>
    </row>
    <row r="541" spans="1:22" outlineLevel="2">
      <c r="A541" t="s">
        <v>268</v>
      </c>
      <c r="B541" t="s">
        <v>269</v>
      </c>
      <c r="C541" t="s">
        <v>101</v>
      </c>
      <c r="D541" t="s">
        <v>102</v>
      </c>
      <c r="E541" s="4">
        <v>20802.2</v>
      </c>
      <c r="F541" s="4">
        <v>58760.850000000006</v>
      </c>
      <c r="G541" s="4">
        <v>35060</v>
      </c>
      <c r="H541" s="4">
        <v>16326.660000000003</v>
      </c>
      <c r="I541" s="4">
        <v>40763.06</v>
      </c>
      <c r="J541" s="4">
        <v>82624.200000000012</v>
      </c>
      <c r="K541" s="4">
        <v>24514.800000000025</v>
      </c>
      <c r="L541" s="4">
        <v>0</v>
      </c>
      <c r="M541" s="4">
        <v>22051.23</v>
      </c>
      <c r="N541" s="4">
        <v>18072.53</v>
      </c>
      <c r="O541" s="4">
        <v>6029.6100000000006</v>
      </c>
      <c r="P541" s="4">
        <v>31341.61</v>
      </c>
      <c r="Q541" s="4">
        <v>-9.0949470177292824E-13</v>
      </c>
      <c r="R541" s="4">
        <v>57250.900000000009</v>
      </c>
      <c r="S541" s="8">
        <f t="shared" si="24"/>
        <v>12915.83</v>
      </c>
      <c r="T541" s="8">
        <f t="shared" si="25"/>
        <v>44335.070000000007</v>
      </c>
      <c r="U541" s="9">
        <f t="shared" si="26"/>
        <v>3.4326148609884157</v>
      </c>
      <c r="V541" t="s">
        <v>896</v>
      </c>
    </row>
    <row r="542" spans="1:22" outlineLevel="2">
      <c r="A542" t="s">
        <v>268</v>
      </c>
      <c r="B542" t="s">
        <v>269</v>
      </c>
      <c r="C542" t="s">
        <v>103</v>
      </c>
      <c r="D542" t="s">
        <v>104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14166.66</v>
      </c>
      <c r="N542" s="4">
        <v>0</v>
      </c>
      <c r="O542" s="4">
        <v>0</v>
      </c>
      <c r="P542" s="4">
        <v>0</v>
      </c>
      <c r="Q542" s="4">
        <v>0</v>
      </c>
      <c r="S542" s="8">
        <f t="shared" si="24"/>
        <v>2361.11</v>
      </c>
      <c r="T542" s="8">
        <f t="shared" si="25"/>
        <v>-2361.11</v>
      </c>
      <c r="U542" s="9">
        <f t="shared" si="26"/>
        <v>-1</v>
      </c>
    </row>
    <row r="543" spans="1:22" outlineLevel="2">
      <c r="A543" t="s">
        <v>268</v>
      </c>
      <c r="B543" t="s">
        <v>269</v>
      </c>
      <c r="C543" t="s">
        <v>111</v>
      </c>
      <c r="D543" t="s">
        <v>112</v>
      </c>
      <c r="E543" s="4">
        <v>0</v>
      </c>
      <c r="F543" s="4">
        <v>0</v>
      </c>
      <c r="G543" s="4">
        <v>5616</v>
      </c>
      <c r="H543" s="4">
        <v>-1980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160146.43</v>
      </c>
      <c r="S543" s="8">
        <f t="shared" si="24"/>
        <v>0</v>
      </c>
      <c r="T543" s="8">
        <f t="shared" si="25"/>
        <v>160146.43</v>
      </c>
      <c r="U543" s="9" t="e">
        <f t="shared" si="26"/>
        <v>#DIV/0!</v>
      </c>
      <c r="V543" t="s">
        <v>895</v>
      </c>
    </row>
    <row r="544" spans="1:22" outlineLevel="2">
      <c r="A544" t="s">
        <v>268</v>
      </c>
      <c r="B544" t="s">
        <v>269</v>
      </c>
      <c r="C544" t="s">
        <v>170</v>
      </c>
      <c r="D544" t="s">
        <v>171</v>
      </c>
      <c r="E544" s="4">
        <v>540</v>
      </c>
      <c r="F544" s="4">
        <v>360</v>
      </c>
      <c r="G544" s="4">
        <v>360</v>
      </c>
      <c r="H544" s="4">
        <v>270</v>
      </c>
      <c r="I544" s="4">
        <v>180</v>
      </c>
      <c r="J544" s="4">
        <v>180</v>
      </c>
      <c r="K544" s="4">
        <v>180</v>
      </c>
      <c r="L544" s="4">
        <v>270</v>
      </c>
      <c r="M544" s="4">
        <v>180</v>
      </c>
      <c r="N544" s="4">
        <v>180</v>
      </c>
      <c r="O544" s="4">
        <v>180</v>
      </c>
      <c r="P544" s="4">
        <v>180</v>
      </c>
      <c r="Q544" s="4">
        <v>90</v>
      </c>
      <c r="S544" s="8">
        <f t="shared" si="24"/>
        <v>180</v>
      </c>
      <c r="T544" s="8">
        <f t="shared" si="25"/>
        <v>-180</v>
      </c>
      <c r="U544" s="9">
        <f t="shared" si="26"/>
        <v>-1</v>
      </c>
    </row>
    <row r="545" spans="1:22" outlineLevel="2">
      <c r="A545" t="s">
        <v>268</v>
      </c>
      <c r="B545" t="s">
        <v>269</v>
      </c>
      <c r="C545" t="s">
        <v>186</v>
      </c>
      <c r="D545" t="s">
        <v>187</v>
      </c>
      <c r="E545" s="4">
        <v>42318.239999999991</v>
      </c>
      <c r="F545" s="4">
        <v>40482.58</v>
      </c>
      <c r="G545" s="4">
        <v>32355.390000000007</v>
      </c>
      <c r="H545" s="4">
        <v>47209.27</v>
      </c>
      <c r="I545" s="4">
        <v>31076.61</v>
      </c>
      <c r="J545" s="4">
        <v>46263.08</v>
      </c>
      <c r="K545" s="4">
        <v>33170.080000000002</v>
      </c>
      <c r="L545" s="4">
        <v>48887.97</v>
      </c>
      <c r="M545" s="4">
        <v>38556.129999999997</v>
      </c>
      <c r="N545" s="4">
        <v>94174.64</v>
      </c>
      <c r="O545" s="4">
        <v>260008.35000000003</v>
      </c>
      <c r="P545" s="4">
        <v>-34249.969999999994</v>
      </c>
      <c r="Q545" s="4">
        <v>25677.399999999998</v>
      </c>
      <c r="R545" s="4">
        <v>34178.44</v>
      </c>
      <c r="S545" s="8">
        <f t="shared" si="24"/>
        <v>72175.753333333341</v>
      </c>
      <c r="T545" s="8">
        <f t="shared" si="25"/>
        <v>-37997.313333333339</v>
      </c>
      <c r="U545" s="9">
        <f t="shared" si="26"/>
        <v>-0.52645537564184763</v>
      </c>
      <c r="V545" t="s">
        <v>896</v>
      </c>
    </row>
    <row r="546" spans="1:22" outlineLevel="2">
      <c r="A546" t="s">
        <v>268</v>
      </c>
      <c r="B546" t="s">
        <v>269</v>
      </c>
      <c r="C546" t="s">
        <v>270</v>
      </c>
      <c r="D546" t="s">
        <v>271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-4281.12</v>
      </c>
      <c r="O546" s="4">
        <v>0</v>
      </c>
      <c r="P546" s="4">
        <v>0</v>
      </c>
      <c r="Q546" s="4">
        <v>0</v>
      </c>
      <c r="S546" s="8">
        <f t="shared" si="24"/>
        <v>-713.52</v>
      </c>
      <c r="T546" s="8">
        <f t="shared" si="25"/>
        <v>713.52</v>
      </c>
      <c r="U546" s="9">
        <f t="shared" si="26"/>
        <v>-1</v>
      </c>
    </row>
    <row r="547" spans="1:22" outlineLevel="2">
      <c r="A547" t="s">
        <v>268</v>
      </c>
      <c r="B547" t="s">
        <v>269</v>
      </c>
      <c r="C547" t="s">
        <v>127</v>
      </c>
      <c r="D547" t="s">
        <v>120</v>
      </c>
      <c r="E547" s="4">
        <v>0</v>
      </c>
      <c r="F547" s="4">
        <v>0</v>
      </c>
      <c r="G547" s="4">
        <v>147000</v>
      </c>
      <c r="H547" s="4">
        <v>0</v>
      </c>
      <c r="I547" s="4">
        <v>0</v>
      </c>
      <c r="J547" s="4">
        <v>18750</v>
      </c>
      <c r="K547" s="4">
        <v>56250</v>
      </c>
      <c r="L547" s="4">
        <v>0</v>
      </c>
      <c r="M547" s="4">
        <v>0</v>
      </c>
      <c r="N547" s="4">
        <v>0</v>
      </c>
      <c r="O547" s="4">
        <v>14180.07</v>
      </c>
      <c r="P547" s="4">
        <v>0</v>
      </c>
      <c r="Q547" s="4">
        <v>57.39</v>
      </c>
      <c r="S547" s="8">
        <f t="shared" si="24"/>
        <v>2372.91</v>
      </c>
      <c r="T547" s="8">
        <f t="shared" si="25"/>
        <v>-2372.91</v>
      </c>
      <c r="U547" s="9">
        <f t="shared" si="26"/>
        <v>-1</v>
      </c>
    </row>
    <row r="548" spans="1:22" outlineLevel="1">
      <c r="A548" s="1" t="s">
        <v>705</v>
      </c>
      <c r="E548" s="4">
        <f>SUBTOTAL(9,E517:E547)</f>
        <v>238177.91999999998</v>
      </c>
      <c r="F548" s="4">
        <f>SUBTOTAL(9,F517:F547)</f>
        <v>278112.49000000005</v>
      </c>
      <c r="G548" s="4">
        <f>SUBTOTAL(9,G517:G547)</f>
        <v>417773.75</v>
      </c>
      <c r="H548" s="4">
        <f>SUBTOTAL(9,H517:H547)</f>
        <v>223103.91999999995</v>
      </c>
      <c r="I548" s="4">
        <f>SUBTOTAL(9,I517:I547)</f>
        <v>236783.06</v>
      </c>
      <c r="J548" s="4">
        <f>SUBTOTAL(9,J517:J547)</f>
        <v>267779.05000000005</v>
      </c>
      <c r="K548" s="4">
        <f>SUBTOTAL(9,K517:K547)</f>
        <v>299818.03999999998</v>
      </c>
      <c r="L548" s="4">
        <f>SUBTOTAL(9,L517:L547)</f>
        <v>250077.38</v>
      </c>
      <c r="M548" s="4">
        <f>SUBTOTAL(9,M517:M547)</f>
        <v>256697.25999999998</v>
      </c>
      <c r="N548" s="4">
        <f>SUBTOTAL(9,N517:N547)</f>
        <v>273198.55</v>
      </c>
      <c r="O548" s="4">
        <f>SUBTOTAL(9,O517:O547)</f>
        <v>434139.85000000003</v>
      </c>
      <c r="P548" s="4">
        <f>SUBTOTAL(9,P517:P547)</f>
        <v>207899.67</v>
      </c>
      <c r="Q548" s="4">
        <f>SUBTOTAL(9,Q517:Q547)</f>
        <v>371989.81</v>
      </c>
      <c r="R548" s="4">
        <f>SUBTOTAL(9,R517:R547)</f>
        <v>593687.86999999988</v>
      </c>
      <c r="S548" s="8">
        <f t="shared" si="24"/>
        <v>299000.42</v>
      </c>
      <c r="T548" s="8">
        <f t="shared" si="25"/>
        <v>294687.4499999999</v>
      </c>
      <c r="U548" s="9">
        <f t="shared" si="26"/>
        <v>0.98557537143258833</v>
      </c>
      <c r="V548" t="s">
        <v>896</v>
      </c>
    </row>
    <row r="549" spans="1:22" outlineLevel="2">
      <c r="A549" t="s">
        <v>272</v>
      </c>
      <c r="B549" t="s">
        <v>273</v>
      </c>
      <c r="C549" t="s">
        <v>19</v>
      </c>
      <c r="D549" t="s">
        <v>20</v>
      </c>
      <c r="E549" s="4">
        <v>0</v>
      </c>
      <c r="F549" s="4">
        <v>0</v>
      </c>
      <c r="G549" s="4">
        <v>311.14</v>
      </c>
      <c r="H549" s="4">
        <v>2317.8000000000002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2317.8000000000002</v>
      </c>
      <c r="O549" s="4">
        <v>0</v>
      </c>
      <c r="P549" s="4">
        <v>0</v>
      </c>
      <c r="Q549" s="4">
        <v>0</v>
      </c>
      <c r="S549" s="8">
        <f t="shared" si="24"/>
        <v>386.3</v>
      </c>
      <c r="T549" s="8">
        <f t="shared" si="25"/>
        <v>-386.3</v>
      </c>
      <c r="U549" s="9">
        <f t="shared" si="26"/>
        <v>-1</v>
      </c>
    </row>
    <row r="550" spans="1:22" outlineLevel="2">
      <c r="A550" t="s">
        <v>272</v>
      </c>
      <c r="B550" t="s">
        <v>273</v>
      </c>
      <c r="C550" t="s">
        <v>21</v>
      </c>
      <c r="D550" t="s">
        <v>22</v>
      </c>
      <c r="E550" s="4">
        <v>3366.2</v>
      </c>
      <c r="F550" s="4">
        <v>3926.3999999999996</v>
      </c>
      <c r="G550" s="4">
        <v>3173.1200000000003</v>
      </c>
      <c r="H550" s="4">
        <v>4992.76</v>
      </c>
      <c r="I550" s="4">
        <v>3808.2000000000007</v>
      </c>
      <c r="J550" s="4">
        <v>2434.3699999999994</v>
      </c>
      <c r="K550" s="4">
        <v>6571.880000000001</v>
      </c>
      <c r="L550" s="4">
        <v>1874.9699999999982</v>
      </c>
      <c r="M550" s="4">
        <v>6490.7900000000009</v>
      </c>
      <c r="N550" s="4">
        <v>6242.4000000000005</v>
      </c>
      <c r="O550" s="4">
        <v>17488.480000000003</v>
      </c>
      <c r="P550" s="4">
        <v>5414.59</v>
      </c>
      <c r="Q550" s="4">
        <v>2579.5099999999998</v>
      </c>
      <c r="R550" s="4">
        <v>2447.8500000000008</v>
      </c>
      <c r="S550" s="8">
        <f t="shared" si="24"/>
        <v>6681.7900000000009</v>
      </c>
      <c r="T550" s="8">
        <f t="shared" si="25"/>
        <v>-4233.9400000000005</v>
      </c>
      <c r="U550" s="9">
        <f t="shared" si="26"/>
        <v>-0.63365355690615832</v>
      </c>
    </row>
    <row r="551" spans="1:22" outlineLevel="2">
      <c r="A551" t="s">
        <v>272</v>
      </c>
      <c r="B551" t="s">
        <v>273</v>
      </c>
      <c r="C551" t="s">
        <v>23</v>
      </c>
      <c r="D551" t="s">
        <v>24</v>
      </c>
      <c r="E551" s="4">
        <v>5301.34</v>
      </c>
      <c r="F551" s="4">
        <v>10463.74</v>
      </c>
      <c r="G551" s="4">
        <v>8601.27</v>
      </c>
      <c r="H551" s="4">
        <v>6643.3600000000006</v>
      </c>
      <c r="I551" s="4">
        <v>6143.0000000000009</v>
      </c>
      <c r="J551" s="4">
        <v>10150.26</v>
      </c>
      <c r="K551" s="4">
        <v>4431.7999999999993</v>
      </c>
      <c r="L551" s="4">
        <v>9575.1600000000053</v>
      </c>
      <c r="M551" s="4">
        <v>1757.4</v>
      </c>
      <c r="N551" s="4">
        <v>1565.75</v>
      </c>
      <c r="O551" s="4">
        <v>2424.21</v>
      </c>
      <c r="P551" s="4">
        <v>1048.6099999999999</v>
      </c>
      <c r="Q551" s="4">
        <v>1089.73</v>
      </c>
      <c r="R551" s="4">
        <v>549.54999999999995</v>
      </c>
      <c r="S551" s="8">
        <f t="shared" si="24"/>
        <v>2910.1433333333339</v>
      </c>
      <c r="T551" s="8">
        <f t="shared" si="25"/>
        <v>-2360.5933333333342</v>
      </c>
      <c r="U551" s="9">
        <f t="shared" si="26"/>
        <v>-0.81116050412179019</v>
      </c>
    </row>
    <row r="552" spans="1:22" outlineLevel="2">
      <c r="A552" t="s">
        <v>272</v>
      </c>
      <c r="B552" t="s">
        <v>273</v>
      </c>
      <c r="C552" t="s">
        <v>25</v>
      </c>
      <c r="D552" t="s">
        <v>26</v>
      </c>
      <c r="E552" s="4">
        <v>862.67</v>
      </c>
      <c r="F552" s="4">
        <v>3540.47</v>
      </c>
      <c r="G552" s="4">
        <v>650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7017.0799999999936</v>
      </c>
      <c r="N552" s="4">
        <v>3343.4099999999994</v>
      </c>
      <c r="O552" s="4">
        <v>13889.000000000005</v>
      </c>
      <c r="P552" s="4">
        <v>4861.8700000000008</v>
      </c>
      <c r="Q552" s="4">
        <v>4776.7199999999984</v>
      </c>
      <c r="R552" s="4">
        <v>2530.5500000000002</v>
      </c>
      <c r="S552" s="8">
        <f t="shared" si="24"/>
        <v>5648.0133333333333</v>
      </c>
      <c r="T552" s="8">
        <f t="shared" si="25"/>
        <v>-3117.4633333333331</v>
      </c>
      <c r="U552" s="9">
        <f t="shared" si="26"/>
        <v>-0.55195750246104236</v>
      </c>
    </row>
    <row r="553" spans="1:22" outlineLevel="2">
      <c r="A553" t="s">
        <v>272</v>
      </c>
      <c r="B553" t="s">
        <v>273</v>
      </c>
      <c r="C553" t="s">
        <v>27</v>
      </c>
      <c r="D553" t="s">
        <v>28</v>
      </c>
      <c r="E553" s="4">
        <v>2150.6</v>
      </c>
      <c r="F553" s="4">
        <v>1220.96</v>
      </c>
      <c r="G553" s="4">
        <v>1.1368683772161603E-13</v>
      </c>
      <c r="H553" s="4">
        <v>0</v>
      </c>
      <c r="I553" s="4">
        <v>315.18</v>
      </c>
      <c r="J553" s="4">
        <v>0</v>
      </c>
      <c r="K553" s="4">
        <v>6163.2</v>
      </c>
      <c r="L553" s="4">
        <v>1520.11</v>
      </c>
      <c r="M553" s="4">
        <v>12115.619999999999</v>
      </c>
      <c r="N553" s="4">
        <v>6707.5399999999991</v>
      </c>
      <c r="O553" s="4">
        <v>9566.9</v>
      </c>
      <c r="P553" s="4">
        <v>14773.29</v>
      </c>
      <c r="Q553" s="4">
        <v>2659.5799999999995</v>
      </c>
      <c r="R553" s="4">
        <v>4453.03</v>
      </c>
      <c r="S553" s="8">
        <f t="shared" si="24"/>
        <v>7890.5066666666671</v>
      </c>
      <c r="T553" s="8">
        <f t="shared" si="25"/>
        <v>-3437.4766666666674</v>
      </c>
      <c r="U553" s="9">
        <f t="shared" si="26"/>
        <v>-0.43564714053005477</v>
      </c>
    </row>
    <row r="554" spans="1:22" outlineLevel="2">
      <c r="A554" t="s">
        <v>272</v>
      </c>
      <c r="B554" t="s">
        <v>273</v>
      </c>
      <c r="C554" t="s">
        <v>194</v>
      </c>
      <c r="D554" t="s">
        <v>195</v>
      </c>
      <c r="E554" s="4">
        <v>0</v>
      </c>
      <c r="F554" s="4">
        <v>0</v>
      </c>
      <c r="G554" s="4">
        <v>0</v>
      </c>
      <c r="H554" s="4">
        <v>-86.67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1202.22</v>
      </c>
      <c r="P554" s="4">
        <v>0</v>
      </c>
      <c r="Q554" s="4">
        <v>0</v>
      </c>
      <c r="S554" s="8">
        <f t="shared" si="24"/>
        <v>200.37</v>
      </c>
      <c r="T554" s="8">
        <f t="shared" si="25"/>
        <v>-200.37</v>
      </c>
      <c r="U554" s="9">
        <f t="shared" si="26"/>
        <v>-1</v>
      </c>
    </row>
    <row r="555" spans="1:22" outlineLevel="2">
      <c r="A555" t="s">
        <v>272</v>
      </c>
      <c r="B555" t="s">
        <v>273</v>
      </c>
      <c r="C555" t="s">
        <v>136</v>
      </c>
      <c r="D555" t="s">
        <v>137</v>
      </c>
      <c r="E555" s="4">
        <v>545818.17999999993</v>
      </c>
      <c r="F555" s="4">
        <v>504958.30000000005</v>
      </c>
      <c r="G555" s="4">
        <v>558262.55000000005</v>
      </c>
      <c r="H555" s="4">
        <v>505852.53</v>
      </c>
      <c r="I555" s="4">
        <v>517835.42</v>
      </c>
      <c r="J555" s="4">
        <v>501130.92000000004</v>
      </c>
      <c r="K555" s="4">
        <v>536993.97</v>
      </c>
      <c r="L555" s="4">
        <v>512346.63</v>
      </c>
      <c r="M555" s="4">
        <v>503967.71000000008</v>
      </c>
      <c r="N555" s="4">
        <v>517155.58999999997</v>
      </c>
      <c r="O555" s="4">
        <v>476344.75999999995</v>
      </c>
      <c r="P555" s="4">
        <v>457534.07999999996</v>
      </c>
      <c r="Q555" s="4">
        <v>510041.05</v>
      </c>
      <c r="R555" s="4">
        <v>460224.11</v>
      </c>
      <c r="S555" s="8">
        <f t="shared" si="24"/>
        <v>496231.63666666666</v>
      </c>
      <c r="T555" s="8">
        <f t="shared" si="25"/>
        <v>-36007.526666666672</v>
      </c>
      <c r="U555" s="9">
        <f t="shared" si="26"/>
        <v>-7.256193278715517E-2</v>
      </c>
    </row>
    <row r="556" spans="1:22" outlineLevel="2">
      <c r="A556" t="s">
        <v>272</v>
      </c>
      <c r="B556" t="s">
        <v>273</v>
      </c>
      <c r="C556" t="s">
        <v>138</v>
      </c>
      <c r="D556" t="s">
        <v>139</v>
      </c>
      <c r="E556" s="4">
        <v>12051.240000000002</v>
      </c>
      <c r="F556" s="4">
        <v>13212.23</v>
      </c>
      <c r="G556" s="4">
        <v>5622.01</v>
      </c>
      <c r="H556" s="4">
        <v>-1679.9500000000007</v>
      </c>
      <c r="I556" s="4">
        <v>0</v>
      </c>
      <c r="J556" s="4">
        <v>0</v>
      </c>
      <c r="K556" s="4">
        <v>0</v>
      </c>
      <c r="L556" s="4">
        <v>0</v>
      </c>
      <c r="M556" s="4">
        <v>-5569.2</v>
      </c>
      <c r="N556" s="4">
        <v>0</v>
      </c>
      <c r="O556" s="4">
        <v>0</v>
      </c>
      <c r="P556" s="4">
        <v>0</v>
      </c>
      <c r="Q556" s="4">
        <v>0</v>
      </c>
      <c r="S556" s="8">
        <f t="shared" si="24"/>
        <v>-928.19999999999993</v>
      </c>
      <c r="T556" s="8">
        <f t="shared" si="25"/>
        <v>928.19999999999993</v>
      </c>
      <c r="U556" s="9">
        <f t="shared" si="26"/>
        <v>-1</v>
      </c>
    </row>
    <row r="557" spans="1:22" outlineLevel="2">
      <c r="A557" t="s">
        <v>272</v>
      </c>
      <c r="B557" t="s">
        <v>273</v>
      </c>
      <c r="C557" t="s">
        <v>248</v>
      </c>
      <c r="D557" t="s">
        <v>249</v>
      </c>
      <c r="E557" s="4">
        <v>0</v>
      </c>
      <c r="F557" s="4">
        <v>0</v>
      </c>
      <c r="G557" s="4">
        <v>7653.49</v>
      </c>
      <c r="H557" s="4">
        <v>3760.64</v>
      </c>
      <c r="I557" s="4">
        <v>4113.2</v>
      </c>
      <c r="J557" s="4">
        <v>3055.52</v>
      </c>
      <c r="K557" s="4">
        <v>3804.71</v>
      </c>
      <c r="L557" s="4">
        <v>-22387.559999999998</v>
      </c>
      <c r="M557" s="4">
        <v>0</v>
      </c>
      <c r="N557" s="4">
        <v>0</v>
      </c>
      <c r="O557" s="4">
        <v>5772.6299999999992</v>
      </c>
      <c r="P557" s="4">
        <v>-822.10000000000491</v>
      </c>
      <c r="Q557" s="4">
        <v>0</v>
      </c>
      <c r="R557" s="4">
        <v>3958.56</v>
      </c>
      <c r="S557" s="8">
        <f t="shared" si="24"/>
        <v>-2906.1716666666675</v>
      </c>
      <c r="T557" s="8">
        <f t="shared" si="25"/>
        <v>6864.7316666666675</v>
      </c>
      <c r="U557" s="9">
        <f t="shared" si="26"/>
        <v>-2.3621218751129058</v>
      </c>
    </row>
    <row r="558" spans="1:22" outlineLevel="2">
      <c r="A558" t="s">
        <v>272</v>
      </c>
      <c r="B558" t="s">
        <v>273</v>
      </c>
      <c r="C558" t="s">
        <v>29</v>
      </c>
      <c r="D558" t="s">
        <v>30</v>
      </c>
      <c r="E558" s="4">
        <v>295.41000000000003</v>
      </c>
      <c r="F558" s="4">
        <v>519.73</v>
      </c>
      <c r="G558" s="4">
        <v>83.77</v>
      </c>
      <c r="H558" s="4">
        <v>-38.33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S558" s="8">
        <f t="shared" si="24"/>
        <v>0</v>
      </c>
      <c r="T558" s="8">
        <f t="shared" si="25"/>
        <v>0</v>
      </c>
      <c r="U558" s="9" t="e">
        <f t="shared" si="26"/>
        <v>#DIV/0!</v>
      </c>
    </row>
    <row r="559" spans="1:22" outlineLevel="2">
      <c r="A559" t="s">
        <v>272</v>
      </c>
      <c r="B559" t="s">
        <v>273</v>
      </c>
      <c r="C559" t="s">
        <v>140</v>
      </c>
      <c r="D559" t="s">
        <v>141</v>
      </c>
      <c r="E559" s="4">
        <v>0</v>
      </c>
      <c r="F559" s="4">
        <v>0</v>
      </c>
      <c r="G559" s="4">
        <v>0</v>
      </c>
      <c r="H559" s="4">
        <v>3988.1000000000008</v>
      </c>
      <c r="I559" s="4">
        <v>40000</v>
      </c>
      <c r="J559" s="4">
        <v>-43988.1</v>
      </c>
      <c r="K559" s="4">
        <v>0</v>
      </c>
      <c r="L559" s="4">
        <v>-9.0949470177292824E-13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S559" s="8">
        <f t="shared" si="24"/>
        <v>-1.5158245029548803E-13</v>
      </c>
      <c r="T559" s="8">
        <f t="shared" si="25"/>
        <v>1.5158245029548803E-13</v>
      </c>
      <c r="U559" s="9">
        <f t="shared" si="26"/>
        <v>-1</v>
      </c>
    </row>
    <row r="560" spans="1:22" outlineLevel="2">
      <c r="A560" t="s">
        <v>272</v>
      </c>
      <c r="B560" t="s">
        <v>273</v>
      </c>
      <c r="C560" t="s">
        <v>142</v>
      </c>
      <c r="D560" t="s">
        <v>143</v>
      </c>
      <c r="E560" s="4">
        <v>10000</v>
      </c>
      <c r="F560" s="4">
        <v>3094</v>
      </c>
      <c r="G560" s="4">
        <v>0</v>
      </c>
      <c r="H560" s="4">
        <v>0</v>
      </c>
      <c r="I560" s="4">
        <v>0</v>
      </c>
      <c r="J560" s="4">
        <v>2500</v>
      </c>
      <c r="K560" s="4">
        <v>0</v>
      </c>
      <c r="L560" s="4">
        <v>750</v>
      </c>
      <c r="M560" s="4">
        <v>0</v>
      </c>
      <c r="N560" s="4">
        <v>0</v>
      </c>
      <c r="O560" s="4">
        <v>2500</v>
      </c>
      <c r="P560" s="4">
        <v>25000</v>
      </c>
      <c r="Q560" s="4">
        <v>2000</v>
      </c>
      <c r="R560" s="4">
        <v>1000</v>
      </c>
      <c r="S560" s="8">
        <f t="shared" si="24"/>
        <v>5041.666666666667</v>
      </c>
      <c r="T560" s="8">
        <f t="shared" si="25"/>
        <v>-4041.666666666667</v>
      </c>
      <c r="U560" s="9">
        <f t="shared" si="26"/>
        <v>-0.80165289256198347</v>
      </c>
    </row>
    <row r="561" spans="1:22" outlineLevel="2">
      <c r="A561" t="s">
        <v>272</v>
      </c>
      <c r="B561" t="s">
        <v>273</v>
      </c>
      <c r="C561" t="s">
        <v>144</v>
      </c>
      <c r="D561" t="s">
        <v>145</v>
      </c>
      <c r="E561" s="4">
        <v>96459.61</v>
      </c>
      <c r="F561" s="4">
        <v>23803.690000000002</v>
      </c>
      <c r="G561" s="4">
        <v>90204.239999999991</v>
      </c>
      <c r="H561" s="4">
        <v>51144.909999999989</v>
      </c>
      <c r="I561" s="4">
        <v>91262.51999999999</v>
      </c>
      <c r="J561" s="4">
        <v>19415.989999999994</v>
      </c>
      <c r="K561" s="4">
        <v>71346.989999999991</v>
      </c>
      <c r="L561" s="4">
        <v>72977.109999999986</v>
      </c>
      <c r="M561" s="4">
        <v>89143.209999999992</v>
      </c>
      <c r="N561" s="4">
        <v>66980.100000000006</v>
      </c>
      <c r="O561" s="4">
        <v>58094.82</v>
      </c>
      <c r="P561" s="4">
        <v>57224.45</v>
      </c>
      <c r="Q561" s="4">
        <v>89743.709999999992</v>
      </c>
      <c r="R561" s="4">
        <v>12654.399999999994</v>
      </c>
      <c r="S561" s="8">
        <f t="shared" si="24"/>
        <v>72360.566666666666</v>
      </c>
      <c r="T561" s="8">
        <f t="shared" si="25"/>
        <v>-59706.166666666672</v>
      </c>
      <c r="U561" s="9">
        <f t="shared" si="26"/>
        <v>-0.8251202197145131</v>
      </c>
    </row>
    <row r="562" spans="1:22" outlineLevel="2">
      <c r="A562" t="s">
        <v>272</v>
      </c>
      <c r="B562" t="s">
        <v>273</v>
      </c>
      <c r="C562" t="s">
        <v>146</v>
      </c>
      <c r="D562" t="s">
        <v>147</v>
      </c>
      <c r="E562" s="4">
        <v>46739.33</v>
      </c>
      <c r="F562" s="4">
        <v>43658.57</v>
      </c>
      <c r="G562" s="4">
        <v>66813.98</v>
      </c>
      <c r="H562" s="4">
        <v>35008.880000000005</v>
      </c>
      <c r="I562" s="4">
        <v>44496.46</v>
      </c>
      <c r="J562" s="4">
        <v>42542.58</v>
      </c>
      <c r="K562" s="4">
        <v>47006.71</v>
      </c>
      <c r="L562" s="4">
        <v>45957.11</v>
      </c>
      <c r="M562" s="4">
        <v>146379.92000000001</v>
      </c>
      <c r="N562" s="4">
        <v>43289.32</v>
      </c>
      <c r="O562" s="4">
        <v>39542.07</v>
      </c>
      <c r="P562" s="4">
        <v>44024.42</v>
      </c>
      <c r="Q562" s="4">
        <v>47010.489999999991</v>
      </c>
      <c r="R562" s="4">
        <v>41867.19</v>
      </c>
      <c r="S562" s="8">
        <f t="shared" si="24"/>
        <v>61033.888333333336</v>
      </c>
      <c r="T562" s="8">
        <f t="shared" si="25"/>
        <v>-19166.698333333334</v>
      </c>
      <c r="U562" s="9">
        <f t="shared" si="26"/>
        <v>-0.31403370908724393</v>
      </c>
      <c r="V562" t="s">
        <v>896</v>
      </c>
    </row>
    <row r="563" spans="1:22" outlineLevel="2">
      <c r="A563" t="s">
        <v>272</v>
      </c>
      <c r="B563" t="s">
        <v>273</v>
      </c>
      <c r="C563" t="s">
        <v>148</v>
      </c>
      <c r="D563" t="s">
        <v>149</v>
      </c>
      <c r="E563" s="4">
        <v>0</v>
      </c>
      <c r="F563" s="4">
        <v>100</v>
      </c>
      <c r="G563" s="4">
        <v>150</v>
      </c>
      <c r="H563" s="4">
        <v>0</v>
      </c>
      <c r="I563" s="4">
        <v>0</v>
      </c>
      <c r="J563" s="4">
        <v>150</v>
      </c>
      <c r="K563" s="4">
        <v>-219</v>
      </c>
      <c r="L563" s="4">
        <v>0</v>
      </c>
      <c r="M563" s="4">
        <v>0</v>
      </c>
      <c r="N563" s="4">
        <v>0</v>
      </c>
      <c r="O563" s="4">
        <v>0</v>
      </c>
      <c r="P563" s="4">
        <v>225</v>
      </c>
      <c r="Q563" s="4">
        <v>0</v>
      </c>
      <c r="R563" s="4">
        <v>350</v>
      </c>
      <c r="S563" s="8">
        <f t="shared" si="24"/>
        <v>37.5</v>
      </c>
      <c r="T563" s="8">
        <f t="shared" si="25"/>
        <v>312.5</v>
      </c>
      <c r="U563" s="9">
        <f t="shared" si="26"/>
        <v>8.3333333333333339</v>
      </c>
    </row>
    <row r="564" spans="1:22" outlineLevel="2">
      <c r="A564" t="s">
        <v>272</v>
      </c>
      <c r="B564" t="s">
        <v>273</v>
      </c>
      <c r="C564" t="s">
        <v>150</v>
      </c>
      <c r="D564" t="s">
        <v>151</v>
      </c>
      <c r="E564" s="4">
        <v>0</v>
      </c>
      <c r="F564" s="4">
        <v>161206</v>
      </c>
      <c r="G564" s="4">
        <v>32241.199999999837</v>
      </c>
      <c r="H564" s="4">
        <v>197799.51</v>
      </c>
      <c r="I564" s="4">
        <v>171170.44</v>
      </c>
      <c r="J564" s="4">
        <v>113461.55</v>
      </c>
      <c r="K564" s="4">
        <v>130126.52</v>
      </c>
      <c r="L564" s="4">
        <v>130126.52</v>
      </c>
      <c r="M564" s="4">
        <v>153485.52000000002</v>
      </c>
      <c r="N564" s="4">
        <v>126695.03999999999</v>
      </c>
      <c r="O564" s="4">
        <v>126695.03999999999</v>
      </c>
      <c r="P564" s="4">
        <v>126695.03999999999</v>
      </c>
      <c r="Q564" s="4">
        <v>87065.600000000006</v>
      </c>
      <c r="R564" s="4">
        <v>84771.919999999984</v>
      </c>
      <c r="S564" s="8">
        <f t="shared" si="24"/>
        <v>125127.12666666666</v>
      </c>
      <c r="T564" s="8">
        <f t="shared" si="25"/>
        <v>-40355.20666666668</v>
      </c>
      <c r="U564" s="9">
        <f t="shared" si="26"/>
        <v>-0.32251365264840798</v>
      </c>
      <c r="V564" t="s">
        <v>896</v>
      </c>
    </row>
    <row r="565" spans="1:22" outlineLevel="2">
      <c r="A565" t="s">
        <v>272</v>
      </c>
      <c r="B565" t="s">
        <v>273</v>
      </c>
      <c r="C565" t="s">
        <v>152</v>
      </c>
      <c r="D565" t="s">
        <v>153</v>
      </c>
      <c r="E565" s="4">
        <v>41740.86</v>
      </c>
      <c r="F565" s="4">
        <v>40726.720000000001</v>
      </c>
      <c r="G565" s="4">
        <v>85821.759999999995</v>
      </c>
      <c r="H565" s="4">
        <v>34959.560000000005</v>
      </c>
      <c r="I565" s="4">
        <v>37152.800000000003</v>
      </c>
      <c r="J565" s="4">
        <v>71640.81</v>
      </c>
      <c r="K565" s="4">
        <v>33272.880000000005</v>
      </c>
      <c r="L565" s="4">
        <v>31542.020000000004</v>
      </c>
      <c r="M565" s="4">
        <v>31721.570000000003</v>
      </c>
      <c r="N565" s="4">
        <v>27378.41</v>
      </c>
      <c r="O565" s="4">
        <v>27182.43</v>
      </c>
      <c r="P565" s="4">
        <v>28712.55</v>
      </c>
      <c r="Q565" s="4">
        <v>36853.910000000003</v>
      </c>
      <c r="R565" s="4">
        <v>125585.51999999999</v>
      </c>
      <c r="S565" s="8">
        <f t="shared" si="24"/>
        <v>30565.148333333334</v>
      </c>
      <c r="T565" s="8">
        <f t="shared" si="25"/>
        <v>95020.371666666659</v>
      </c>
      <c r="U565" s="9">
        <f t="shared" si="26"/>
        <v>3.1087816303198044</v>
      </c>
      <c r="V565" t="s">
        <v>896</v>
      </c>
    </row>
    <row r="566" spans="1:22" outlineLevel="2">
      <c r="A566" t="s">
        <v>272</v>
      </c>
      <c r="B566" t="s">
        <v>273</v>
      </c>
      <c r="C566" t="s">
        <v>154</v>
      </c>
      <c r="D566" t="s">
        <v>155</v>
      </c>
      <c r="E566" s="4">
        <v>7911.81</v>
      </c>
      <c r="F566" s="4">
        <v>252.26000000000002</v>
      </c>
      <c r="G566" s="4">
        <v>0</v>
      </c>
      <c r="H566" s="4">
        <v>0</v>
      </c>
      <c r="I566" s="4">
        <v>75.11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7001.35</v>
      </c>
      <c r="R566" s="4">
        <v>400.39</v>
      </c>
      <c r="S566" s="8">
        <f t="shared" si="24"/>
        <v>1166.8916666666667</v>
      </c>
      <c r="T566" s="8">
        <f t="shared" si="25"/>
        <v>-766.50166666666667</v>
      </c>
      <c r="U566" s="9">
        <f t="shared" si="26"/>
        <v>-0.6568747455847801</v>
      </c>
    </row>
    <row r="567" spans="1:22" outlineLevel="2">
      <c r="A567" t="s">
        <v>272</v>
      </c>
      <c r="B567" t="s">
        <v>273</v>
      </c>
      <c r="C567" t="s">
        <v>33</v>
      </c>
      <c r="D567" t="s">
        <v>34</v>
      </c>
      <c r="E567" s="4">
        <v>0</v>
      </c>
      <c r="F567" s="4">
        <v>0</v>
      </c>
      <c r="G567" s="4">
        <v>0</v>
      </c>
      <c r="H567" s="4">
        <v>9.0949470177292824E-13</v>
      </c>
      <c r="I567" s="4">
        <v>0</v>
      </c>
      <c r="J567" s="4">
        <v>0</v>
      </c>
      <c r="K567" s="4">
        <v>0</v>
      </c>
      <c r="L567" s="4">
        <v>0</v>
      </c>
      <c r="M567" s="4">
        <v>1.4210854715202004E-14</v>
      </c>
      <c r="N567" s="4">
        <v>0</v>
      </c>
      <c r="O567" s="4">
        <v>0</v>
      </c>
      <c r="P567" s="4">
        <v>0</v>
      </c>
      <c r="Q567" s="4">
        <v>0</v>
      </c>
      <c r="R567" s="4">
        <v>1525</v>
      </c>
      <c r="S567" s="8">
        <f t="shared" si="24"/>
        <v>2.3684757858670005E-15</v>
      </c>
      <c r="T567" s="8">
        <f t="shared" si="25"/>
        <v>1525</v>
      </c>
      <c r="U567" s="9">
        <f t="shared" si="26"/>
        <v>6.438740092256256E+17</v>
      </c>
      <c r="V567" t="s">
        <v>895</v>
      </c>
    </row>
    <row r="568" spans="1:22" outlineLevel="2">
      <c r="A568" t="s">
        <v>272</v>
      </c>
      <c r="B568" t="s">
        <v>273</v>
      </c>
      <c r="C568" t="s">
        <v>212</v>
      </c>
      <c r="D568" t="s">
        <v>213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6900</v>
      </c>
      <c r="K568" s="4">
        <v>0</v>
      </c>
      <c r="L568" s="4">
        <v>0</v>
      </c>
      <c r="M568" s="4">
        <v>1172.1199999999999</v>
      </c>
      <c r="N568" s="4">
        <v>390</v>
      </c>
      <c r="O568" s="4">
        <v>7485.1900000000005</v>
      </c>
      <c r="P568" s="4">
        <v>0</v>
      </c>
      <c r="Q568" s="4">
        <v>0</v>
      </c>
      <c r="R568" s="4">
        <v>650</v>
      </c>
      <c r="S568" s="8">
        <f t="shared" si="24"/>
        <v>1507.8850000000002</v>
      </c>
      <c r="T568" s="8">
        <f t="shared" si="25"/>
        <v>-857.88500000000022</v>
      </c>
      <c r="U568" s="9">
        <f t="shared" si="26"/>
        <v>-0.56893264406768429</v>
      </c>
    </row>
    <row r="569" spans="1:22" outlineLevel="2">
      <c r="A569" t="s">
        <v>272</v>
      </c>
      <c r="B569" t="s">
        <v>273</v>
      </c>
      <c r="C569" t="s">
        <v>156</v>
      </c>
      <c r="D569" t="s">
        <v>157</v>
      </c>
      <c r="E569" s="4">
        <v>0</v>
      </c>
      <c r="F569" s="4">
        <v>0</v>
      </c>
      <c r="G569" s="4">
        <v>0</v>
      </c>
      <c r="H569" s="4">
        <v>-347.57000000000005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-24.61</v>
      </c>
      <c r="P569" s="4">
        <v>0</v>
      </c>
      <c r="Q569" s="4">
        <v>0</v>
      </c>
      <c r="S569" s="8">
        <f t="shared" si="24"/>
        <v>-4.1016666666666666</v>
      </c>
      <c r="T569" s="8">
        <f t="shared" si="25"/>
        <v>4.1016666666666666</v>
      </c>
      <c r="U569" s="9">
        <f t="shared" si="26"/>
        <v>-1</v>
      </c>
    </row>
    <row r="570" spans="1:22" outlineLevel="2">
      <c r="A570" t="s">
        <v>272</v>
      </c>
      <c r="B570" t="s">
        <v>273</v>
      </c>
      <c r="C570" t="s">
        <v>180</v>
      </c>
      <c r="D570" t="s">
        <v>181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2354.67</v>
      </c>
      <c r="O570" s="4">
        <v>0</v>
      </c>
      <c r="P570" s="4">
        <v>0</v>
      </c>
      <c r="Q570" s="4">
        <v>0</v>
      </c>
      <c r="S570" s="8">
        <f t="shared" si="24"/>
        <v>392.44499999999999</v>
      </c>
      <c r="T570" s="8">
        <f t="shared" si="25"/>
        <v>-392.44499999999999</v>
      </c>
      <c r="U570" s="9">
        <f t="shared" si="26"/>
        <v>-1</v>
      </c>
    </row>
    <row r="571" spans="1:22" outlineLevel="2">
      <c r="A571" t="s">
        <v>272</v>
      </c>
      <c r="B571" t="s">
        <v>273</v>
      </c>
      <c r="C571" t="s">
        <v>216</v>
      </c>
      <c r="D571" t="s">
        <v>217</v>
      </c>
      <c r="E571" s="4">
        <v>57203.669999999976</v>
      </c>
      <c r="F571" s="4">
        <v>12290.100000000028</v>
      </c>
      <c r="G571" s="4">
        <v>-135355.44</v>
      </c>
      <c r="H571" s="4">
        <v>16456.080000000002</v>
      </c>
      <c r="I571" s="4">
        <v>48915.959999999992</v>
      </c>
      <c r="J571" s="4">
        <v>38026.75</v>
      </c>
      <c r="K571" s="4">
        <v>28045.15</v>
      </c>
      <c r="L571" s="4">
        <v>28765.339999999997</v>
      </c>
      <c r="M571" s="4">
        <v>30151.850000000006</v>
      </c>
      <c r="N571" s="4">
        <v>10530.53</v>
      </c>
      <c r="O571" s="4">
        <v>27851.99</v>
      </c>
      <c r="P571" s="4">
        <v>0</v>
      </c>
      <c r="Q571" s="4">
        <v>0</v>
      </c>
      <c r="R571" s="4">
        <v>26988.109999999997</v>
      </c>
      <c r="S571" s="8">
        <f t="shared" si="24"/>
        <v>16216.618333333334</v>
      </c>
      <c r="T571" s="8">
        <f t="shared" si="25"/>
        <v>10771.491666666663</v>
      </c>
      <c r="U571" s="9">
        <f t="shared" si="26"/>
        <v>0.66422551516340567</v>
      </c>
      <c r="V571" t="s">
        <v>896</v>
      </c>
    </row>
    <row r="572" spans="1:22" outlineLevel="2">
      <c r="A572" t="s">
        <v>272</v>
      </c>
      <c r="B572" t="s">
        <v>273</v>
      </c>
      <c r="C572" t="s">
        <v>158</v>
      </c>
      <c r="D572" t="s">
        <v>159</v>
      </c>
      <c r="E572" s="4">
        <v>79800</v>
      </c>
      <c r="F572" s="4">
        <v>79800</v>
      </c>
      <c r="G572" s="4">
        <v>76215.579999999987</v>
      </c>
      <c r="H572" s="4">
        <v>79785.959999999992</v>
      </c>
      <c r="I572" s="4">
        <v>79800</v>
      </c>
      <c r="J572" s="4">
        <v>81963.88</v>
      </c>
      <c r="K572" s="4">
        <v>79800</v>
      </c>
      <c r="L572" s="4">
        <v>79800</v>
      </c>
      <c r="M572" s="4">
        <v>94147.75</v>
      </c>
      <c r="N572" s="4">
        <v>79800</v>
      </c>
      <c r="O572" s="4">
        <v>79800</v>
      </c>
      <c r="P572" s="4">
        <v>50803.829999999958</v>
      </c>
      <c r="Q572" s="4">
        <v>76333.33</v>
      </c>
      <c r="R572" s="4">
        <v>76333.33</v>
      </c>
      <c r="S572" s="8">
        <f t="shared" si="24"/>
        <v>76780.818333333329</v>
      </c>
      <c r="T572" s="8">
        <f t="shared" si="25"/>
        <v>-447.48833333332732</v>
      </c>
      <c r="U572" s="9">
        <f t="shared" si="26"/>
        <v>-5.8281266473433312E-3</v>
      </c>
    </row>
    <row r="573" spans="1:22" outlineLevel="2">
      <c r="A573" t="s">
        <v>272</v>
      </c>
      <c r="B573" t="s">
        <v>273</v>
      </c>
      <c r="C573" t="s">
        <v>160</v>
      </c>
      <c r="D573" t="s">
        <v>161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1618.28</v>
      </c>
      <c r="N573" s="4">
        <v>0</v>
      </c>
      <c r="O573" s="4">
        <v>0</v>
      </c>
      <c r="P573" s="4">
        <v>653.42999999999995</v>
      </c>
      <c r="Q573" s="4">
        <v>0</v>
      </c>
      <c r="S573" s="8">
        <f t="shared" si="24"/>
        <v>378.61833333333334</v>
      </c>
      <c r="T573" s="8">
        <f t="shared" si="25"/>
        <v>-378.61833333333334</v>
      </c>
      <c r="U573" s="9">
        <f t="shared" si="26"/>
        <v>-1</v>
      </c>
    </row>
    <row r="574" spans="1:22" outlineLevel="2">
      <c r="A574" t="s">
        <v>272</v>
      </c>
      <c r="B574" t="s">
        <v>273</v>
      </c>
      <c r="C574" t="s">
        <v>51</v>
      </c>
      <c r="D574" t="s">
        <v>52</v>
      </c>
      <c r="E574" s="4">
        <v>0</v>
      </c>
      <c r="F574" s="4">
        <v>275</v>
      </c>
      <c r="G574" s="4">
        <v>0</v>
      </c>
      <c r="H574" s="4">
        <v>-1750</v>
      </c>
      <c r="I574" s="4">
        <v>0</v>
      </c>
      <c r="J574" s="4">
        <v>0</v>
      </c>
      <c r="K574" s="4">
        <v>0</v>
      </c>
      <c r="L574" s="4">
        <v>0</v>
      </c>
      <c r="M574" s="4">
        <v>503.37</v>
      </c>
      <c r="N574" s="4">
        <v>0</v>
      </c>
      <c r="O574" s="4">
        <v>0</v>
      </c>
      <c r="P574" s="4">
        <v>0</v>
      </c>
      <c r="Q574" s="4">
        <v>0</v>
      </c>
      <c r="S574" s="8">
        <f t="shared" si="24"/>
        <v>83.894999999999996</v>
      </c>
      <c r="T574" s="8">
        <f t="shared" si="25"/>
        <v>-83.894999999999996</v>
      </c>
      <c r="U574" s="9">
        <f t="shared" si="26"/>
        <v>-1</v>
      </c>
    </row>
    <row r="575" spans="1:22" outlineLevel="2">
      <c r="A575" t="s">
        <v>272</v>
      </c>
      <c r="B575" t="s">
        <v>273</v>
      </c>
      <c r="C575" t="s">
        <v>164</v>
      </c>
      <c r="D575" t="s">
        <v>165</v>
      </c>
      <c r="E575" s="4">
        <v>1470</v>
      </c>
      <c r="F575" s="4">
        <v>980</v>
      </c>
      <c r="G575" s="4">
        <v>910</v>
      </c>
      <c r="H575" s="4">
        <v>910</v>
      </c>
      <c r="I575" s="4">
        <v>910</v>
      </c>
      <c r="J575" s="4">
        <v>910</v>
      </c>
      <c r="K575" s="4">
        <v>910</v>
      </c>
      <c r="L575" s="4">
        <v>1365</v>
      </c>
      <c r="M575" s="4">
        <v>980</v>
      </c>
      <c r="N575" s="4">
        <v>980</v>
      </c>
      <c r="O575" s="4">
        <v>910</v>
      </c>
      <c r="P575" s="4">
        <v>910</v>
      </c>
      <c r="Q575" s="4">
        <v>3220</v>
      </c>
      <c r="R575" s="4">
        <v>2730</v>
      </c>
      <c r="S575" s="8">
        <f t="shared" si="24"/>
        <v>1394.1666666666667</v>
      </c>
      <c r="T575" s="8">
        <f t="shared" si="25"/>
        <v>1335.8333333333333</v>
      </c>
      <c r="U575" s="9">
        <f t="shared" si="26"/>
        <v>0.95815899581589947</v>
      </c>
    </row>
    <row r="576" spans="1:22" outlineLevel="2">
      <c r="A576" t="s">
        <v>272</v>
      </c>
      <c r="B576" t="s">
        <v>273</v>
      </c>
      <c r="C576" t="s">
        <v>55</v>
      </c>
      <c r="D576" t="s">
        <v>56</v>
      </c>
      <c r="E576" s="4">
        <v>9.68</v>
      </c>
      <c r="F576" s="4">
        <v>0</v>
      </c>
      <c r="G576" s="4">
        <v>0</v>
      </c>
      <c r="H576" s="4">
        <v>120.7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S576" s="8">
        <f t="shared" si="24"/>
        <v>0</v>
      </c>
      <c r="T576" s="8">
        <f t="shared" si="25"/>
        <v>0</v>
      </c>
      <c r="U576" s="9" t="e">
        <f t="shared" si="26"/>
        <v>#DIV/0!</v>
      </c>
    </row>
    <row r="577" spans="1:22" outlineLevel="2">
      <c r="A577" t="s">
        <v>272</v>
      </c>
      <c r="B577" t="s">
        <v>273</v>
      </c>
      <c r="C577" t="s">
        <v>274</v>
      </c>
      <c r="D577" t="s">
        <v>275</v>
      </c>
      <c r="E577" s="4">
        <v>0</v>
      </c>
      <c r="F577" s="4">
        <v>0</v>
      </c>
      <c r="G577" s="4">
        <v>0</v>
      </c>
      <c r="H577" s="4">
        <v>0</v>
      </c>
      <c r="I577" s="4">
        <v>29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2212.12</v>
      </c>
      <c r="S577" s="8">
        <f t="shared" si="24"/>
        <v>0</v>
      </c>
      <c r="T577" s="8">
        <f t="shared" si="25"/>
        <v>2212.12</v>
      </c>
      <c r="U577" s="9" t="e">
        <f t="shared" si="26"/>
        <v>#DIV/0!</v>
      </c>
      <c r="V577" t="s">
        <v>895</v>
      </c>
    </row>
    <row r="578" spans="1:22" outlineLevel="2">
      <c r="A578" t="s">
        <v>272</v>
      </c>
      <c r="B578" t="s">
        <v>273</v>
      </c>
      <c r="C578" t="s">
        <v>196</v>
      </c>
      <c r="D578" t="s">
        <v>197</v>
      </c>
      <c r="E578" s="4">
        <v>0</v>
      </c>
      <c r="F578" s="4">
        <v>1692.73</v>
      </c>
      <c r="G578" s="4">
        <v>1559.77</v>
      </c>
      <c r="H578" s="4">
        <v>519.17999999999995</v>
      </c>
      <c r="I578" s="4">
        <v>0</v>
      </c>
      <c r="J578" s="4">
        <v>250</v>
      </c>
      <c r="K578" s="4">
        <v>1500</v>
      </c>
      <c r="L578" s="4">
        <v>-2163.09</v>
      </c>
      <c r="M578" s="4">
        <v>0</v>
      </c>
      <c r="N578" s="4">
        <v>0</v>
      </c>
      <c r="O578" s="4">
        <v>0</v>
      </c>
      <c r="P578" s="4">
        <v>1198.8700000000001</v>
      </c>
      <c r="Q578" s="4">
        <v>0</v>
      </c>
      <c r="S578" s="8">
        <f t="shared" si="24"/>
        <v>-160.70333333333335</v>
      </c>
      <c r="T578" s="8">
        <f t="shared" si="25"/>
        <v>160.70333333333335</v>
      </c>
      <c r="U578" s="9">
        <f t="shared" si="26"/>
        <v>-1</v>
      </c>
    </row>
    <row r="579" spans="1:22" outlineLevel="2">
      <c r="A579" t="s">
        <v>272</v>
      </c>
      <c r="B579" t="s">
        <v>273</v>
      </c>
      <c r="C579" t="s">
        <v>65</v>
      </c>
      <c r="D579" t="s">
        <v>66</v>
      </c>
      <c r="E579" s="4">
        <v>0</v>
      </c>
      <c r="F579" s="4">
        <v>0</v>
      </c>
      <c r="G579" s="4">
        <v>0</v>
      </c>
      <c r="H579" s="4">
        <v>0</v>
      </c>
      <c r="I579" s="4">
        <v>0</v>
      </c>
      <c r="J579" s="4">
        <v>2049.6</v>
      </c>
      <c r="K579" s="4">
        <v>318.2</v>
      </c>
      <c r="L579" s="4">
        <v>0</v>
      </c>
      <c r="M579" s="4">
        <v>0</v>
      </c>
      <c r="N579" s="4">
        <v>0</v>
      </c>
      <c r="O579" s="4">
        <v>0</v>
      </c>
      <c r="P579" s="4">
        <v>406</v>
      </c>
      <c r="Q579" s="4">
        <v>0</v>
      </c>
      <c r="S579" s="8">
        <f t="shared" ref="S579:S642" si="27">AVERAGE(L579:Q579)</f>
        <v>67.666666666666671</v>
      </c>
      <c r="T579" s="8">
        <f t="shared" ref="T579:T642" si="28">R579-S579</f>
        <v>-67.666666666666671</v>
      </c>
      <c r="U579" s="9">
        <f t="shared" ref="U579:U642" si="29">(R579-S579)/S579</f>
        <v>-1</v>
      </c>
    </row>
    <row r="580" spans="1:22" outlineLevel="2">
      <c r="A580" t="s">
        <v>272</v>
      </c>
      <c r="B580" t="s">
        <v>273</v>
      </c>
      <c r="C580" t="s">
        <v>73</v>
      </c>
      <c r="D580" t="s">
        <v>74</v>
      </c>
      <c r="E580" s="4">
        <v>-41.96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S580" s="8">
        <f t="shared" si="27"/>
        <v>0</v>
      </c>
      <c r="T580" s="8">
        <f t="shared" si="28"/>
        <v>0</v>
      </c>
      <c r="U580" s="9" t="e">
        <f t="shared" si="29"/>
        <v>#DIV/0!</v>
      </c>
    </row>
    <row r="581" spans="1:22" outlineLevel="2">
      <c r="A581" t="s">
        <v>272</v>
      </c>
      <c r="B581" t="s">
        <v>273</v>
      </c>
      <c r="C581" t="s">
        <v>83</v>
      </c>
      <c r="D581" t="s">
        <v>84</v>
      </c>
      <c r="E581" s="4">
        <v>280.98</v>
      </c>
      <c r="F581" s="4">
        <v>354.12</v>
      </c>
      <c r="G581" s="4">
        <v>839.45</v>
      </c>
      <c r="H581" s="4">
        <v>1534.19</v>
      </c>
      <c r="I581" s="4">
        <v>1555.54</v>
      </c>
      <c r="J581" s="4">
        <v>2835.7799999999997</v>
      </c>
      <c r="K581" s="4">
        <v>3592.27</v>
      </c>
      <c r="L581" s="4">
        <v>206.33999999999997</v>
      </c>
      <c r="M581" s="4">
        <v>747.9799999999999</v>
      </c>
      <c r="N581" s="4">
        <v>17388.560000000005</v>
      </c>
      <c r="O581" s="4">
        <v>656.48</v>
      </c>
      <c r="P581" s="4">
        <v>1018.5900000000001</v>
      </c>
      <c r="Q581" s="4">
        <v>9525.93</v>
      </c>
      <c r="R581" s="4">
        <v>849.92</v>
      </c>
      <c r="S581" s="8">
        <f t="shared" si="27"/>
        <v>4923.9800000000005</v>
      </c>
      <c r="T581" s="8">
        <f t="shared" si="28"/>
        <v>-4074.0600000000004</v>
      </c>
      <c r="U581" s="9">
        <f t="shared" si="29"/>
        <v>-0.8273916628418474</v>
      </c>
    </row>
    <row r="582" spans="1:22" outlineLevel="2">
      <c r="A582" t="s">
        <v>272</v>
      </c>
      <c r="B582" t="s">
        <v>273</v>
      </c>
      <c r="C582" t="s">
        <v>87</v>
      </c>
      <c r="D582" t="s">
        <v>88</v>
      </c>
      <c r="E582" s="4">
        <v>86.74</v>
      </c>
      <c r="F582" s="4">
        <v>0</v>
      </c>
      <c r="G582" s="4">
        <v>189.2</v>
      </c>
      <c r="H582" s="4">
        <v>3921.0800000000004</v>
      </c>
      <c r="I582" s="4">
        <v>92.460000000000008</v>
      </c>
      <c r="J582" s="4">
        <v>697.3900000000001</v>
      </c>
      <c r="K582" s="4">
        <v>0</v>
      </c>
      <c r="L582" s="4">
        <v>0</v>
      </c>
      <c r="M582" s="4">
        <v>30.3</v>
      </c>
      <c r="N582" s="4">
        <v>0</v>
      </c>
      <c r="O582" s="4">
        <v>0</v>
      </c>
      <c r="P582" s="4">
        <v>0</v>
      </c>
      <c r="Q582" s="4">
        <v>1051.3</v>
      </c>
      <c r="S582" s="8">
        <f t="shared" si="27"/>
        <v>180.26666666666665</v>
      </c>
      <c r="T582" s="8">
        <f t="shared" si="28"/>
        <v>-180.26666666666665</v>
      </c>
      <c r="U582" s="9">
        <f t="shared" si="29"/>
        <v>-1</v>
      </c>
    </row>
    <row r="583" spans="1:22" outlineLevel="2">
      <c r="A583" t="s">
        <v>272</v>
      </c>
      <c r="B583" t="s">
        <v>273</v>
      </c>
      <c r="C583" t="s">
        <v>89</v>
      </c>
      <c r="D583" t="s">
        <v>90</v>
      </c>
      <c r="E583" s="4">
        <v>4762.91</v>
      </c>
      <c r="F583" s="4">
        <v>5094.9599999999991</v>
      </c>
      <c r="G583" s="4">
        <v>10195.690000000002</v>
      </c>
      <c r="H583" s="4">
        <v>-1155.219999999998</v>
      </c>
      <c r="I583" s="4">
        <v>18271.21</v>
      </c>
      <c r="J583" s="4">
        <v>9880.8100000000013</v>
      </c>
      <c r="K583" s="4">
        <v>36759.560000000005</v>
      </c>
      <c r="L583" s="4">
        <v>9878.98</v>
      </c>
      <c r="M583" s="4">
        <v>9880.81</v>
      </c>
      <c r="N583" s="4">
        <v>17369.810000000001</v>
      </c>
      <c r="O583" s="4">
        <v>9880.8100000000013</v>
      </c>
      <c r="P583" s="4">
        <v>9880.8100000000013</v>
      </c>
      <c r="Q583" s="4">
        <v>4472.93</v>
      </c>
      <c r="R583" s="4">
        <v>-6215.52</v>
      </c>
      <c r="S583" s="8">
        <f t="shared" si="27"/>
        <v>10227.358333333334</v>
      </c>
      <c r="T583" s="8">
        <f t="shared" si="28"/>
        <v>-16442.878333333334</v>
      </c>
      <c r="U583" s="9">
        <f t="shared" si="29"/>
        <v>-1.6077346463692563</v>
      </c>
    </row>
    <row r="584" spans="1:22" outlineLevel="2">
      <c r="A584" t="s">
        <v>272</v>
      </c>
      <c r="B584" t="s">
        <v>273</v>
      </c>
      <c r="C584" t="s">
        <v>166</v>
      </c>
      <c r="D584" t="s">
        <v>167</v>
      </c>
      <c r="E584" s="4">
        <v>0</v>
      </c>
      <c r="F584" s="4">
        <v>4675</v>
      </c>
      <c r="G584" s="4">
        <v>0</v>
      </c>
      <c r="H584" s="4">
        <v>7902</v>
      </c>
      <c r="I584" s="4">
        <v>29</v>
      </c>
      <c r="J584" s="4">
        <v>299</v>
      </c>
      <c r="K584" s="4">
        <v>0</v>
      </c>
      <c r="L584" s="4">
        <v>0</v>
      </c>
      <c r="M584" s="4">
        <v>0</v>
      </c>
      <c r="N584" s="4">
        <v>165.61</v>
      </c>
      <c r="O584" s="4">
        <v>0</v>
      </c>
      <c r="P584" s="4">
        <v>1180</v>
      </c>
      <c r="Q584" s="4">
        <v>0</v>
      </c>
      <c r="R584" s="4">
        <v>532.5</v>
      </c>
      <c r="S584" s="8">
        <f t="shared" si="27"/>
        <v>224.26833333333335</v>
      </c>
      <c r="T584" s="8">
        <f t="shared" si="28"/>
        <v>308.23166666666668</v>
      </c>
      <c r="U584" s="9">
        <f t="shared" si="29"/>
        <v>1.3743878241095118</v>
      </c>
    </row>
    <row r="585" spans="1:22" outlineLevel="2">
      <c r="A585" t="s">
        <v>272</v>
      </c>
      <c r="B585" t="s">
        <v>273</v>
      </c>
      <c r="C585" t="s">
        <v>93</v>
      </c>
      <c r="D585" t="s">
        <v>94</v>
      </c>
      <c r="E585" s="4">
        <v>2817.43</v>
      </c>
      <c r="F585" s="4">
        <v>1456.52</v>
      </c>
      <c r="G585" s="4">
        <v>1393.51</v>
      </c>
      <c r="H585" s="4">
        <v>1896.8300000000002</v>
      </c>
      <c r="I585" s="4">
        <v>1753.48</v>
      </c>
      <c r="J585" s="4">
        <v>1163.58</v>
      </c>
      <c r="K585" s="4">
        <v>75</v>
      </c>
      <c r="L585" s="4">
        <v>200</v>
      </c>
      <c r="M585" s="4">
        <v>0</v>
      </c>
      <c r="N585" s="4">
        <v>2158.13</v>
      </c>
      <c r="O585" s="4">
        <v>2328.4899999999998</v>
      </c>
      <c r="P585" s="4">
        <v>2150.0100000000002</v>
      </c>
      <c r="Q585" s="4">
        <v>0</v>
      </c>
      <c r="R585" s="4">
        <v>14150.289999999999</v>
      </c>
      <c r="S585" s="8">
        <f t="shared" si="27"/>
        <v>1139.4383333333333</v>
      </c>
      <c r="T585" s="8">
        <f t="shared" si="28"/>
        <v>13010.851666666666</v>
      </c>
      <c r="U585" s="9">
        <f t="shared" si="29"/>
        <v>11.418653634904917</v>
      </c>
    </row>
    <row r="586" spans="1:22" outlineLevel="2">
      <c r="A586" t="s">
        <v>272</v>
      </c>
      <c r="B586" t="s">
        <v>273</v>
      </c>
      <c r="C586" t="s">
        <v>222</v>
      </c>
      <c r="D586" t="s">
        <v>223</v>
      </c>
      <c r="E586" s="4">
        <v>0</v>
      </c>
      <c r="F586" s="4">
        <v>0</v>
      </c>
      <c r="G586" s="4">
        <v>2250</v>
      </c>
      <c r="H586" s="4">
        <v>2250</v>
      </c>
      <c r="I586" s="4">
        <v>2250</v>
      </c>
      <c r="J586" s="4">
        <v>2250</v>
      </c>
      <c r="K586" s="4">
        <v>2250</v>
      </c>
      <c r="L586" s="4">
        <v>2250</v>
      </c>
      <c r="M586" s="4">
        <v>2250</v>
      </c>
      <c r="N586" s="4">
        <v>2250</v>
      </c>
      <c r="O586" s="4">
        <v>2250</v>
      </c>
      <c r="P586" s="4">
        <v>2250</v>
      </c>
      <c r="Q586" s="4">
        <v>2250</v>
      </c>
      <c r="S586" s="8">
        <f t="shared" si="27"/>
        <v>2250</v>
      </c>
      <c r="T586" s="8">
        <f t="shared" si="28"/>
        <v>-2250</v>
      </c>
      <c r="U586" s="9">
        <f t="shared" si="29"/>
        <v>-1</v>
      </c>
    </row>
    <row r="587" spans="1:22" outlineLevel="2">
      <c r="A587" t="s">
        <v>272</v>
      </c>
      <c r="B587" t="s">
        <v>273</v>
      </c>
      <c r="C587" t="s">
        <v>184</v>
      </c>
      <c r="D587" t="s">
        <v>185</v>
      </c>
      <c r="E587" s="4">
        <v>0</v>
      </c>
      <c r="F587" s="4">
        <v>0</v>
      </c>
      <c r="G587" s="4">
        <v>0</v>
      </c>
      <c r="H587" s="4">
        <v>1312.5499999999993</v>
      </c>
      <c r="I587" s="4">
        <v>0</v>
      </c>
      <c r="J587" s="4">
        <v>0</v>
      </c>
      <c r="K587" s="4">
        <v>0</v>
      </c>
      <c r="L587" s="4">
        <v>0</v>
      </c>
      <c r="M587" s="4">
        <v>20.56</v>
      </c>
      <c r="N587" s="4">
        <v>0</v>
      </c>
      <c r="O587" s="4">
        <v>0</v>
      </c>
      <c r="P587" s="4">
        <v>0</v>
      </c>
      <c r="Q587" s="4">
        <v>0</v>
      </c>
      <c r="S587" s="8">
        <f t="shared" si="27"/>
        <v>3.4266666666666663</v>
      </c>
      <c r="T587" s="8">
        <f t="shared" si="28"/>
        <v>-3.4266666666666663</v>
      </c>
      <c r="U587" s="9">
        <f t="shared" si="29"/>
        <v>-1</v>
      </c>
    </row>
    <row r="588" spans="1:22" outlineLevel="2">
      <c r="A588" t="s">
        <v>272</v>
      </c>
      <c r="B588" t="s">
        <v>273</v>
      </c>
      <c r="C588" t="s">
        <v>224</v>
      </c>
      <c r="D588" t="s">
        <v>225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10241.49</v>
      </c>
      <c r="O588" s="4">
        <v>2560.37</v>
      </c>
      <c r="P588" s="4">
        <v>2560.46</v>
      </c>
      <c r="Q588" s="4">
        <v>2560.46</v>
      </c>
      <c r="R588" s="4">
        <v>2560.46</v>
      </c>
      <c r="S588" s="8">
        <f t="shared" si="27"/>
        <v>2987.1299999999997</v>
      </c>
      <c r="T588" s="8">
        <f t="shared" si="28"/>
        <v>-426.66999999999962</v>
      </c>
      <c r="U588" s="9">
        <f t="shared" si="29"/>
        <v>-0.14283610020320497</v>
      </c>
    </row>
    <row r="589" spans="1:22" outlineLevel="2">
      <c r="A589" t="s">
        <v>272</v>
      </c>
      <c r="B589" t="s">
        <v>273</v>
      </c>
      <c r="C589" t="s">
        <v>168</v>
      </c>
      <c r="D589" t="s">
        <v>169</v>
      </c>
      <c r="E589" s="4">
        <v>5094.0000000000155</v>
      </c>
      <c r="F589" s="4">
        <v>5249.4999999999982</v>
      </c>
      <c r="G589" s="4">
        <v>7891.5300000000061</v>
      </c>
      <c r="H589" s="4">
        <v>2908.9000000000015</v>
      </c>
      <c r="I589" s="4">
        <v>15591.050000000005</v>
      </c>
      <c r="J589" s="4">
        <v>41208.799999999996</v>
      </c>
      <c r="K589" s="4">
        <v>-27297.5</v>
      </c>
      <c r="L589" s="4">
        <v>9269.4</v>
      </c>
      <c r="M589" s="4">
        <v>-1189.2000000000021</v>
      </c>
      <c r="N589" s="4">
        <v>10958.66</v>
      </c>
      <c r="O589" s="4">
        <v>184.09000000000037</v>
      </c>
      <c r="P589" s="4">
        <v>-64.549999999999955</v>
      </c>
      <c r="Q589" s="4">
        <v>16437.47</v>
      </c>
      <c r="R589" s="4">
        <v>37603.950000000004</v>
      </c>
      <c r="S589" s="8">
        <f t="shared" si="27"/>
        <v>5932.6449999999995</v>
      </c>
      <c r="T589" s="8">
        <f t="shared" si="28"/>
        <v>31671.305000000004</v>
      </c>
      <c r="U589" s="9">
        <f t="shared" si="29"/>
        <v>5.3384797168885054</v>
      </c>
      <c r="V589" t="s">
        <v>896</v>
      </c>
    </row>
    <row r="590" spans="1:22" outlineLevel="2">
      <c r="A590" t="s">
        <v>272</v>
      </c>
      <c r="B590" t="s">
        <v>273</v>
      </c>
      <c r="C590" t="s">
        <v>99</v>
      </c>
      <c r="D590" t="s">
        <v>100</v>
      </c>
      <c r="E590" s="4">
        <v>0</v>
      </c>
      <c r="F590" s="4">
        <v>0</v>
      </c>
      <c r="G590" s="4">
        <v>0</v>
      </c>
      <c r="H590" s="4">
        <v>-400</v>
      </c>
      <c r="I590" s="4">
        <v>0</v>
      </c>
      <c r="J590" s="4">
        <v>0</v>
      </c>
      <c r="K590" s="4">
        <v>0</v>
      </c>
      <c r="L590" s="4">
        <v>0</v>
      </c>
      <c r="M590" s="4">
        <v>1059.3</v>
      </c>
      <c r="N590" s="4">
        <v>1059.3</v>
      </c>
      <c r="O590" s="4">
        <v>0</v>
      </c>
      <c r="P590" s="4">
        <v>0</v>
      </c>
      <c r="Q590" s="4">
        <v>0</v>
      </c>
      <c r="S590" s="8">
        <f t="shared" si="27"/>
        <v>353.09999999999997</v>
      </c>
      <c r="T590" s="8">
        <f t="shared" si="28"/>
        <v>-353.09999999999997</v>
      </c>
      <c r="U590" s="9">
        <f t="shared" si="29"/>
        <v>-1</v>
      </c>
    </row>
    <row r="591" spans="1:22" outlineLevel="2">
      <c r="A591" t="s">
        <v>272</v>
      </c>
      <c r="B591" t="s">
        <v>273</v>
      </c>
      <c r="C591" t="s">
        <v>101</v>
      </c>
      <c r="D591" t="s">
        <v>102</v>
      </c>
      <c r="E591" s="4">
        <v>188836.25000000015</v>
      </c>
      <c r="F591" s="4">
        <v>82796.420000000013</v>
      </c>
      <c r="G591" s="4">
        <v>179215.64</v>
      </c>
      <c r="H591" s="4">
        <v>120650.38999999998</v>
      </c>
      <c r="I591" s="4">
        <v>38108.72000000003</v>
      </c>
      <c r="J591" s="4">
        <v>5743.1000000000058</v>
      </c>
      <c r="K591" s="4">
        <v>96878.16</v>
      </c>
      <c r="L591" s="4">
        <v>126169.15999999999</v>
      </c>
      <c r="M591" s="4">
        <v>70617.090000000011</v>
      </c>
      <c r="N591" s="4">
        <v>88980.89</v>
      </c>
      <c r="O591" s="4">
        <v>82977.650000000009</v>
      </c>
      <c r="P591" s="4">
        <v>81187.92</v>
      </c>
      <c r="Q591" s="4">
        <v>71899.670000000027</v>
      </c>
      <c r="R591" s="4">
        <v>231071.39</v>
      </c>
      <c r="S591" s="8">
        <f t="shared" si="27"/>
        <v>86972.063333333339</v>
      </c>
      <c r="T591" s="8">
        <f t="shared" si="28"/>
        <v>144099.32666666666</v>
      </c>
      <c r="U591" s="9">
        <f t="shared" si="29"/>
        <v>1.6568461313190261</v>
      </c>
      <c r="V591" t="s">
        <v>896</v>
      </c>
    </row>
    <row r="592" spans="1:22" outlineLevel="2">
      <c r="A592" t="s">
        <v>272</v>
      </c>
      <c r="B592" t="s">
        <v>273</v>
      </c>
      <c r="C592" t="s">
        <v>103</v>
      </c>
      <c r="D592" t="s">
        <v>104</v>
      </c>
      <c r="E592" s="4">
        <v>33048.049999999996</v>
      </c>
      <c r="F592" s="4">
        <v>13868.609999999999</v>
      </c>
      <c r="G592" s="4">
        <v>6196.35</v>
      </c>
      <c r="H592" s="4">
        <v>4699.5</v>
      </c>
      <c r="I592" s="4">
        <v>1241.5600000000004</v>
      </c>
      <c r="J592" s="4">
        <v>10127.68</v>
      </c>
      <c r="K592" s="4">
        <v>9500.59</v>
      </c>
      <c r="L592" s="4">
        <v>34294.85</v>
      </c>
      <c r="M592" s="4">
        <v>4583.28</v>
      </c>
      <c r="N592" s="4">
        <v>6291.91</v>
      </c>
      <c r="O592" s="4">
        <v>0</v>
      </c>
      <c r="P592" s="4">
        <v>27841.57</v>
      </c>
      <c r="Q592" s="4">
        <v>3986.3999999999996</v>
      </c>
      <c r="S592" s="8">
        <f t="shared" si="27"/>
        <v>12833.001666666663</v>
      </c>
      <c r="T592" s="8">
        <f t="shared" si="28"/>
        <v>-12833.001666666663</v>
      </c>
      <c r="U592" s="9">
        <f t="shared" si="29"/>
        <v>-1</v>
      </c>
    </row>
    <row r="593" spans="1:22" outlineLevel="2">
      <c r="A593" t="s">
        <v>272</v>
      </c>
      <c r="B593" t="s">
        <v>273</v>
      </c>
      <c r="C593" t="s">
        <v>105</v>
      </c>
      <c r="D593" t="s">
        <v>106</v>
      </c>
      <c r="E593" s="4">
        <v>0</v>
      </c>
      <c r="F593" s="4">
        <v>0</v>
      </c>
      <c r="G593" s="4">
        <v>0</v>
      </c>
      <c r="H593" s="4">
        <v>5129</v>
      </c>
      <c r="I593" s="4">
        <v>2534.08</v>
      </c>
      <c r="J593" s="4">
        <v>0</v>
      </c>
      <c r="K593" s="4">
        <v>-1.4551915228366852E-11</v>
      </c>
      <c r="L593" s="4">
        <v>15230.36</v>
      </c>
      <c r="M593" s="4">
        <v>6054.6500000000015</v>
      </c>
      <c r="N593" s="4">
        <v>15157.41</v>
      </c>
      <c r="O593" s="4">
        <v>3898.8499999999985</v>
      </c>
      <c r="P593" s="4">
        <v>0</v>
      </c>
      <c r="Q593" s="4">
        <v>0</v>
      </c>
      <c r="R593" s="4">
        <v>1250</v>
      </c>
      <c r="S593" s="8">
        <f t="shared" si="27"/>
        <v>6723.5449999999992</v>
      </c>
      <c r="T593" s="8">
        <f t="shared" si="28"/>
        <v>-5473.5449999999992</v>
      </c>
      <c r="U593" s="9">
        <f t="shared" si="29"/>
        <v>-0.81408617031640296</v>
      </c>
    </row>
    <row r="594" spans="1:22" outlineLevel="2">
      <c r="A594" t="s">
        <v>272</v>
      </c>
      <c r="B594" t="s">
        <v>273</v>
      </c>
      <c r="C594" t="s">
        <v>198</v>
      </c>
      <c r="D594" t="s">
        <v>199</v>
      </c>
      <c r="E594" s="4">
        <v>0</v>
      </c>
      <c r="F594" s="4">
        <v>0</v>
      </c>
      <c r="G594" s="4">
        <v>0</v>
      </c>
      <c r="H594" s="4">
        <v>-542.77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562.9</v>
      </c>
      <c r="S594" s="8">
        <f t="shared" si="27"/>
        <v>0</v>
      </c>
      <c r="T594" s="8">
        <f t="shared" si="28"/>
        <v>562.9</v>
      </c>
      <c r="U594" s="9" t="e">
        <f t="shared" si="29"/>
        <v>#DIV/0!</v>
      </c>
      <c r="V594" t="s">
        <v>895</v>
      </c>
    </row>
    <row r="595" spans="1:22" outlineLevel="2">
      <c r="A595" t="s">
        <v>272</v>
      </c>
      <c r="B595" t="s">
        <v>273</v>
      </c>
      <c r="C595" t="s">
        <v>276</v>
      </c>
      <c r="D595" t="s">
        <v>277</v>
      </c>
      <c r="E595" s="4">
        <v>-2431</v>
      </c>
      <c r="F595" s="4">
        <v>0</v>
      </c>
      <c r="G595" s="4">
        <v>0</v>
      </c>
      <c r="H595" s="4">
        <v>-301.18000000000029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-5.4569682106375694E-12</v>
      </c>
      <c r="S595" s="8">
        <f t="shared" si="27"/>
        <v>-9.0949470177292824E-13</v>
      </c>
      <c r="T595" s="8">
        <f t="shared" si="28"/>
        <v>9.0949470177292824E-13</v>
      </c>
      <c r="U595" s="9">
        <f t="shared" si="29"/>
        <v>-1</v>
      </c>
    </row>
    <row r="596" spans="1:22" outlineLevel="2">
      <c r="A596" t="s">
        <v>272</v>
      </c>
      <c r="B596" t="s">
        <v>273</v>
      </c>
      <c r="C596" t="s">
        <v>111</v>
      </c>
      <c r="D596" t="s">
        <v>112</v>
      </c>
      <c r="E596" s="4">
        <v>4127.13</v>
      </c>
      <c r="F596" s="4">
        <v>89.88</v>
      </c>
      <c r="G596" s="4">
        <v>0</v>
      </c>
      <c r="H596" s="4">
        <v>-243.89999999999964</v>
      </c>
      <c r="I596" s="4">
        <v>0</v>
      </c>
      <c r="J596" s="4">
        <v>0</v>
      </c>
      <c r="K596" s="4">
        <v>-294</v>
      </c>
      <c r="L596" s="4">
        <v>0</v>
      </c>
      <c r="M596" s="4">
        <v>6520.09</v>
      </c>
      <c r="N596" s="4">
        <v>18951.2</v>
      </c>
      <c r="O596" s="4">
        <v>10816.65</v>
      </c>
      <c r="P596" s="4">
        <v>0</v>
      </c>
      <c r="Q596" s="4">
        <v>0</v>
      </c>
      <c r="S596" s="8">
        <f t="shared" si="27"/>
        <v>6047.9900000000007</v>
      </c>
      <c r="T596" s="8">
        <f t="shared" si="28"/>
        <v>-6047.9900000000007</v>
      </c>
      <c r="U596" s="9">
        <f t="shared" si="29"/>
        <v>-1</v>
      </c>
    </row>
    <row r="597" spans="1:22" outlineLevel="2">
      <c r="A597" t="s">
        <v>272</v>
      </c>
      <c r="B597" t="s">
        <v>273</v>
      </c>
      <c r="C597" t="s">
        <v>117</v>
      </c>
      <c r="D597" t="s">
        <v>118</v>
      </c>
      <c r="E597" s="4">
        <v>-6448.44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S597" s="8">
        <f t="shared" si="27"/>
        <v>0</v>
      </c>
      <c r="T597" s="8">
        <f t="shared" si="28"/>
        <v>0</v>
      </c>
      <c r="U597" s="9" t="e">
        <f t="shared" si="29"/>
        <v>#DIV/0!</v>
      </c>
    </row>
    <row r="598" spans="1:22" outlineLevel="2">
      <c r="A598" t="s">
        <v>272</v>
      </c>
      <c r="B598" t="s">
        <v>273</v>
      </c>
      <c r="C598" t="s">
        <v>170</v>
      </c>
      <c r="D598" t="s">
        <v>171</v>
      </c>
      <c r="E598" s="4">
        <v>4140</v>
      </c>
      <c r="F598" s="4">
        <v>2790</v>
      </c>
      <c r="G598" s="4">
        <v>2790</v>
      </c>
      <c r="H598" s="4">
        <v>2340</v>
      </c>
      <c r="I598" s="4">
        <v>2340</v>
      </c>
      <c r="J598" s="4">
        <v>2340</v>
      </c>
      <c r="K598" s="4">
        <v>2340</v>
      </c>
      <c r="L598" s="4">
        <v>3375</v>
      </c>
      <c r="M598" s="4">
        <v>2250</v>
      </c>
      <c r="N598" s="4">
        <v>2250</v>
      </c>
      <c r="O598" s="4">
        <v>2205</v>
      </c>
      <c r="P598" s="4">
        <v>2070</v>
      </c>
      <c r="Q598" s="4">
        <v>1035</v>
      </c>
      <c r="S598" s="8">
        <f t="shared" si="27"/>
        <v>2197.5</v>
      </c>
      <c r="T598" s="8">
        <f t="shared" si="28"/>
        <v>-2197.5</v>
      </c>
      <c r="U598" s="9">
        <f t="shared" si="29"/>
        <v>-1</v>
      </c>
    </row>
    <row r="599" spans="1:22" outlineLevel="2">
      <c r="A599" t="s">
        <v>272</v>
      </c>
      <c r="B599" t="s">
        <v>273</v>
      </c>
      <c r="C599" t="s">
        <v>226</v>
      </c>
      <c r="D599" t="s">
        <v>227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S599" s="8">
        <f t="shared" si="27"/>
        <v>0</v>
      </c>
      <c r="T599" s="8">
        <f t="shared" si="28"/>
        <v>0</v>
      </c>
      <c r="U599" s="9" t="e">
        <f t="shared" si="29"/>
        <v>#DIV/0!</v>
      </c>
    </row>
    <row r="600" spans="1:22" outlineLevel="2">
      <c r="A600" t="s">
        <v>272</v>
      </c>
      <c r="B600" t="s">
        <v>273</v>
      </c>
      <c r="C600" t="s">
        <v>127</v>
      </c>
      <c r="D600" t="s">
        <v>120</v>
      </c>
      <c r="E600" s="4">
        <v>390.45</v>
      </c>
      <c r="F600" s="4">
        <v>968.65000000000009</v>
      </c>
      <c r="G600" s="4">
        <v>329.52000000000004</v>
      </c>
      <c r="H600" s="4">
        <v>2048.91</v>
      </c>
      <c r="I600" s="4">
        <v>5452.9400000000005</v>
      </c>
      <c r="J600" s="4">
        <v>11484.21</v>
      </c>
      <c r="K600" s="4">
        <v>1074.49</v>
      </c>
      <c r="L600" s="4">
        <v>139.29</v>
      </c>
      <c r="M600" s="4">
        <v>-98.509999999999991</v>
      </c>
      <c r="N600" s="4">
        <v>46.559999999999995</v>
      </c>
      <c r="O600" s="4">
        <v>6395.6099999999988</v>
      </c>
      <c r="P600" s="4">
        <v>1850.33</v>
      </c>
      <c r="Q600" s="4">
        <v>26.090000000000003</v>
      </c>
      <c r="R600" s="4">
        <v>80.03</v>
      </c>
      <c r="S600" s="8">
        <f t="shared" si="27"/>
        <v>1393.2283333333332</v>
      </c>
      <c r="T600" s="8">
        <f t="shared" si="28"/>
        <v>-1313.1983333333333</v>
      </c>
      <c r="U600" s="9">
        <f t="shared" si="29"/>
        <v>-0.94255787218414788</v>
      </c>
    </row>
    <row r="601" spans="1:22" outlineLevel="2">
      <c r="A601" t="s">
        <v>272</v>
      </c>
      <c r="B601" t="s">
        <v>273</v>
      </c>
      <c r="C601" t="s">
        <v>190</v>
      </c>
      <c r="D601" t="s">
        <v>191</v>
      </c>
      <c r="E601" s="4">
        <v>0</v>
      </c>
      <c r="F601" s="4">
        <v>35750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5569.2</v>
      </c>
      <c r="N601" s="4">
        <v>0</v>
      </c>
      <c r="O601" s="4">
        <v>44867.41</v>
      </c>
      <c r="P601" s="4">
        <v>0</v>
      </c>
      <c r="Q601" s="4">
        <v>0</v>
      </c>
      <c r="S601" s="8">
        <f t="shared" si="27"/>
        <v>8406.1016666666674</v>
      </c>
      <c r="T601" s="8">
        <f t="shared" si="28"/>
        <v>-8406.1016666666674</v>
      </c>
      <c r="U601" s="9">
        <f t="shared" si="29"/>
        <v>-1</v>
      </c>
    </row>
    <row r="602" spans="1:22" outlineLevel="1">
      <c r="A602" s="1" t="s">
        <v>706</v>
      </c>
      <c r="E602" s="4">
        <f>SUBTOTAL(9,E549:E601)</f>
        <v>1145843.1400000001</v>
      </c>
      <c r="F602" s="4">
        <f>SUBTOTAL(9,F549:F601)</f>
        <v>1058814.56</v>
      </c>
      <c r="G602" s="4">
        <f>SUBTOTAL(9,G549:G601)</f>
        <v>1014209.3299999998</v>
      </c>
      <c r="H602" s="4">
        <f>SUBTOTAL(9,H549:H601)</f>
        <v>1094307.73</v>
      </c>
      <c r="I602" s="4">
        <f>SUBTOTAL(9,I549:I601)</f>
        <v>1135247.33</v>
      </c>
      <c r="J602" s="4">
        <f>SUBTOTAL(9,J549:J601)</f>
        <v>940624.48000000021</v>
      </c>
      <c r="K602" s="4">
        <f>SUBTOTAL(9,K549:K601)</f>
        <v>1074951.58</v>
      </c>
      <c r="L602" s="4">
        <f>SUBTOTAL(9,L549:L601)</f>
        <v>1093062.7000000002</v>
      </c>
      <c r="M602" s="4">
        <f>SUBTOTAL(9,M549:M601)</f>
        <v>1183378.5400000005</v>
      </c>
      <c r="N602" s="4">
        <f>SUBTOTAL(9,N549:N601)</f>
        <v>1089000.0900000001</v>
      </c>
      <c r="O602" s="4">
        <f>SUBTOTAL(9,O549:O601)</f>
        <v>1065746.5399999998</v>
      </c>
      <c r="P602" s="4">
        <f>SUBTOTAL(9,P549:P601)</f>
        <v>950589.07</v>
      </c>
      <c r="Q602" s="4">
        <f>SUBTOTAL(9,Q549:Q601)</f>
        <v>983620.23</v>
      </c>
      <c r="R602" s="4">
        <f>SUBTOTAL(9,R549:R601)</f>
        <v>1133677.5499999998</v>
      </c>
      <c r="S602" s="8">
        <f t="shared" si="27"/>
        <v>1060899.5283333336</v>
      </c>
      <c r="T602" s="8">
        <f t="shared" si="28"/>
        <v>72778.02166666626</v>
      </c>
      <c r="U602" s="9">
        <f t="shared" si="29"/>
        <v>6.860029599692638E-2</v>
      </c>
      <c r="V602" t="s">
        <v>896</v>
      </c>
    </row>
    <row r="603" spans="1:22" outlineLevel="2">
      <c r="A603" t="s">
        <v>278</v>
      </c>
      <c r="B603" t="s">
        <v>279</v>
      </c>
      <c r="C603" t="s">
        <v>21</v>
      </c>
      <c r="D603" t="s">
        <v>22</v>
      </c>
      <c r="E603" s="4">
        <v>0</v>
      </c>
      <c r="F603" s="4">
        <v>175.93999999999997</v>
      </c>
      <c r="G603" s="4">
        <v>152.45000000000002</v>
      </c>
      <c r="H603" s="4">
        <v>204.54</v>
      </c>
      <c r="I603" s="4">
        <v>205.85</v>
      </c>
      <c r="J603" s="4">
        <v>181.89000000000001</v>
      </c>
      <c r="K603" s="4">
        <v>613.78</v>
      </c>
      <c r="L603" s="4">
        <v>149.55999999999997</v>
      </c>
      <c r="M603" s="4">
        <v>219.11</v>
      </c>
      <c r="N603" s="4">
        <v>1394.1499999999999</v>
      </c>
      <c r="O603" s="4">
        <v>627.45999999999992</v>
      </c>
      <c r="P603" s="4">
        <v>137.87</v>
      </c>
      <c r="Q603" s="4">
        <v>627.32000000000005</v>
      </c>
      <c r="R603" s="4">
        <v>372.6</v>
      </c>
      <c r="S603" s="8">
        <f t="shared" si="27"/>
        <v>525.91166666666663</v>
      </c>
      <c r="T603" s="8">
        <f t="shared" si="28"/>
        <v>-153.31166666666661</v>
      </c>
      <c r="U603" s="9">
        <f t="shared" si="29"/>
        <v>-0.29151600237048669</v>
      </c>
    </row>
    <row r="604" spans="1:22" outlineLevel="2">
      <c r="A604" t="s">
        <v>278</v>
      </c>
      <c r="B604" t="s">
        <v>279</v>
      </c>
      <c r="C604" t="s">
        <v>23</v>
      </c>
      <c r="D604" t="s">
        <v>24</v>
      </c>
      <c r="E604" s="4">
        <v>0</v>
      </c>
      <c r="F604" s="4">
        <v>1494.4399999999998</v>
      </c>
      <c r="G604" s="4">
        <v>9465.4300000000021</v>
      </c>
      <c r="H604" s="4">
        <v>2046.63</v>
      </c>
      <c r="I604" s="4">
        <v>3505.52</v>
      </c>
      <c r="J604" s="4">
        <v>15633.15</v>
      </c>
      <c r="K604" s="4">
        <v>-5868.51</v>
      </c>
      <c r="L604" s="4">
        <v>1477.8299999999997</v>
      </c>
      <c r="M604" s="4">
        <v>445.54999999999995</v>
      </c>
      <c r="N604" s="4">
        <v>439.82</v>
      </c>
      <c r="O604" s="4">
        <v>134.88999999999999</v>
      </c>
      <c r="P604" s="4">
        <v>487.03</v>
      </c>
      <c r="Q604" s="4">
        <v>201.35</v>
      </c>
      <c r="R604" s="4">
        <v>875.7399999999999</v>
      </c>
      <c r="S604" s="8">
        <f t="shared" si="27"/>
        <v>531.07833333333326</v>
      </c>
      <c r="T604" s="8">
        <f t="shared" si="28"/>
        <v>344.66166666666663</v>
      </c>
      <c r="U604" s="9">
        <f t="shared" si="29"/>
        <v>0.64898461306712441</v>
      </c>
    </row>
    <row r="605" spans="1:22" outlineLevel="2">
      <c r="A605" t="s">
        <v>278</v>
      </c>
      <c r="B605" t="s">
        <v>279</v>
      </c>
      <c r="C605" t="s">
        <v>25</v>
      </c>
      <c r="D605" t="s">
        <v>26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2283.56</v>
      </c>
      <c r="N605" s="4">
        <v>7145.5999999999995</v>
      </c>
      <c r="O605" s="4">
        <v>811.36</v>
      </c>
      <c r="P605" s="4">
        <v>1253.1800000000003</v>
      </c>
      <c r="Q605" s="4">
        <v>1082.73</v>
      </c>
      <c r="R605" s="4">
        <v>4681.9699999999993</v>
      </c>
      <c r="S605" s="8">
        <f t="shared" si="27"/>
        <v>2096.0716666666667</v>
      </c>
      <c r="T605" s="8">
        <f t="shared" si="28"/>
        <v>2585.8983333333326</v>
      </c>
      <c r="U605" s="9">
        <f t="shared" si="29"/>
        <v>1.2336879384690247</v>
      </c>
    </row>
    <row r="606" spans="1:22" outlineLevel="2">
      <c r="A606" t="s">
        <v>278</v>
      </c>
      <c r="B606" t="s">
        <v>279</v>
      </c>
      <c r="C606" t="s">
        <v>27</v>
      </c>
      <c r="D606" t="s">
        <v>28</v>
      </c>
      <c r="E606" s="4">
        <v>226.97000000000003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120.53</v>
      </c>
      <c r="L606" s="4">
        <v>55.63</v>
      </c>
      <c r="M606" s="4">
        <v>1989.35</v>
      </c>
      <c r="N606" s="4">
        <v>1283.8800000000001</v>
      </c>
      <c r="O606" s="4">
        <v>-15.409999999999854</v>
      </c>
      <c r="P606" s="4">
        <v>30290.260000000002</v>
      </c>
      <c r="Q606" s="4">
        <v>-14313.050000000001</v>
      </c>
      <c r="R606" s="4">
        <v>6001.8300000000008</v>
      </c>
      <c r="S606" s="8">
        <f t="shared" si="27"/>
        <v>3215.1099999999992</v>
      </c>
      <c r="T606" s="8">
        <f t="shared" si="28"/>
        <v>2786.7200000000016</v>
      </c>
      <c r="U606" s="9">
        <f t="shared" si="29"/>
        <v>0.86675728046629896</v>
      </c>
    </row>
    <row r="607" spans="1:22" outlineLevel="2">
      <c r="A607" t="s">
        <v>278</v>
      </c>
      <c r="B607" t="s">
        <v>279</v>
      </c>
      <c r="C607" t="s">
        <v>194</v>
      </c>
      <c r="D607" t="s">
        <v>195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15.12</v>
      </c>
      <c r="S607" s="8">
        <f t="shared" si="27"/>
        <v>2.52</v>
      </c>
      <c r="T607" s="8">
        <f t="shared" si="28"/>
        <v>-2.52</v>
      </c>
      <c r="U607" s="9">
        <f t="shared" si="29"/>
        <v>-1</v>
      </c>
    </row>
    <row r="608" spans="1:22" outlineLevel="2">
      <c r="A608" t="s">
        <v>278</v>
      </c>
      <c r="B608" t="s">
        <v>279</v>
      </c>
      <c r="C608" t="s">
        <v>136</v>
      </c>
      <c r="D608" t="s">
        <v>137</v>
      </c>
      <c r="E608" s="4">
        <v>172770.13</v>
      </c>
      <c r="F608" s="4">
        <v>132473.16999999998</v>
      </c>
      <c r="G608" s="4">
        <v>160074.44</v>
      </c>
      <c r="H608" s="4">
        <v>156204.76999999999</v>
      </c>
      <c r="I608" s="4">
        <v>161411.63999999998</v>
      </c>
      <c r="J608" s="4">
        <v>156204.72</v>
      </c>
      <c r="K608" s="4">
        <v>164707.81</v>
      </c>
      <c r="L608" s="4">
        <v>164604.78</v>
      </c>
      <c r="M608" s="4">
        <v>159294.93</v>
      </c>
      <c r="N608" s="4">
        <v>164604.76999999999</v>
      </c>
      <c r="O608" s="4">
        <v>159294.95000000001</v>
      </c>
      <c r="P608" s="4">
        <v>142654.12</v>
      </c>
      <c r="Q608" s="4">
        <v>108932.73000000001</v>
      </c>
      <c r="R608" s="4">
        <v>99449.22</v>
      </c>
      <c r="S608" s="8">
        <f t="shared" si="27"/>
        <v>149897.71333333332</v>
      </c>
      <c r="T608" s="8">
        <f t="shared" si="28"/>
        <v>-50448.493333333317</v>
      </c>
      <c r="U608" s="9">
        <f t="shared" si="29"/>
        <v>-0.33655278797448401</v>
      </c>
      <c r="V608" t="s">
        <v>896</v>
      </c>
    </row>
    <row r="609" spans="1:22" outlineLevel="2">
      <c r="A609" t="s">
        <v>278</v>
      </c>
      <c r="B609" t="s">
        <v>279</v>
      </c>
      <c r="C609" t="s">
        <v>138</v>
      </c>
      <c r="D609" t="s">
        <v>139</v>
      </c>
      <c r="E609" s="4">
        <v>25381.58</v>
      </c>
      <c r="F609" s="4">
        <v>23181.230000000003</v>
      </c>
      <c r="G609" s="4">
        <v>24183.39</v>
      </c>
      <c r="H609" s="4">
        <v>23892.440000000002</v>
      </c>
      <c r="I609" s="4">
        <v>22533.97</v>
      </c>
      <c r="J609" s="4">
        <v>23836.079999999998</v>
      </c>
      <c r="K609" s="4">
        <v>25461.17</v>
      </c>
      <c r="L609" s="4">
        <v>24718.49</v>
      </c>
      <c r="M609" s="4">
        <v>23483.69</v>
      </c>
      <c r="N609" s="4">
        <v>26418.84</v>
      </c>
      <c r="O609" s="4">
        <v>24017.62</v>
      </c>
      <c r="P609" s="4">
        <v>24172.34</v>
      </c>
      <c r="Q609" s="4">
        <v>31502.999999999996</v>
      </c>
      <c r="R609" s="4">
        <v>22456.21</v>
      </c>
      <c r="S609" s="8">
        <f t="shared" si="27"/>
        <v>25718.996666666662</v>
      </c>
      <c r="T609" s="8">
        <f t="shared" si="28"/>
        <v>-3262.7866666666632</v>
      </c>
      <c r="U609" s="9">
        <f t="shared" si="29"/>
        <v>-0.12686290639383407</v>
      </c>
    </row>
    <row r="610" spans="1:22" outlineLevel="2">
      <c r="A610" t="s">
        <v>278</v>
      </c>
      <c r="B610" t="s">
        <v>279</v>
      </c>
      <c r="C610" t="s">
        <v>29</v>
      </c>
      <c r="D610" t="s">
        <v>30</v>
      </c>
      <c r="E610" s="4">
        <v>2581.96</v>
      </c>
      <c r="F610" s="4">
        <v>4380.0200000000004</v>
      </c>
      <c r="G610" s="4">
        <v>2510.77</v>
      </c>
      <c r="H610" s="4">
        <v>295.87000000000012</v>
      </c>
      <c r="I610" s="4">
        <v>3510.53</v>
      </c>
      <c r="J610" s="4">
        <v>2649</v>
      </c>
      <c r="K610" s="4">
        <v>2381.0299999999997</v>
      </c>
      <c r="L610" s="4">
        <v>2457.63</v>
      </c>
      <c r="M610" s="4">
        <v>3062.6499999999996</v>
      </c>
      <c r="N610" s="4">
        <v>4864.67</v>
      </c>
      <c r="O610" s="4">
        <v>2407.83</v>
      </c>
      <c r="P610" s="4">
        <v>1143.81</v>
      </c>
      <c r="Q610" s="4">
        <v>2320.86</v>
      </c>
      <c r="R610" s="4">
        <v>3682.06</v>
      </c>
      <c r="S610" s="8">
        <f t="shared" si="27"/>
        <v>2709.5750000000003</v>
      </c>
      <c r="T610" s="8">
        <f t="shared" si="28"/>
        <v>972.48499999999967</v>
      </c>
      <c r="U610" s="9">
        <f t="shared" si="29"/>
        <v>0.35890683963352171</v>
      </c>
    </row>
    <row r="611" spans="1:22" outlineLevel="2">
      <c r="A611" t="s">
        <v>278</v>
      </c>
      <c r="B611" t="s">
        <v>279</v>
      </c>
      <c r="C611" t="s">
        <v>142</v>
      </c>
      <c r="D611" t="s">
        <v>143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5000</v>
      </c>
      <c r="S611" s="8">
        <f t="shared" si="27"/>
        <v>833.33333333333337</v>
      </c>
      <c r="T611" s="8">
        <f t="shared" si="28"/>
        <v>-833.33333333333337</v>
      </c>
      <c r="U611" s="9">
        <f t="shared" si="29"/>
        <v>-1</v>
      </c>
    </row>
    <row r="612" spans="1:22" outlineLevel="2">
      <c r="A612" t="s">
        <v>278</v>
      </c>
      <c r="B612" t="s">
        <v>279</v>
      </c>
      <c r="C612" t="s">
        <v>144</v>
      </c>
      <c r="D612" t="s">
        <v>145</v>
      </c>
      <c r="E612" s="4">
        <v>44643.780000000006</v>
      </c>
      <c r="F612" s="4">
        <v>11892.14</v>
      </c>
      <c r="G612" s="4">
        <v>41209.5</v>
      </c>
      <c r="H612" s="4">
        <v>28071.219999999998</v>
      </c>
      <c r="I612" s="4">
        <v>44306.34</v>
      </c>
      <c r="J612" s="4">
        <v>11136.380000000003</v>
      </c>
      <c r="K612" s="4">
        <v>35888.129999999997</v>
      </c>
      <c r="L612" s="4">
        <v>36431.14</v>
      </c>
      <c r="M612" s="4">
        <v>39987.839999999997</v>
      </c>
      <c r="N612" s="4">
        <v>32187.14</v>
      </c>
      <c r="O612" s="4">
        <v>27253.399999999998</v>
      </c>
      <c r="P612" s="4">
        <v>27896.720000000008</v>
      </c>
      <c r="Q612" s="4">
        <v>26121.95</v>
      </c>
      <c r="R612" s="4">
        <v>5737.42</v>
      </c>
      <c r="S612" s="8">
        <f t="shared" si="27"/>
        <v>31646.365000000002</v>
      </c>
      <c r="T612" s="8">
        <f t="shared" si="28"/>
        <v>-25908.945</v>
      </c>
      <c r="U612" s="9">
        <f t="shared" si="29"/>
        <v>-0.81870208474180206</v>
      </c>
    </row>
    <row r="613" spans="1:22" outlineLevel="2">
      <c r="A613" t="s">
        <v>278</v>
      </c>
      <c r="B613" t="s">
        <v>279</v>
      </c>
      <c r="C613" t="s">
        <v>146</v>
      </c>
      <c r="D613" t="s">
        <v>147</v>
      </c>
      <c r="E613" s="4">
        <v>17909.880000000005</v>
      </c>
      <c r="F613" s="4">
        <v>17317.219999999998</v>
      </c>
      <c r="G613" s="4">
        <v>51225.61</v>
      </c>
      <c r="H613" s="4">
        <v>15358.24</v>
      </c>
      <c r="I613" s="4">
        <v>16522.72</v>
      </c>
      <c r="J613" s="4">
        <v>14284.029999999999</v>
      </c>
      <c r="K613" s="4">
        <v>10514.68</v>
      </c>
      <c r="L613" s="4">
        <v>10804.310000000001</v>
      </c>
      <c r="M613" s="4">
        <v>29691.420000000002</v>
      </c>
      <c r="N613" s="4">
        <v>11215.060000000001</v>
      </c>
      <c r="O613" s="4">
        <v>10468.349999999999</v>
      </c>
      <c r="P613" s="4">
        <v>12631.3</v>
      </c>
      <c r="Q613" s="4">
        <v>14355.029999999999</v>
      </c>
      <c r="R613" s="4">
        <v>12344.480000000001</v>
      </c>
      <c r="S613" s="8">
        <f t="shared" si="27"/>
        <v>14860.911666666667</v>
      </c>
      <c r="T613" s="8">
        <f t="shared" si="28"/>
        <v>-2516.4316666666655</v>
      </c>
      <c r="U613" s="9">
        <f t="shared" si="29"/>
        <v>-0.16933225384221037</v>
      </c>
    </row>
    <row r="614" spans="1:22" outlineLevel="2">
      <c r="A614" t="s">
        <v>278</v>
      </c>
      <c r="B614" t="s">
        <v>279</v>
      </c>
      <c r="C614" t="s">
        <v>148</v>
      </c>
      <c r="D614" t="s">
        <v>149</v>
      </c>
      <c r="E614" s="4">
        <v>0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20000</v>
      </c>
      <c r="N614" s="4">
        <v>0</v>
      </c>
      <c r="O614" s="4">
        <v>0</v>
      </c>
      <c r="P614" s="4">
        <v>0</v>
      </c>
      <c r="Q614" s="4">
        <v>0</v>
      </c>
      <c r="R614" s="4">
        <v>22100</v>
      </c>
      <c r="S614" s="8">
        <f t="shared" si="27"/>
        <v>3333.3333333333335</v>
      </c>
      <c r="T614" s="8">
        <f t="shared" si="28"/>
        <v>18766.666666666668</v>
      </c>
      <c r="U614" s="9">
        <f t="shared" si="29"/>
        <v>5.63</v>
      </c>
    </row>
    <row r="615" spans="1:22" outlineLevel="2">
      <c r="A615" t="s">
        <v>278</v>
      </c>
      <c r="B615" t="s">
        <v>279</v>
      </c>
      <c r="C615" t="s">
        <v>150</v>
      </c>
      <c r="D615" t="s">
        <v>151</v>
      </c>
      <c r="E615" s="4">
        <v>0</v>
      </c>
      <c r="F615" s="4">
        <v>100026</v>
      </c>
      <c r="G615" s="4">
        <v>20005.200000000012</v>
      </c>
      <c r="H615" s="4">
        <v>127251.57</v>
      </c>
      <c r="I615" s="4">
        <v>108186.20999999999</v>
      </c>
      <c r="J615" s="4">
        <v>71712</v>
      </c>
      <c r="K615" s="4">
        <v>84574.05</v>
      </c>
      <c r="L615" s="4">
        <v>84574.05</v>
      </c>
      <c r="M615" s="4">
        <v>84574.05</v>
      </c>
      <c r="N615" s="4">
        <v>84010.76</v>
      </c>
      <c r="O615" s="4">
        <v>84010.76</v>
      </c>
      <c r="P615" s="4">
        <v>84010.76</v>
      </c>
      <c r="Q615" s="4">
        <v>28751.63</v>
      </c>
      <c r="R615" s="4">
        <v>22243.670000000002</v>
      </c>
      <c r="S615" s="8">
        <f t="shared" si="27"/>
        <v>74988.668333333335</v>
      </c>
      <c r="T615" s="8">
        <f t="shared" si="28"/>
        <v>-52744.998333333337</v>
      </c>
      <c r="U615" s="9">
        <f t="shared" si="29"/>
        <v>-0.70337291627683929</v>
      </c>
    </row>
    <row r="616" spans="1:22" outlineLevel="2">
      <c r="A616" t="s">
        <v>278</v>
      </c>
      <c r="B616" t="s">
        <v>279</v>
      </c>
      <c r="C616" t="s">
        <v>152</v>
      </c>
      <c r="D616" t="s">
        <v>153</v>
      </c>
      <c r="E616" s="4">
        <v>15548.279999999999</v>
      </c>
      <c r="F616" s="4">
        <v>12909.980000000001</v>
      </c>
      <c r="G616" s="4">
        <v>36908.559999999998</v>
      </c>
      <c r="H616" s="4">
        <v>10482.209999999999</v>
      </c>
      <c r="I616" s="4">
        <v>10133.93</v>
      </c>
      <c r="J616" s="4">
        <v>17855.34</v>
      </c>
      <c r="K616" s="4">
        <v>10236.170000000002</v>
      </c>
      <c r="L616" s="4">
        <v>8105.45</v>
      </c>
      <c r="M616" s="4">
        <v>11467.66</v>
      </c>
      <c r="N616" s="4">
        <v>10544.81</v>
      </c>
      <c r="O616" s="4">
        <v>6227.71</v>
      </c>
      <c r="P616" s="4">
        <v>13177.889999999998</v>
      </c>
      <c r="Q616" s="4">
        <v>10842.279999999999</v>
      </c>
      <c r="R616" s="4">
        <v>58162.97</v>
      </c>
      <c r="S616" s="8">
        <f t="shared" si="27"/>
        <v>10060.966666666665</v>
      </c>
      <c r="T616" s="8">
        <f t="shared" si="28"/>
        <v>48102.003333333334</v>
      </c>
      <c r="U616" s="9">
        <f t="shared" si="29"/>
        <v>4.781051853864275</v>
      </c>
      <c r="V616" t="s">
        <v>896</v>
      </c>
    </row>
    <row r="617" spans="1:22" outlineLevel="2">
      <c r="A617" t="s">
        <v>278</v>
      </c>
      <c r="B617" t="s">
        <v>279</v>
      </c>
      <c r="C617" t="s">
        <v>154</v>
      </c>
      <c r="D617" t="s">
        <v>155</v>
      </c>
      <c r="E617" s="4">
        <v>1367.9</v>
      </c>
      <c r="F617" s="4">
        <v>-366.9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909.99999999999989</v>
      </c>
      <c r="S617" s="8">
        <f t="shared" si="27"/>
        <v>151.66666666666666</v>
      </c>
      <c r="T617" s="8">
        <f t="shared" si="28"/>
        <v>-151.66666666666666</v>
      </c>
      <c r="U617" s="9">
        <f t="shared" si="29"/>
        <v>-1</v>
      </c>
    </row>
    <row r="618" spans="1:22" outlineLevel="2">
      <c r="A618" t="s">
        <v>278</v>
      </c>
      <c r="B618" t="s">
        <v>279</v>
      </c>
      <c r="C618" t="s">
        <v>156</v>
      </c>
      <c r="D618" t="s">
        <v>157</v>
      </c>
      <c r="E618" s="4">
        <v>485.61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S618" s="8">
        <f t="shared" si="27"/>
        <v>0</v>
      </c>
      <c r="T618" s="8">
        <f t="shared" si="28"/>
        <v>0</v>
      </c>
      <c r="U618" s="9" t="e">
        <f t="shared" si="29"/>
        <v>#DIV/0!</v>
      </c>
    </row>
    <row r="619" spans="1:22" outlineLevel="2">
      <c r="A619" t="s">
        <v>278</v>
      </c>
      <c r="B619" t="s">
        <v>279</v>
      </c>
      <c r="C619" t="s">
        <v>216</v>
      </c>
      <c r="D619" t="s">
        <v>217</v>
      </c>
      <c r="E619" s="4">
        <v>0</v>
      </c>
      <c r="F619" s="4">
        <v>1920.49</v>
      </c>
      <c r="G619" s="4">
        <v>-1920.49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S619" s="8">
        <f t="shared" si="27"/>
        <v>0</v>
      </c>
      <c r="T619" s="8">
        <f t="shared" si="28"/>
        <v>0</v>
      </c>
      <c r="U619" s="9" t="e">
        <f t="shared" si="29"/>
        <v>#DIV/0!</v>
      </c>
    </row>
    <row r="620" spans="1:22" outlineLevel="2">
      <c r="A620" t="s">
        <v>278</v>
      </c>
      <c r="B620" t="s">
        <v>279</v>
      </c>
      <c r="C620" t="s">
        <v>158</v>
      </c>
      <c r="D620" t="s">
        <v>159</v>
      </c>
      <c r="E620" s="4">
        <v>72333.33</v>
      </c>
      <c r="F620" s="4">
        <v>72333</v>
      </c>
      <c r="G620" s="4">
        <v>110168.35999999999</v>
      </c>
      <c r="H620" s="4">
        <v>72755.19</v>
      </c>
      <c r="I620" s="4">
        <v>72333</v>
      </c>
      <c r="J620" s="4">
        <v>225345.27</v>
      </c>
      <c r="K620" s="4">
        <v>72333</v>
      </c>
      <c r="L620" s="4">
        <v>72333</v>
      </c>
      <c r="M620" s="4">
        <v>236456.08999999997</v>
      </c>
      <c r="N620" s="4">
        <v>72333</v>
      </c>
      <c r="O620" s="4">
        <v>72333</v>
      </c>
      <c r="P620" s="4">
        <v>218285.38999999996</v>
      </c>
      <c r="Q620" s="4">
        <v>25000</v>
      </c>
      <c r="R620" s="4">
        <v>25000</v>
      </c>
      <c r="S620" s="8">
        <f t="shared" si="27"/>
        <v>116123.41333333333</v>
      </c>
      <c r="T620" s="8">
        <f t="shared" si="28"/>
        <v>-91123.41333333333</v>
      </c>
      <c r="U620" s="9">
        <f t="shared" si="29"/>
        <v>-0.78471180546306141</v>
      </c>
      <c r="V620" t="s">
        <v>896</v>
      </c>
    </row>
    <row r="621" spans="1:22" outlineLevel="2">
      <c r="A621" t="s">
        <v>278</v>
      </c>
      <c r="B621" t="s">
        <v>279</v>
      </c>
      <c r="C621" t="s">
        <v>160</v>
      </c>
      <c r="D621" t="s">
        <v>161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4032.57</v>
      </c>
      <c r="N621" s="4">
        <v>0</v>
      </c>
      <c r="O621" s="4">
        <v>0</v>
      </c>
      <c r="P621" s="4">
        <v>1834.64</v>
      </c>
      <c r="Q621" s="4">
        <v>0</v>
      </c>
      <c r="S621" s="8">
        <f t="shared" si="27"/>
        <v>977.86833333333334</v>
      </c>
      <c r="T621" s="8">
        <f t="shared" si="28"/>
        <v>-977.86833333333334</v>
      </c>
      <c r="U621" s="9">
        <f t="shared" si="29"/>
        <v>-1</v>
      </c>
    </row>
    <row r="622" spans="1:22" outlineLevel="2">
      <c r="A622" t="s">
        <v>278</v>
      </c>
      <c r="B622" t="s">
        <v>279</v>
      </c>
      <c r="C622" t="s">
        <v>230</v>
      </c>
      <c r="D622" t="s">
        <v>231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760734.48</v>
      </c>
      <c r="R622" s="4">
        <v>272109.84999999998</v>
      </c>
      <c r="S622" s="8">
        <f t="shared" si="27"/>
        <v>126789.08</v>
      </c>
      <c r="T622" s="8">
        <f t="shared" si="28"/>
        <v>145320.76999999996</v>
      </c>
      <c r="U622" s="9">
        <f t="shared" si="29"/>
        <v>1.1461615621786982</v>
      </c>
      <c r="V622" t="s">
        <v>896</v>
      </c>
    </row>
    <row r="623" spans="1:22" outlineLevel="2">
      <c r="A623" t="s">
        <v>278</v>
      </c>
      <c r="B623" t="s">
        <v>279</v>
      </c>
      <c r="C623" t="s">
        <v>232</v>
      </c>
      <c r="D623" t="s">
        <v>233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331426.11</v>
      </c>
      <c r="R623" s="4">
        <v>311595.33</v>
      </c>
      <c r="S623" s="8">
        <f t="shared" si="27"/>
        <v>55237.684999999998</v>
      </c>
      <c r="T623" s="8">
        <f t="shared" si="28"/>
        <v>256357.64500000002</v>
      </c>
      <c r="U623" s="9">
        <f t="shared" si="29"/>
        <v>4.6409918337453862</v>
      </c>
      <c r="V623" t="s">
        <v>896</v>
      </c>
    </row>
    <row r="624" spans="1:22" outlineLevel="2">
      <c r="A624" t="s">
        <v>278</v>
      </c>
      <c r="B624" t="s">
        <v>279</v>
      </c>
      <c r="C624" t="s">
        <v>218</v>
      </c>
      <c r="D624" t="s">
        <v>219</v>
      </c>
      <c r="E624" s="4">
        <v>0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2412.37</v>
      </c>
      <c r="R624" s="4">
        <v>2412.37</v>
      </c>
      <c r="S624" s="8">
        <f t="shared" si="27"/>
        <v>402.06166666666667</v>
      </c>
      <c r="T624" s="8">
        <f t="shared" si="28"/>
        <v>2010.3083333333332</v>
      </c>
      <c r="U624" s="9">
        <f t="shared" si="29"/>
        <v>5</v>
      </c>
    </row>
    <row r="625" spans="1:22" outlineLevel="2">
      <c r="A625" t="s">
        <v>278</v>
      </c>
      <c r="B625" t="s">
        <v>279</v>
      </c>
      <c r="C625" t="s">
        <v>51</v>
      </c>
      <c r="D625" t="s">
        <v>52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357.47</v>
      </c>
      <c r="K625" s="4">
        <v>0</v>
      </c>
      <c r="L625" s="4">
        <v>0</v>
      </c>
      <c r="M625" s="4">
        <v>0</v>
      </c>
      <c r="N625" s="4">
        <v>0</v>
      </c>
      <c r="O625" s="4">
        <v>127.8</v>
      </c>
      <c r="P625" s="4">
        <v>0</v>
      </c>
      <c r="Q625" s="4">
        <v>0</v>
      </c>
      <c r="R625" s="4">
        <v>43.32</v>
      </c>
      <c r="S625" s="8">
        <f t="shared" si="27"/>
        <v>21.3</v>
      </c>
      <c r="T625" s="8">
        <f t="shared" si="28"/>
        <v>22.02</v>
      </c>
      <c r="U625" s="9">
        <f t="shared" si="29"/>
        <v>1.0338028169014084</v>
      </c>
    </row>
    <row r="626" spans="1:22" outlineLevel="2">
      <c r="A626" t="s">
        <v>278</v>
      </c>
      <c r="B626" t="s">
        <v>279</v>
      </c>
      <c r="C626" t="s">
        <v>164</v>
      </c>
      <c r="D626" t="s">
        <v>165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420</v>
      </c>
      <c r="R626" s="4">
        <v>420</v>
      </c>
      <c r="S626" s="8">
        <f t="shared" si="27"/>
        <v>70</v>
      </c>
      <c r="T626" s="8">
        <f t="shared" si="28"/>
        <v>350</v>
      </c>
      <c r="U626" s="9">
        <f t="shared" si="29"/>
        <v>5</v>
      </c>
    </row>
    <row r="627" spans="1:22" outlineLevel="2">
      <c r="A627" t="s">
        <v>278</v>
      </c>
      <c r="B627" t="s">
        <v>279</v>
      </c>
      <c r="C627" t="s">
        <v>89</v>
      </c>
      <c r="D627" t="s">
        <v>90</v>
      </c>
      <c r="E627" s="4">
        <v>21117.11</v>
      </c>
      <c r="F627" s="4">
        <v>38837.490000000005</v>
      </c>
      <c r="G627" s="4">
        <v>23789.170000000002</v>
      </c>
      <c r="H627" s="4">
        <v>19455.420000000002</v>
      </c>
      <c r="I627" s="4">
        <v>37741.89</v>
      </c>
      <c r="J627" s="4">
        <v>37394.42</v>
      </c>
      <c r="K627" s="4">
        <v>28293.420000000006</v>
      </c>
      <c r="L627" s="4">
        <v>19455.420000000002</v>
      </c>
      <c r="M627" s="4">
        <v>16625.330000000002</v>
      </c>
      <c r="N627" s="4">
        <v>43123.509999999995</v>
      </c>
      <c r="O627" s="4">
        <v>19455.420000000002</v>
      </c>
      <c r="P627" s="4">
        <v>43828.31</v>
      </c>
      <c r="Q627" s="4">
        <v>44751.150000000009</v>
      </c>
      <c r="R627" s="4">
        <v>20160.47</v>
      </c>
      <c r="S627" s="8">
        <f t="shared" si="27"/>
        <v>31206.523333333334</v>
      </c>
      <c r="T627" s="8">
        <f t="shared" si="28"/>
        <v>-11046.053333333333</v>
      </c>
      <c r="U627" s="9">
        <f t="shared" si="29"/>
        <v>-0.35396616327120495</v>
      </c>
    </row>
    <row r="628" spans="1:22" outlineLevel="2">
      <c r="A628" t="s">
        <v>278</v>
      </c>
      <c r="B628" t="s">
        <v>279</v>
      </c>
      <c r="C628" t="s">
        <v>166</v>
      </c>
      <c r="D628" t="s">
        <v>167</v>
      </c>
      <c r="E628" s="4">
        <v>4500</v>
      </c>
      <c r="F628" s="4">
        <v>0</v>
      </c>
      <c r="G628" s="4">
        <v>0</v>
      </c>
      <c r="H628" s="4">
        <v>1148</v>
      </c>
      <c r="I628" s="4">
        <v>0</v>
      </c>
      <c r="J628" s="4">
        <v>409.16</v>
      </c>
      <c r="K628" s="4">
        <v>-4172</v>
      </c>
      <c r="L628" s="4">
        <v>0</v>
      </c>
      <c r="M628" s="4">
        <v>0</v>
      </c>
      <c r="N628" s="4">
        <v>0</v>
      </c>
      <c r="O628" s="4">
        <v>71685.899999999994</v>
      </c>
      <c r="P628" s="4">
        <v>20276.349999999999</v>
      </c>
      <c r="Q628" s="4">
        <v>168661.63</v>
      </c>
      <c r="R628" s="4">
        <v>91321.67</v>
      </c>
      <c r="S628" s="8">
        <f t="shared" si="27"/>
        <v>43437.313333333332</v>
      </c>
      <c r="T628" s="8">
        <f t="shared" si="28"/>
        <v>47884.356666666667</v>
      </c>
      <c r="U628" s="9">
        <f t="shared" si="29"/>
        <v>1.1023784159763104</v>
      </c>
      <c r="V628" t="s">
        <v>896</v>
      </c>
    </row>
    <row r="629" spans="1:22" outlineLevel="2">
      <c r="A629" t="s">
        <v>278</v>
      </c>
      <c r="B629" t="s">
        <v>279</v>
      </c>
      <c r="C629" t="s">
        <v>93</v>
      </c>
      <c r="D629" t="s">
        <v>94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3.76</v>
      </c>
      <c r="P629" s="4">
        <v>2821.87</v>
      </c>
      <c r="Q629" s="4">
        <v>18</v>
      </c>
      <c r="S629" s="8">
        <f t="shared" si="27"/>
        <v>473.93833333333333</v>
      </c>
      <c r="T629" s="8">
        <f t="shared" si="28"/>
        <v>-473.93833333333333</v>
      </c>
      <c r="U629" s="9">
        <f t="shared" si="29"/>
        <v>-1</v>
      </c>
    </row>
    <row r="630" spans="1:22" outlineLevel="2">
      <c r="A630" t="s">
        <v>278</v>
      </c>
      <c r="B630" t="s">
        <v>279</v>
      </c>
      <c r="C630" t="s">
        <v>168</v>
      </c>
      <c r="D630" t="s">
        <v>169</v>
      </c>
      <c r="E630" s="4">
        <v>-739.89999999999782</v>
      </c>
      <c r="F630" s="4">
        <v>71337.499999999985</v>
      </c>
      <c r="G630" s="4">
        <v>200436.75</v>
      </c>
      <c r="H630" s="4">
        <v>99765.1</v>
      </c>
      <c r="I630" s="4">
        <v>60137.2</v>
      </c>
      <c r="J630" s="4">
        <v>176750.57</v>
      </c>
      <c r="K630" s="4">
        <v>14465.79999999999</v>
      </c>
      <c r="L630" s="4">
        <v>44719.430000000008</v>
      </c>
      <c r="M630" s="4">
        <v>80685.14</v>
      </c>
      <c r="N630" s="4">
        <v>156163.5</v>
      </c>
      <c r="O630" s="4">
        <v>-23697.289999999997</v>
      </c>
      <c r="P630" s="4">
        <v>142773.45000000001</v>
      </c>
      <c r="Q630" s="4">
        <v>38317.449999999997</v>
      </c>
      <c r="R630" s="4">
        <v>24003.03</v>
      </c>
      <c r="S630" s="8">
        <f t="shared" si="27"/>
        <v>73160.28</v>
      </c>
      <c r="T630" s="8">
        <f t="shared" si="28"/>
        <v>-49157.25</v>
      </c>
      <c r="U630" s="9">
        <f t="shared" si="29"/>
        <v>-0.6719117258709234</v>
      </c>
    </row>
    <row r="631" spans="1:22" outlineLevel="2">
      <c r="A631" t="s">
        <v>278</v>
      </c>
      <c r="B631" t="s">
        <v>279</v>
      </c>
      <c r="C631" t="s">
        <v>101</v>
      </c>
      <c r="D631" t="s">
        <v>102</v>
      </c>
      <c r="E631" s="4">
        <v>1165.9499999999998</v>
      </c>
      <c r="F631" s="4">
        <v>3506.41</v>
      </c>
      <c r="G631" s="4">
        <v>2318.6</v>
      </c>
      <c r="H631" s="4">
        <v>2318.6</v>
      </c>
      <c r="I631" s="4">
        <v>2318.6</v>
      </c>
      <c r="J631" s="4">
        <v>2318.6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5000</v>
      </c>
      <c r="S631" s="8">
        <f t="shared" si="27"/>
        <v>833.33333333333337</v>
      </c>
      <c r="T631" s="8">
        <f t="shared" si="28"/>
        <v>-833.33333333333337</v>
      </c>
      <c r="U631" s="9">
        <f t="shared" si="29"/>
        <v>-1</v>
      </c>
    </row>
    <row r="632" spans="1:22" outlineLevel="2">
      <c r="A632" t="s">
        <v>278</v>
      </c>
      <c r="B632" t="s">
        <v>279</v>
      </c>
      <c r="C632" t="s">
        <v>111</v>
      </c>
      <c r="D632" t="s">
        <v>112</v>
      </c>
      <c r="E632" s="4">
        <v>0</v>
      </c>
      <c r="F632" s="4">
        <v>820.12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S632" s="8">
        <f t="shared" si="27"/>
        <v>0</v>
      </c>
      <c r="T632" s="8">
        <f t="shared" si="28"/>
        <v>0</v>
      </c>
      <c r="U632" s="9" t="e">
        <f t="shared" si="29"/>
        <v>#DIV/0!</v>
      </c>
    </row>
    <row r="633" spans="1:22" outlineLevel="2">
      <c r="A633" t="s">
        <v>278</v>
      </c>
      <c r="B633" t="s">
        <v>279</v>
      </c>
      <c r="C633" t="s">
        <v>170</v>
      </c>
      <c r="D633" t="s">
        <v>171</v>
      </c>
      <c r="E633" s="4">
        <v>945</v>
      </c>
      <c r="F633" s="4">
        <v>630</v>
      </c>
      <c r="G633" s="4">
        <v>630</v>
      </c>
      <c r="H633" s="4">
        <v>630</v>
      </c>
      <c r="I633" s="4">
        <v>630</v>
      </c>
      <c r="J633" s="4">
        <v>630</v>
      </c>
      <c r="K633" s="4">
        <v>630</v>
      </c>
      <c r="L633" s="4">
        <v>945</v>
      </c>
      <c r="M633" s="4">
        <v>630</v>
      </c>
      <c r="N633" s="4">
        <v>630</v>
      </c>
      <c r="O633" s="4">
        <v>630</v>
      </c>
      <c r="P633" s="4">
        <v>630</v>
      </c>
      <c r="Q633" s="4">
        <v>315</v>
      </c>
      <c r="S633" s="8">
        <f t="shared" si="27"/>
        <v>630</v>
      </c>
      <c r="T633" s="8">
        <f t="shared" si="28"/>
        <v>-630</v>
      </c>
      <c r="U633" s="9">
        <f t="shared" si="29"/>
        <v>-1</v>
      </c>
    </row>
    <row r="634" spans="1:22" outlineLevel="2">
      <c r="A634" t="s">
        <v>278</v>
      </c>
      <c r="B634" t="s">
        <v>279</v>
      </c>
      <c r="C634" t="s">
        <v>127</v>
      </c>
      <c r="D634" t="s">
        <v>120</v>
      </c>
      <c r="E634" s="4">
        <v>0</v>
      </c>
      <c r="F634" s="4">
        <v>0</v>
      </c>
      <c r="G634" s="4">
        <v>0</v>
      </c>
      <c r="H634" s="4">
        <v>322.14</v>
      </c>
      <c r="I634" s="4">
        <v>0</v>
      </c>
      <c r="J634" s="4">
        <v>782.02</v>
      </c>
      <c r="K634" s="4">
        <v>753.54</v>
      </c>
      <c r="L634" s="4">
        <v>13.74</v>
      </c>
      <c r="M634" s="4">
        <v>0</v>
      </c>
      <c r="N634" s="4">
        <v>166.55</v>
      </c>
      <c r="O634" s="4">
        <v>900.74</v>
      </c>
      <c r="P634" s="4">
        <v>0</v>
      </c>
      <c r="Q634" s="4">
        <v>0</v>
      </c>
      <c r="S634" s="8">
        <f t="shared" si="27"/>
        <v>180.17166666666665</v>
      </c>
      <c r="T634" s="8">
        <f t="shared" si="28"/>
        <v>-180.17166666666665</v>
      </c>
      <c r="U634" s="9">
        <f t="shared" si="29"/>
        <v>-1</v>
      </c>
    </row>
    <row r="635" spans="1:22" outlineLevel="2">
      <c r="A635" t="s">
        <v>278</v>
      </c>
      <c r="B635" t="s">
        <v>279</v>
      </c>
      <c r="C635" t="s">
        <v>190</v>
      </c>
      <c r="D635" t="s">
        <v>191</v>
      </c>
      <c r="E635" s="4">
        <v>0</v>
      </c>
      <c r="F635" s="4">
        <v>15041.5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S635" s="8">
        <f t="shared" si="27"/>
        <v>0</v>
      </c>
      <c r="T635" s="8">
        <f t="shared" si="28"/>
        <v>0</v>
      </c>
      <c r="U635" s="9" t="e">
        <f t="shared" si="29"/>
        <v>#DIV/0!</v>
      </c>
    </row>
    <row r="636" spans="1:22" outlineLevel="1">
      <c r="A636" s="1" t="s">
        <v>707</v>
      </c>
      <c r="E636" s="4">
        <f>SUBTOTAL(9,E603:E635)</f>
        <v>380237.57999999996</v>
      </c>
      <c r="F636" s="4">
        <f>SUBTOTAL(9,F603:F635)</f>
        <v>507909.74999999994</v>
      </c>
      <c r="G636" s="4">
        <f>SUBTOTAL(9,G603:G635)</f>
        <v>681157.74</v>
      </c>
      <c r="H636" s="4">
        <f>SUBTOTAL(9,H603:H635)</f>
        <v>560201.94000000006</v>
      </c>
      <c r="I636" s="4">
        <f>SUBTOTAL(9,I603:I635)</f>
        <v>543477.39999999991</v>
      </c>
      <c r="J636" s="4">
        <f>SUBTOTAL(9,J603:J635)</f>
        <v>757480.1</v>
      </c>
      <c r="K636" s="4">
        <f>SUBTOTAL(9,K603:K635)</f>
        <v>440932.59999999992</v>
      </c>
      <c r="L636" s="4">
        <f>SUBTOTAL(9,L603:L635)</f>
        <v>470845.45999999996</v>
      </c>
      <c r="M636" s="4">
        <f>SUBTOTAL(9,M603:M635)</f>
        <v>714928.93999999983</v>
      </c>
      <c r="N636" s="4">
        <f>SUBTOTAL(9,N603:N635)</f>
        <v>616526.06000000006</v>
      </c>
      <c r="O636" s="4">
        <f>SUBTOTAL(9,O603:O635)</f>
        <v>456678.24999999994</v>
      </c>
      <c r="P636" s="4">
        <f>SUBTOTAL(9,P603:P635)</f>
        <v>768305.2899999998</v>
      </c>
      <c r="Q636" s="4">
        <f>SUBTOTAL(9,Q603:Q635)</f>
        <v>1593407.14</v>
      </c>
      <c r="R636" s="4">
        <f>SUBTOTAL(9,R603:R635)</f>
        <v>1005174.2100000001</v>
      </c>
      <c r="S636" s="8">
        <f t="shared" si="27"/>
        <v>770115.19</v>
      </c>
      <c r="T636" s="8">
        <f t="shared" si="28"/>
        <v>235059.02000000014</v>
      </c>
      <c r="U636" s="9">
        <f t="shared" si="29"/>
        <v>0.3052257935595325</v>
      </c>
      <c r="V636" t="s">
        <v>896</v>
      </c>
    </row>
    <row r="637" spans="1:22" outlineLevel="2">
      <c r="A637" t="s">
        <v>280</v>
      </c>
      <c r="B637" t="s">
        <v>281</v>
      </c>
      <c r="C637" t="s">
        <v>166</v>
      </c>
      <c r="D637" t="s">
        <v>167</v>
      </c>
      <c r="E637" s="4">
        <v>0</v>
      </c>
      <c r="F637" s="4">
        <v>0</v>
      </c>
      <c r="G637" s="4">
        <v>0</v>
      </c>
      <c r="H637" s="4">
        <v>40000</v>
      </c>
      <c r="I637" s="4">
        <v>22068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-40000</v>
      </c>
      <c r="S637" s="8">
        <f t="shared" si="27"/>
        <v>0</v>
      </c>
      <c r="T637" s="8">
        <f t="shared" si="28"/>
        <v>-40000</v>
      </c>
      <c r="U637" s="9" t="e">
        <f t="shared" si="29"/>
        <v>#DIV/0!</v>
      </c>
      <c r="V637" t="s">
        <v>897</v>
      </c>
    </row>
    <row r="638" spans="1:22" outlineLevel="2">
      <c r="A638" t="s">
        <v>280</v>
      </c>
      <c r="B638" t="s">
        <v>281</v>
      </c>
      <c r="C638" t="s">
        <v>101</v>
      </c>
      <c r="D638" t="s">
        <v>102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5000</v>
      </c>
      <c r="Q638" s="4">
        <v>5000</v>
      </c>
      <c r="R638" s="4">
        <v>0</v>
      </c>
      <c r="S638" s="8">
        <f t="shared" si="27"/>
        <v>1666.6666666666667</v>
      </c>
      <c r="T638" s="8">
        <f t="shared" si="28"/>
        <v>-1666.6666666666667</v>
      </c>
      <c r="U638" s="9">
        <f t="shared" si="29"/>
        <v>-1</v>
      </c>
    </row>
    <row r="639" spans="1:22" outlineLevel="1">
      <c r="A639" s="1" t="s">
        <v>708</v>
      </c>
      <c r="E639" s="4">
        <f>SUBTOTAL(9,E637:E638)</f>
        <v>0</v>
      </c>
      <c r="F639" s="4">
        <f>SUBTOTAL(9,F637:F638)</f>
        <v>0</v>
      </c>
      <c r="G639" s="4">
        <f>SUBTOTAL(9,G637:G638)</f>
        <v>0</v>
      </c>
      <c r="H639" s="4">
        <f>SUBTOTAL(9,H637:H638)</f>
        <v>40000</v>
      </c>
      <c r="I639" s="4">
        <f>SUBTOTAL(9,I637:I638)</f>
        <v>22068</v>
      </c>
      <c r="J639" s="4">
        <f>SUBTOTAL(9,J637:J638)</f>
        <v>0</v>
      </c>
      <c r="K639" s="4">
        <f>SUBTOTAL(9,K637:K638)</f>
        <v>0</v>
      </c>
      <c r="L639" s="4">
        <f>SUBTOTAL(9,L637:L638)</f>
        <v>0</v>
      </c>
      <c r="M639" s="4">
        <f>SUBTOTAL(9,M637:M638)</f>
        <v>0</v>
      </c>
      <c r="N639" s="4">
        <f>SUBTOTAL(9,N637:N638)</f>
        <v>0</v>
      </c>
      <c r="O639" s="4">
        <f>SUBTOTAL(9,O637:O638)</f>
        <v>0</v>
      </c>
      <c r="P639" s="4">
        <f>SUBTOTAL(9,P637:P638)</f>
        <v>5000</v>
      </c>
      <c r="Q639" s="4">
        <f>SUBTOTAL(9,Q637:Q638)</f>
        <v>5000</v>
      </c>
      <c r="R639" s="4">
        <f>SUBTOTAL(9,R637:R638)</f>
        <v>-40000</v>
      </c>
      <c r="S639" s="8">
        <f t="shared" si="27"/>
        <v>1666.6666666666667</v>
      </c>
      <c r="T639" s="8">
        <f t="shared" si="28"/>
        <v>-41666.666666666664</v>
      </c>
      <c r="U639" s="9">
        <f t="shared" si="29"/>
        <v>-24.999999999999996</v>
      </c>
      <c r="V639" t="s">
        <v>897</v>
      </c>
    </row>
    <row r="640" spans="1:22" outlineLevel="2">
      <c r="A640" t="s">
        <v>282</v>
      </c>
      <c r="B640" t="s">
        <v>283</v>
      </c>
      <c r="C640" t="s">
        <v>168</v>
      </c>
      <c r="D640" t="s">
        <v>169</v>
      </c>
      <c r="E640" s="4">
        <v>0</v>
      </c>
      <c r="F640" s="4">
        <v>0</v>
      </c>
      <c r="G640" s="4">
        <v>0</v>
      </c>
      <c r="H640" s="4">
        <v>1339.88</v>
      </c>
      <c r="I640" s="4">
        <v>530.11999999999989</v>
      </c>
      <c r="J640" s="4">
        <v>0</v>
      </c>
      <c r="K640" s="4">
        <v>0</v>
      </c>
      <c r="L640" s="4">
        <v>220</v>
      </c>
      <c r="M640" s="4">
        <v>660</v>
      </c>
      <c r="N640" s="4">
        <v>4070</v>
      </c>
      <c r="O640" s="4">
        <v>-660</v>
      </c>
      <c r="P640" s="4">
        <v>0</v>
      </c>
      <c r="Q640" s="4">
        <v>0</v>
      </c>
      <c r="S640" s="8">
        <f t="shared" si="27"/>
        <v>715</v>
      </c>
      <c r="T640" s="8">
        <f t="shared" si="28"/>
        <v>-715</v>
      </c>
      <c r="U640" s="9">
        <f t="shared" si="29"/>
        <v>-1</v>
      </c>
    </row>
    <row r="641" spans="1:21" outlineLevel="2">
      <c r="A641" t="s">
        <v>282</v>
      </c>
      <c r="B641" t="s">
        <v>283</v>
      </c>
      <c r="C641" t="s">
        <v>101</v>
      </c>
      <c r="D641" t="s">
        <v>102</v>
      </c>
      <c r="E641" s="4">
        <v>21500</v>
      </c>
      <c r="F641" s="4">
        <v>17500</v>
      </c>
      <c r="G641" s="4">
        <v>0</v>
      </c>
      <c r="H641" s="4">
        <v>17500</v>
      </c>
      <c r="I641" s="4">
        <v>31000</v>
      </c>
      <c r="J641" s="4">
        <v>17500</v>
      </c>
      <c r="K641" s="4">
        <v>0</v>
      </c>
      <c r="L641" s="4">
        <v>17500</v>
      </c>
      <c r="M641" s="4">
        <v>35000</v>
      </c>
      <c r="N641" s="4">
        <v>0</v>
      </c>
      <c r="O641" s="4">
        <v>17500</v>
      </c>
      <c r="P641" s="4">
        <v>17500</v>
      </c>
      <c r="Q641" s="4">
        <v>17500</v>
      </c>
      <c r="R641" s="4">
        <v>17500</v>
      </c>
      <c r="S641" s="8">
        <f t="shared" si="27"/>
        <v>17500</v>
      </c>
      <c r="T641" s="8">
        <f t="shared" si="28"/>
        <v>0</v>
      </c>
      <c r="U641" s="9">
        <f t="shared" si="29"/>
        <v>0</v>
      </c>
    </row>
    <row r="642" spans="1:21" outlineLevel="1">
      <c r="A642" s="1" t="s">
        <v>709</v>
      </c>
      <c r="E642" s="4">
        <f>SUBTOTAL(9,E640:E641)</f>
        <v>21500</v>
      </c>
      <c r="F642" s="4">
        <f>SUBTOTAL(9,F640:F641)</f>
        <v>17500</v>
      </c>
      <c r="G642" s="4">
        <f>SUBTOTAL(9,G640:G641)</f>
        <v>0</v>
      </c>
      <c r="H642" s="4">
        <f>SUBTOTAL(9,H640:H641)</f>
        <v>18839.88</v>
      </c>
      <c r="I642" s="4">
        <f>SUBTOTAL(9,I640:I641)</f>
        <v>31530.12</v>
      </c>
      <c r="J642" s="4">
        <f>SUBTOTAL(9,J640:J641)</f>
        <v>17500</v>
      </c>
      <c r="K642" s="4">
        <f>SUBTOTAL(9,K640:K641)</f>
        <v>0</v>
      </c>
      <c r="L642" s="4">
        <f>SUBTOTAL(9,L640:L641)</f>
        <v>17720</v>
      </c>
      <c r="M642" s="4">
        <f>SUBTOTAL(9,M640:M641)</f>
        <v>35660</v>
      </c>
      <c r="N642" s="4">
        <f>SUBTOTAL(9,N640:N641)</f>
        <v>4070</v>
      </c>
      <c r="O642" s="4">
        <f>SUBTOTAL(9,O640:O641)</f>
        <v>16840</v>
      </c>
      <c r="P642" s="4">
        <f>SUBTOTAL(9,P640:P641)</f>
        <v>17500</v>
      </c>
      <c r="Q642" s="4">
        <f>SUBTOTAL(9,Q640:Q641)</f>
        <v>17500</v>
      </c>
      <c r="R642" s="4">
        <f>SUBTOTAL(9,R640:R641)</f>
        <v>17500</v>
      </c>
      <c r="S642" s="8">
        <f t="shared" si="27"/>
        <v>18215</v>
      </c>
      <c r="T642" s="8">
        <f t="shared" si="28"/>
        <v>-715</v>
      </c>
      <c r="U642" s="9">
        <f t="shared" si="29"/>
        <v>-3.9253362613230855E-2</v>
      </c>
    </row>
    <row r="643" spans="1:21" outlineLevel="2">
      <c r="A643" t="s">
        <v>284</v>
      </c>
      <c r="B643" t="s">
        <v>285</v>
      </c>
      <c r="C643" t="s">
        <v>21</v>
      </c>
      <c r="D643" t="s">
        <v>22</v>
      </c>
      <c r="E643" s="4">
        <v>0</v>
      </c>
      <c r="F643" s="4">
        <v>0</v>
      </c>
      <c r="G643" s="4">
        <v>0</v>
      </c>
      <c r="H643" s="4">
        <v>0</v>
      </c>
      <c r="I643" s="4">
        <v>0</v>
      </c>
      <c r="J643" s="4">
        <v>853.85999999999979</v>
      </c>
      <c r="K643" s="4">
        <v>0</v>
      </c>
      <c r="L643" s="4">
        <v>0</v>
      </c>
      <c r="M643" s="4">
        <v>63.12</v>
      </c>
      <c r="N643" s="4">
        <v>0</v>
      </c>
      <c r="O643" s="4">
        <v>0</v>
      </c>
      <c r="P643" s="4">
        <v>0</v>
      </c>
      <c r="Q643" s="4">
        <v>0</v>
      </c>
      <c r="S643" s="8">
        <f t="shared" ref="S643:S706" si="30">AVERAGE(L643:Q643)</f>
        <v>10.52</v>
      </c>
      <c r="T643" s="8">
        <f t="shared" ref="T643:T706" si="31">R643-S643</f>
        <v>-10.52</v>
      </c>
      <c r="U643" s="9">
        <f t="shared" ref="U643:U706" si="32">(R643-S643)/S643</f>
        <v>-1</v>
      </c>
    </row>
    <row r="644" spans="1:21" outlineLevel="2">
      <c r="A644" t="s">
        <v>284</v>
      </c>
      <c r="B644" t="s">
        <v>285</v>
      </c>
      <c r="C644" t="s">
        <v>23</v>
      </c>
      <c r="D644" t="s">
        <v>24</v>
      </c>
      <c r="E644" s="4">
        <v>0</v>
      </c>
      <c r="F644" s="4">
        <v>0</v>
      </c>
      <c r="G644" s="4">
        <v>0</v>
      </c>
      <c r="H644" s="4">
        <v>0</v>
      </c>
      <c r="I644" s="4">
        <v>0</v>
      </c>
      <c r="J644" s="4">
        <v>10928.549999999996</v>
      </c>
      <c r="K644" s="4">
        <v>0</v>
      </c>
      <c r="L644" s="4">
        <v>0</v>
      </c>
      <c r="M644" s="4">
        <v>62</v>
      </c>
      <c r="N644" s="4">
        <v>0</v>
      </c>
      <c r="O644" s="4">
        <v>0</v>
      </c>
      <c r="P644" s="4">
        <v>136.04000000000002</v>
      </c>
      <c r="Q644" s="4">
        <v>0</v>
      </c>
      <c r="R644" s="4">
        <v>0</v>
      </c>
      <c r="S644" s="8">
        <f t="shared" si="30"/>
        <v>33.006666666666668</v>
      </c>
      <c r="T644" s="8">
        <f t="shared" si="31"/>
        <v>-33.006666666666668</v>
      </c>
      <c r="U644" s="9">
        <f t="shared" si="32"/>
        <v>-1</v>
      </c>
    </row>
    <row r="645" spans="1:21" outlineLevel="2">
      <c r="A645" t="s">
        <v>284</v>
      </c>
      <c r="B645" t="s">
        <v>285</v>
      </c>
      <c r="C645" t="s">
        <v>25</v>
      </c>
      <c r="D645" t="s">
        <v>26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148.35</v>
      </c>
      <c r="N645" s="4">
        <v>0</v>
      </c>
      <c r="O645" s="4">
        <v>0</v>
      </c>
      <c r="P645" s="4">
        <v>147.87</v>
      </c>
      <c r="Q645" s="4">
        <v>0</v>
      </c>
      <c r="R645" s="4">
        <v>0</v>
      </c>
      <c r="S645" s="8">
        <f t="shared" si="30"/>
        <v>49.370000000000005</v>
      </c>
      <c r="T645" s="8">
        <f t="shared" si="31"/>
        <v>-49.370000000000005</v>
      </c>
      <c r="U645" s="9">
        <f t="shared" si="32"/>
        <v>-1</v>
      </c>
    </row>
    <row r="646" spans="1:21" outlineLevel="2">
      <c r="A646" t="s">
        <v>284</v>
      </c>
      <c r="B646" t="s">
        <v>285</v>
      </c>
      <c r="C646" t="s">
        <v>27</v>
      </c>
      <c r="D646" t="s">
        <v>28</v>
      </c>
      <c r="E646" s="4">
        <v>0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909.97</v>
      </c>
      <c r="N646" s="4">
        <v>0</v>
      </c>
      <c r="O646" s="4">
        <v>0</v>
      </c>
      <c r="P646" s="4">
        <v>792.09</v>
      </c>
      <c r="Q646" s="4">
        <v>0</v>
      </c>
      <c r="R646" s="4">
        <v>0</v>
      </c>
      <c r="S646" s="8">
        <f t="shared" si="30"/>
        <v>283.67666666666668</v>
      </c>
      <c r="T646" s="8">
        <f t="shared" si="31"/>
        <v>-283.67666666666668</v>
      </c>
      <c r="U646" s="9">
        <f t="shared" si="32"/>
        <v>-1</v>
      </c>
    </row>
    <row r="647" spans="1:21" outlineLevel="2">
      <c r="A647" t="s">
        <v>284</v>
      </c>
      <c r="B647" t="s">
        <v>285</v>
      </c>
      <c r="C647" t="s">
        <v>136</v>
      </c>
      <c r="D647" t="s">
        <v>137</v>
      </c>
      <c r="E647" s="4">
        <v>50016.979999999996</v>
      </c>
      <c r="F647" s="4">
        <v>45176.639999999999</v>
      </c>
      <c r="G647" s="4">
        <v>45977.81</v>
      </c>
      <c r="H647" s="4">
        <v>14969.699999999999</v>
      </c>
      <c r="I647" s="4">
        <v>-56107.109999999986</v>
      </c>
      <c r="J647" s="4">
        <v>16483.520000000004</v>
      </c>
      <c r="K647" s="4">
        <v>17560.45</v>
      </c>
      <c r="L647" s="4">
        <v>16246.400000000001</v>
      </c>
      <c r="M647" s="4">
        <v>13139.419999999998</v>
      </c>
      <c r="N647" s="4">
        <v>17543.96</v>
      </c>
      <c r="O647" s="4">
        <v>16978.03</v>
      </c>
      <c r="P647" s="4">
        <v>7923.08</v>
      </c>
      <c r="Q647" s="4">
        <v>0</v>
      </c>
      <c r="S647" s="8">
        <f t="shared" si="30"/>
        <v>11971.815000000001</v>
      </c>
      <c r="T647" s="8">
        <f t="shared" si="31"/>
        <v>-11971.815000000001</v>
      </c>
      <c r="U647" s="9">
        <f t="shared" si="32"/>
        <v>-1</v>
      </c>
    </row>
    <row r="648" spans="1:21" outlineLevel="2">
      <c r="A648" t="s">
        <v>284</v>
      </c>
      <c r="B648" t="s">
        <v>285</v>
      </c>
      <c r="C648" t="s">
        <v>140</v>
      </c>
      <c r="D648" t="s">
        <v>141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S648" s="8">
        <f t="shared" si="30"/>
        <v>0</v>
      </c>
      <c r="T648" s="8">
        <f t="shared" si="31"/>
        <v>0</v>
      </c>
      <c r="U648" s="9" t="e">
        <f t="shared" si="32"/>
        <v>#DIV/0!</v>
      </c>
    </row>
    <row r="649" spans="1:21" outlineLevel="2">
      <c r="A649" t="s">
        <v>284</v>
      </c>
      <c r="B649" t="s">
        <v>285</v>
      </c>
      <c r="C649" t="s">
        <v>144</v>
      </c>
      <c r="D649" t="s">
        <v>145</v>
      </c>
      <c r="E649" s="4">
        <v>12062.34</v>
      </c>
      <c r="F649" s="4">
        <v>3899.1299999999992</v>
      </c>
      <c r="G649" s="4">
        <v>11604.919999999998</v>
      </c>
      <c r="H649" s="4">
        <v>6551.3799999999992</v>
      </c>
      <c r="I649" s="4">
        <v>-14782.05</v>
      </c>
      <c r="J649" s="4">
        <v>1414.74</v>
      </c>
      <c r="K649" s="4">
        <v>3963.6000000000004</v>
      </c>
      <c r="L649" s="4">
        <v>2557.56</v>
      </c>
      <c r="M649" s="4">
        <v>4039.05</v>
      </c>
      <c r="N649" s="4">
        <v>3427.91</v>
      </c>
      <c r="O649" s="4">
        <v>2958.87</v>
      </c>
      <c r="P649" s="4">
        <v>2797.91</v>
      </c>
      <c r="Q649" s="4">
        <v>-481.13</v>
      </c>
      <c r="S649" s="8">
        <f t="shared" si="30"/>
        <v>2550.0283333333332</v>
      </c>
      <c r="T649" s="8">
        <f t="shared" si="31"/>
        <v>-2550.0283333333332</v>
      </c>
      <c r="U649" s="9">
        <f t="shared" si="32"/>
        <v>-1</v>
      </c>
    </row>
    <row r="650" spans="1:21" outlineLevel="2">
      <c r="A650" t="s">
        <v>284</v>
      </c>
      <c r="B650" t="s">
        <v>285</v>
      </c>
      <c r="C650" t="s">
        <v>146</v>
      </c>
      <c r="D650" t="s">
        <v>147</v>
      </c>
      <c r="E650" s="4">
        <v>5001.6999999999989</v>
      </c>
      <c r="F650" s="4">
        <v>4517.66</v>
      </c>
      <c r="G650" s="4">
        <v>10750.87</v>
      </c>
      <c r="H650" s="4">
        <v>1648.3500000000004</v>
      </c>
      <c r="I650" s="4">
        <v>-9872.4</v>
      </c>
      <c r="J650" s="4">
        <v>1648.3400000000001</v>
      </c>
      <c r="K650" s="4">
        <v>1756.05</v>
      </c>
      <c r="L650" s="4">
        <v>1754.4099999999999</v>
      </c>
      <c r="M650" s="4">
        <v>4344.8700000000008</v>
      </c>
      <c r="N650" s="4">
        <v>1754.4</v>
      </c>
      <c r="O650" s="4">
        <v>1697.81</v>
      </c>
      <c r="P650" s="4">
        <v>792.31</v>
      </c>
      <c r="Q650" s="4">
        <v>0</v>
      </c>
      <c r="S650" s="8">
        <f t="shared" si="30"/>
        <v>1723.9666666666665</v>
      </c>
      <c r="T650" s="8">
        <f t="shared" si="31"/>
        <v>-1723.9666666666665</v>
      </c>
      <c r="U650" s="9">
        <f t="shared" si="32"/>
        <v>-1</v>
      </c>
    </row>
    <row r="651" spans="1:21" outlineLevel="2">
      <c r="A651" t="s">
        <v>284</v>
      </c>
      <c r="B651" t="s">
        <v>285</v>
      </c>
      <c r="C651" t="s">
        <v>150</v>
      </c>
      <c r="D651" t="s">
        <v>151</v>
      </c>
      <c r="E651" s="4">
        <v>0</v>
      </c>
      <c r="F651" s="4">
        <v>21396</v>
      </c>
      <c r="G651" s="4">
        <v>8668.4700000000012</v>
      </c>
      <c r="H651" s="4">
        <v>27812.84</v>
      </c>
      <c r="I651" s="4">
        <v>-61076.01</v>
      </c>
      <c r="J651" s="4">
        <v>15511.53</v>
      </c>
      <c r="K651" s="4">
        <v>7004</v>
      </c>
      <c r="L651" s="4">
        <v>7004</v>
      </c>
      <c r="M651" s="4">
        <v>7004</v>
      </c>
      <c r="N651" s="4">
        <v>6618.78</v>
      </c>
      <c r="O651" s="4">
        <v>6618.78</v>
      </c>
      <c r="P651" s="4">
        <v>6618.78</v>
      </c>
      <c r="Q651" s="4">
        <v>0</v>
      </c>
      <c r="S651" s="8">
        <f t="shared" si="30"/>
        <v>5644.0566666666664</v>
      </c>
      <c r="T651" s="8">
        <f t="shared" si="31"/>
        <v>-5644.0566666666664</v>
      </c>
      <c r="U651" s="9">
        <f t="shared" si="32"/>
        <v>-1</v>
      </c>
    </row>
    <row r="652" spans="1:21" outlineLevel="2">
      <c r="A652" t="s">
        <v>284</v>
      </c>
      <c r="B652" t="s">
        <v>285</v>
      </c>
      <c r="C652" t="s">
        <v>286</v>
      </c>
      <c r="D652" t="s">
        <v>287</v>
      </c>
      <c r="E652" s="4">
        <v>0</v>
      </c>
      <c r="F652" s="4">
        <v>0</v>
      </c>
      <c r="G652" s="4">
        <v>0</v>
      </c>
      <c r="H652" s="4">
        <v>-491.99</v>
      </c>
      <c r="I652" s="4">
        <v>0</v>
      </c>
      <c r="J652" s="4">
        <v>0</v>
      </c>
      <c r="K652" s="4">
        <v>0</v>
      </c>
      <c r="L652" s="4">
        <v>-421.71</v>
      </c>
      <c r="M652" s="4">
        <v>-1247.54</v>
      </c>
      <c r="N652" s="4">
        <v>0</v>
      </c>
      <c r="O652" s="4">
        <v>0</v>
      </c>
      <c r="P652" s="4">
        <v>0</v>
      </c>
      <c r="Q652" s="4">
        <v>0</v>
      </c>
      <c r="S652" s="8">
        <f t="shared" si="30"/>
        <v>-278.20833333333331</v>
      </c>
      <c r="T652" s="8">
        <f t="shared" si="31"/>
        <v>278.20833333333331</v>
      </c>
      <c r="U652" s="9">
        <f t="shared" si="32"/>
        <v>-1</v>
      </c>
    </row>
    <row r="653" spans="1:21" outlineLevel="2">
      <c r="A653" t="s">
        <v>284</v>
      </c>
      <c r="B653" t="s">
        <v>285</v>
      </c>
      <c r="C653" t="s">
        <v>152</v>
      </c>
      <c r="D653" t="s">
        <v>153</v>
      </c>
      <c r="E653" s="4">
        <v>3790.6100000000006</v>
      </c>
      <c r="F653" s="4">
        <v>3423.8</v>
      </c>
      <c r="G653" s="4">
        <v>8536.16</v>
      </c>
      <c r="H653" s="4">
        <v>1242.3100000000002</v>
      </c>
      <c r="I653" s="4">
        <v>-7571.71</v>
      </c>
      <c r="J653" s="4">
        <v>2408.77</v>
      </c>
      <c r="K653" s="4">
        <v>1324.15</v>
      </c>
      <c r="L653" s="4">
        <v>1322.89</v>
      </c>
      <c r="M653" s="4">
        <v>357.31999999999994</v>
      </c>
      <c r="N653" s="4">
        <v>250.74</v>
      </c>
      <c r="O653" s="4">
        <v>242.65999999999997</v>
      </c>
      <c r="P653" s="4">
        <v>113.23</v>
      </c>
      <c r="Q653" s="4">
        <v>0</v>
      </c>
      <c r="S653" s="8">
        <f t="shared" si="30"/>
        <v>381.14000000000004</v>
      </c>
      <c r="T653" s="8">
        <f t="shared" si="31"/>
        <v>-381.14000000000004</v>
      </c>
      <c r="U653" s="9">
        <f t="shared" si="32"/>
        <v>-1</v>
      </c>
    </row>
    <row r="654" spans="1:21" outlineLevel="2">
      <c r="A654" t="s">
        <v>284</v>
      </c>
      <c r="B654" t="s">
        <v>285</v>
      </c>
      <c r="C654" t="s">
        <v>154</v>
      </c>
      <c r="D654" t="s">
        <v>155</v>
      </c>
      <c r="E654" s="4">
        <v>273</v>
      </c>
      <c r="F654" s="4">
        <v>0</v>
      </c>
      <c r="G654" s="4">
        <v>0</v>
      </c>
      <c r="H654" s="4">
        <v>0</v>
      </c>
      <c r="I654" s="4">
        <v>-91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S654" s="8">
        <f t="shared" si="30"/>
        <v>0</v>
      </c>
      <c r="T654" s="8">
        <f t="shared" si="31"/>
        <v>0</v>
      </c>
      <c r="U654" s="9" t="e">
        <f t="shared" si="32"/>
        <v>#DIV/0!</v>
      </c>
    </row>
    <row r="655" spans="1:21" outlineLevel="2">
      <c r="A655" t="s">
        <v>284</v>
      </c>
      <c r="B655" t="s">
        <v>285</v>
      </c>
      <c r="C655" t="s">
        <v>156</v>
      </c>
      <c r="D655" t="s">
        <v>157</v>
      </c>
      <c r="E655" s="4">
        <v>4443.6499999999996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S655" s="8">
        <f t="shared" si="30"/>
        <v>0</v>
      </c>
      <c r="T655" s="8">
        <f t="shared" si="31"/>
        <v>0</v>
      </c>
      <c r="U655" s="9" t="e">
        <f t="shared" si="32"/>
        <v>#DIV/0!</v>
      </c>
    </row>
    <row r="656" spans="1:21" outlineLevel="2">
      <c r="A656" t="s">
        <v>284</v>
      </c>
      <c r="B656" t="s">
        <v>285</v>
      </c>
      <c r="C656" t="s">
        <v>158</v>
      </c>
      <c r="D656" t="s">
        <v>159</v>
      </c>
      <c r="E656" s="4">
        <v>16333.33</v>
      </c>
      <c r="F656" s="4">
        <v>16333</v>
      </c>
      <c r="G656" s="4">
        <v>10445.399999999994</v>
      </c>
      <c r="H656" s="4">
        <v>17955.400000000001</v>
      </c>
      <c r="I656" s="4">
        <v>-39009.449999999997</v>
      </c>
      <c r="J656" s="4">
        <v>14397.18</v>
      </c>
      <c r="K656" s="4">
        <v>16333</v>
      </c>
      <c r="L656" s="4">
        <v>16333</v>
      </c>
      <c r="M656" s="4">
        <v>5971.8099999999977</v>
      </c>
      <c r="N656" s="4">
        <v>16333</v>
      </c>
      <c r="O656" s="4">
        <v>16333</v>
      </c>
      <c r="P656" s="4">
        <v>10012.739999999998</v>
      </c>
      <c r="Q656" s="4">
        <v>0</v>
      </c>
      <c r="S656" s="8">
        <f t="shared" si="30"/>
        <v>10830.591666666665</v>
      </c>
      <c r="T656" s="8">
        <f t="shared" si="31"/>
        <v>-10830.591666666665</v>
      </c>
      <c r="U656" s="9">
        <f t="shared" si="32"/>
        <v>-1</v>
      </c>
    </row>
    <row r="657" spans="1:22" outlineLevel="2">
      <c r="A657" t="s">
        <v>284</v>
      </c>
      <c r="B657" t="s">
        <v>285</v>
      </c>
      <c r="C657" t="s">
        <v>160</v>
      </c>
      <c r="D657" t="s">
        <v>161</v>
      </c>
      <c r="E657" s="4">
        <v>0</v>
      </c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3529.81</v>
      </c>
      <c r="N657" s="4">
        <v>0</v>
      </c>
      <c r="O657" s="4">
        <v>0</v>
      </c>
      <c r="P657" s="4">
        <v>885.9</v>
      </c>
      <c r="Q657" s="4">
        <v>0</v>
      </c>
      <c r="S657" s="8">
        <f t="shared" si="30"/>
        <v>735.95166666666671</v>
      </c>
      <c r="T657" s="8">
        <f t="shared" si="31"/>
        <v>-735.95166666666671</v>
      </c>
      <c r="U657" s="9">
        <f t="shared" si="32"/>
        <v>-1</v>
      </c>
    </row>
    <row r="658" spans="1:22" outlineLevel="2">
      <c r="A658" t="s">
        <v>284</v>
      </c>
      <c r="B658" t="s">
        <v>285</v>
      </c>
      <c r="C658" t="s">
        <v>55</v>
      </c>
      <c r="D658" t="s">
        <v>56</v>
      </c>
      <c r="E658" s="4">
        <v>1316.07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S658" s="8">
        <f t="shared" si="30"/>
        <v>0</v>
      </c>
      <c r="T658" s="8">
        <f t="shared" si="31"/>
        <v>0</v>
      </c>
      <c r="U658" s="9" t="e">
        <f t="shared" si="32"/>
        <v>#DIV/0!</v>
      </c>
    </row>
    <row r="659" spans="1:22" outlineLevel="2">
      <c r="A659" t="s">
        <v>284</v>
      </c>
      <c r="B659" t="s">
        <v>285</v>
      </c>
      <c r="C659" t="s">
        <v>87</v>
      </c>
      <c r="D659" t="s">
        <v>88</v>
      </c>
      <c r="E659" s="4">
        <v>0</v>
      </c>
      <c r="F659" s="4">
        <v>0</v>
      </c>
      <c r="G659" s="4">
        <v>0</v>
      </c>
      <c r="H659" s="4">
        <v>0</v>
      </c>
      <c r="I659" s="4">
        <v>1097.9100000000001</v>
      </c>
      <c r="J659" s="4">
        <v>0</v>
      </c>
      <c r="K659" s="4">
        <v>0</v>
      </c>
      <c r="L659" s="4">
        <v>-1097.9100000000001</v>
      </c>
      <c r="M659" s="4">
        <v>0</v>
      </c>
      <c r="N659" s="4">
        <v>0</v>
      </c>
      <c r="O659" s="4">
        <v>1097.9100000000001</v>
      </c>
      <c r="P659" s="4">
        <v>-1097.9100000000001</v>
      </c>
      <c r="Q659" s="4">
        <v>0</v>
      </c>
      <c r="S659" s="8">
        <f t="shared" si="30"/>
        <v>-182.98500000000001</v>
      </c>
      <c r="T659" s="8">
        <f t="shared" si="31"/>
        <v>182.98500000000001</v>
      </c>
      <c r="U659" s="9">
        <f t="shared" si="32"/>
        <v>-1</v>
      </c>
    </row>
    <row r="660" spans="1:22" outlineLevel="2">
      <c r="A660" t="s">
        <v>284</v>
      </c>
      <c r="B660" t="s">
        <v>285</v>
      </c>
      <c r="C660" t="s">
        <v>89</v>
      </c>
      <c r="D660" t="s">
        <v>90</v>
      </c>
      <c r="E660" s="4">
        <v>0</v>
      </c>
      <c r="F660" s="4">
        <v>65837.5</v>
      </c>
      <c r="G660" s="4">
        <v>36666.67</v>
      </c>
      <c r="H660" s="4">
        <v>0</v>
      </c>
      <c r="I660" s="4">
        <v>37743.089999999997</v>
      </c>
      <c r="J660" s="4">
        <v>20243.09</v>
      </c>
      <c r="K660" s="4">
        <v>-12743.09</v>
      </c>
      <c r="L660" s="4">
        <v>0</v>
      </c>
      <c r="M660" s="4">
        <v>22087.5</v>
      </c>
      <c r="N660" s="4">
        <v>0</v>
      </c>
      <c r="O660" s="4">
        <v>7275</v>
      </c>
      <c r="P660" s="4">
        <v>0</v>
      </c>
      <c r="Q660" s="4">
        <v>0</v>
      </c>
      <c r="S660" s="8">
        <f t="shared" si="30"/>
        <v>4893.75</v>
      </c>
      <c r="T660" s="8">
        <f t="shared" si="31"/>
        <v>-4893.75</v>
      </c>
      <c r="U660" s="9">
        <f t="shared" si="32"/>
        <v>-1</v>
      </c>
    </row>
    <row r="661" spans="1:22" outlineLevel="2">
      <c r="A661" t="s">
        <v>284</v>
      </c>
      <c r="B661" t="s">
        <v>285</v>
      </c>
      <c r="C661" t="s">
        <v>184</v>
      </c>
      <c r="D661" t="s">
        <v>185</v>
      </c>
      <c r="E661" s="4">
        <v>2500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S661" s="8">
        <f t="shared" si="30"/>
        <v>0</v>
      </c>
      <c r="T661" s="8">
        <f t="shared" si="31"/>
        <v>0</v>
      </c>
      <c r="U661" s="9" t="e">
        <f t="shared" si="32"/>
        <v>#DIV/0!</v>
      </c>
    </row>
    <row r="662" spans="1:22" outlineLevel="2">
      <c r="A662" t="s">
        <v>284</v>
      </c>
      <c r="B662" t="s">
        <v>285</v>
      </c>
      <c r="C662" t="s">
        <v>168</v>
      </c>
      <c r="D662" t="s">
        <v>169</v>
      </c>
      <c r="E662" s="4">
        <v>1135</v>
      </c>
      <c r="F662" s="4">
        <v>-75635</v>
      </c>
      <c r="G662" s="4">
        <v>5494.4</v>
      </c>
      <c r="H662" s="4">
        <v>0</v>
      </c>
      <c r="I662" s="4">
        <v>-5494.4</v>
      </c>
      <c r="J662" s="4">
        <v>0</v>
      </c>
      <c r="K662" s="4">
        <v>0</v>
      </c>
      <c r="L662" s="4">
        <v>75000</v>
      </c>
      <c r="M662" s="4">
        <v>-500</v>
      </c>
      <c r="N662" s="4">
        <v>0</v>
      </c>
      <c r="O662" s="4">
        <v>0</v>
      </c>
      <c r="P662" s="4">
        <v>0</v>
      </c>
      <c r="Q662" s="4">
        <v>0</v>
      </c>
      <c r="S662" s="8">
        <f t="shared" si="30"/>
        <v>12416.666666666666</v>
      </c>
      <c r="T662" s="8">
        <f t="shared" si="31"/>
        <v>-12416.666666666666</v>
      </c>
      <c r="U662" s="9">
        <f t="shared" si="32"/>
        <v>-1</v>
      </c>
    </row>
    <row r="663" spans="1:22" outlineLevel="2">
      <c r="A663" t="s">
        <v>284</v>
      </c>
      <c r="B663" t="s">
        <v>285</v>
      </c>
      <c r="C663" t="s">
        <v>99</v>
      </c>
      <c r="D663" t="s">
        <v>100</v>
      </c>
      <c r="E663" s="4">
        <v>5000</v>
      </c>
      <c r="F663" s="4">
        <v>5000</v>
      </c>
      <c r="G663" s="4">
        <v>-5000</v>
      </c>
      <c r="H663" s="4">
        <v>5000</v>
      </c>
      <c r="I663" s="4">
        <v>-10000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S663" s="8">
        <f t="shared" si="30"/>
        <v>0</v>
      </c>
      <c r="T663" s="8">
        <f t="shared" si="31"/>
        <v>0</v>
      </c>
      <c r="U663" s="9" t="e">
        <f t="shared" si="32"/>
        <v>#DIV/0!</v>
      </c>
    </row>
    <row r="664" spans="1:22" outlineLevel="2">
      <c r="A664" t="s">
        <v>284</v>
      </c>
      <c r="B664" t="s">
        <v>285</v>
      </c>
      <c r="C664" t="s">
        <v>101</v>
      </c>
      <c r="D664" t="s">
        <v>102</v>
      </c>
      <c r="E664" s="4">
        <v>0</v>
      </c>
      <c r="F664" s="4">
        <v>10000</v>
      </c>
      <c r="G664" s="4">
        <v>-10000</v>
      </c>
      <c r="H664" s="4">
        <v>0</v>
      </c>
      <c r="I664" s="4">
        <v>0</v>
      </c>
      <c r="J664" s="4">
        <v>-10000</v>
      </c>
      <c r="K664" s="4">
        <v>10000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S664" s="8">
        <f t="shared" si="30"/>
        <v>0</v>
      </c>
      <c r="T664" s="8">
        <f t="shared" si="31"/>
        <v>0</v>
      </c>
      <c r="U664" s="9" t="e">
        <f t="shared" si="32"/>
        <v>#DIV/0!</v>
      </c>
    </row>
    <row r="665" spans="1:22" outlineLevel="2">
      <c r="A665" t="s">
        <v>284</v>
      </c>
      <c r="B665" t="s">
        <v>285</v>
      </c>
      <c r="C665" t="s">
        <v>103</v>
      </c>
      <c r="D665" t="s">
        <v>104</v>
      </c>
      <c r="E665" s="4">
        <v>11666.669999999998</v>
      </c>
      <c r="F665" s="4">
        <v>-2499.9999999999991</v>
      </c>
      <c r="G665" s="4">
        <v>-9166.67</v>
      </c>
      <c r="H665" s="4">
        <v>0</v>
      </c>
      <c r="I665" s="4">
        <v>-7743.09</v>
      </c>
      <c r="J665" s="4">
        <v>0</v>
      </c>
      <c r="K665" s="4">
        <v>7743.09</v>
      </c>
      <c r="L665" s="4">
        <v>0</v>
      </c>
      <c r="M665" s="4">
        <v>1.1368683772161603E-13</v>
      </c>
      <c r="N665" s="4">
        <v>0</v>
      </c>
      <c r="O665" s="4">
        <v>0</v>
      </c>
      <c r="P665" s="4">
        <v>30000</v>
      </c>
      <c r="Q665" s="4">
        <v>0</v>
      </c>
      <c r="S665" s="8">
        <f t="shared" si="30"/>
        <v>5000</v>
      </c>
      <c r="T665" s="8">
        <f t="shared" si="31"/>
        <v>-5000</v>
      </c>
      <c r="U665" s="9">
        <f t="shared" si="32"/>
        <v>-1</v>
      </c>
    </row>
    <row r="666" spans="1:22" outlineLevel="2">
      <c r="A666" t="s">
        <v>284</v>
      </c>
      <c r="B666" t="s">
        <v>285</v>
      </c>
      <c r="C666" t="s">
        <v>127</v>
      </c>
      <c r="D666" t="s">
        <v>120</v>
      </c>
      <c r="E666" s="4">
        <v>0</v>
      </c>
      <c r="F666" s="4">
        <v>0</v>
      </c>
      <c r="G666" s="4">
        <v>0</v>
      </c>
      <c r="H666" s="4">
        <v>0</v>
      </c>
      <c r="I666" s="4">
        <v>0</v>
      </c>
      <c r="J666" s="4">
        <v>13.329999999999998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S666" s="8">
        <f t="shared" si="30"/>
        <v>0</v>
      </c>
      <c r="T666" s="8">
        <f t="shared" si="31"/>
        <v>0</v>
      </c>
      <c r="U666" s="9" t="e">
        <f t="shared" si="32"/>
        <v>#DIV/0!</v>
      </c>
    </row>
    <row r="667" spans="1:22" outlineLevel="1">
      <c r="A667" s="1" t="s">
        <v>710</v>
      </c>
      <c r="E667" s="4">
        <f>SUBTOTAL(9,E643:E666)</f>
        <v>113539.34999999999</v>
      </c>
      <c r="F667" s="4">
        <f>SUBTOTAL(9,F643:F666)</f>
        <v>97448.729999999981</v>
      </c>
      <c r="G667" s="4">
        <f>SUBTOTAL(9,G643:G666)</f>
        <v>113978.02999999998</v>
      </c>
      <c r="H667" s="4">
        <f>SUBTOTAL(9,H643:H666)</f>
        <v>74687.990000000005</v>
      </c>
      <c r="I667" s="4">
        <f>SUBTOTAL(9,I643:I666)</f>
        <v>-172906.21999999997</v>
      </c>
      <c r="J667" s="4">
        <f>SUBTOTAL(9,J643:J666)</f>
        <v>73902.91</v>
      </c>
      <c r="K667" s="4">
        <f>SUBTOTAL(9,K643:K666)</f>
        <v>52941.25</v>
      </c>
      <c r="L667" s="4">
        <f>SUBTOTAL(9,L643:L666)</f>
        <v>118698.64</v>
      </c>
      <c r="M667" s="4">
        <f>SUBTOTAL(9,M643:M666)</f>
        <v>59909.679999999993</v>
      </c>
      <c r="N667" s="4">
        <f>SUBTOTAL(9,N643:N666)</f>
        <v>45928.79</v>
      </c>
      <c r="O667" s="4">
        <f>SUBTOTAL(9,O643:O666)</f>
        <v>53202.06</v>
      </c>
      <c r="P667" s="4">
        <f>SUBTOTAL(9,P643:P666)</f>
        <v>59122.039999999994</v>
      </c>
      <c r="Q667" s="4">
        <f>SUBTOTAL(9,Q643:Q666)</f>
        <v>-481.13</v>
      </c>
      <c r="R667" s="4">
        <f>SUBTOTAL(9,R643:R666)</f>
        <v>0</v>
      </c>
      <c r="S667" s="8">
        <f t="shared" si="30"/>
        <v>56063.346666666672</v>
      </c>
      <c r="T667" s="8">
        <f t="shared" si="31"/>
        <v>-56063.346666666672</v>
      </c>
      <c r="U667" s="9">
        <f t="shared" si="32"/>
        <v>-1</v>
      </c>
    </row>
    <row r="668" spans="1:22" outlineLevel="2">
      <c r="A668" t="s">
        <v>288</v>
      </c>
      <c r="B668" t="s">
        <v>289</v>
      </c>
      <c r="C668" t="s">
        <v>21</v>
      </c>
      <c r="D668" t="s">
        <v>22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55.959999999999994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184.14999999999998</v>
      </c>
      <c r="S668" s="8">
        <f t="shared" si="30"/>
        <v>0</v>
      </c>
      <c r="T668" s="8">
        <f t="shared" si="31"/>
        <v>184.14999999999998</v>
      </c>
      <c r="U668" s="9" t="e">
        <f t="shared" si="32"/>
        <v>#DIV/0!</v>
      </c>
      <c r="V668" t="s">
        <v>895</v>
      </c>
    </row>
    <row r="669" spans="1:22" outlineLevel="2">
      <c r="A669" t="s">
        <v>288</v>
      </c>
      <c r="B669" t="s">
        <v>289</v>
      </c>
      <c r="C669" t="s">
        <v>23</v>
      </c>
      <c r="D669" t="s">
        <v>24</v>
      </c>
      <c r="E669" s="4">
        <v>0</v>
      </c>
      <c r="F669" s="4">
        <v>0</v>
      </c>
      <c r="G669" s="4">
        <v>0</v>
      </c>
      <c r="H669" s="4">
        <v>0</v>
      </c>
      <c r="I669" s="4">
        <v>1187.96</v>
      </c>
      <c r="J669" s="4">
        <v>0</v>
      </c>
      <c r="K669" s="4">
        <v>463.9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80.039999999999992</v>
      </c>
      <c r="S669" s="8">
        <f t="shared" si="30"/>
        <v>0</v>
      </c>
      <c r="T669" s="8">
        <f t="shared" si="31"/>
        <v>80.039999999999992</v>
      </c>
      <c r="U669" s="9" t="e">
        <f t="shared" si="32"/>
        <v>#DIV/0!</v>
      </c>
      <c r="V669" t="s">
        <v>895</v>
      </c>
    </row>
    <row r="670" spans="1:22" outlineLevel="2">
      <c r="A670" t="s">
        <v>288</v>
      </c>
      <c r="B670" t="s">
        <v>289</v>
      </c>
      <c r="C670" t="s">
        <v>25</v>
      </c>
      <c r="D670" t="s">
        <v>26</v>
      </c>
      <c r="E670" s="4">
        <v>0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906.46</v>
      </c>
      <c r="S670" s="8">
        <f t="shared" si="30"/>
        <v>0</v>
      </c>
      <c r="T670" s="8">
        <f t="shared" si="31"/>
        <v>906.46</v>
      </c>
      <c r="U670" s="9" t="e">
        <f t="shared" si="32"/>
        <v>#DIV/0!</v>
      </c>
      <c r="V670" t="s">
        <v>895</v>
      </c>
    </row>
    <row r="671" spans="1:22" outlineLevel="2">
      <c r="A671" t="s">
        <v>288</v>
      </c>
      <c r="B671" t="s">
        <v>289</v>
      </c>
      <c r="C671" t="s">
        <v>27</v>
      </c>
      <c r="D671" t="s">
        <v>28</v>
      </c>
      <c r="E671" s="4">
        <v>0</v>
      </c>
      <c r="F671" s="4">
        <v>0</v>
      </c>
      <c r="G671" s="4">
        <v>0</v>
      </c>
      <c r="H671" s="4">
        <v>122.67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514.37</v>
      </c>
      <c r="O671" s="4">
        <v>118.59</v>
      </c>
      <c r="P671" s="4">
        <v>0</v>
      </c>
      <c r="Q671" s="4">
        <v>0</v>
      </c>
      <c r="R671" s="4">
        <v>286.39</v>
      </c>
      <c r="S671" s="8">
        <f t="shared" si="30"/>
        <v>105.49333333333334</v>
      </c>
      <c r="T671" s="8">
        <f t="shared" si="31"/>
        <v>180.89666666666665</v>
      </c>
      <c r="U671" s="9">
        <f t="shared" si="32"/>
        <v>1.7147687057633971</v>
      </c>
    </row>
    <row r="672" spans="1:22" outlineLevel="2">
      <c r="A672" t="s">
        <v>288</v>
      </c>
      <c r="B672" t="s">
        <v>289</v>
      </c>
      <c r="C672" t="s">
        <v>136</v>
      </c>
      <c r="D672" t="s">
        <v>137</v>
      </c>
      <c r="E672" s="4">
        <v>68299.77</v>
      </c>
      <c r="F672" s="4">
        <v>38696.310000000005</v>
      </c>
      <c r="G672" s="4">
        <v>53133.66</v>
      </c>
      <c r="H672" s="4">
        <v>-38752.539999999994</v>
      </c>
      <c r="I672" s="4">
        <v>18499.47</v>
      </c>
      <c r="J672" s="4">
        <v>17902.72</v>
      </c>
      <c r="K672" s="4">
        <v>19072.36</v>
      </c>
      <c r="L672" s="4">
        <v>19054.46</v>
      </c>
      <c r="M672" s="4">
        <v>18439.800000000003</v>
      </c>
      <c r="N672" s="4">
        <v>19054.46</v>
      </c>
      <c r="O672" s="4">
        <v>18439.8</v>
      </c>
      <c r="P672" s="4">
        <v>19054.47</v>
      </c>
      <c r="Q672" s="4">
        <v>19054.45</v>
      </c>
      <c r="R672" s="4">
        <v>17210.48</v>
      </c>
      <c r="S672" s="8">
        <f t="shared" si="30"/>
        <v>18849.573333333334</v>
      </c>
      <c r="T672" s="8">
        <f t="shared" si="31"/>
        <v>-1639.0933333333342</v>
      </c>
      <c r="U672" s="9">
        <f t="shared" si="32"/>
        <v>-8.6956521739130474E-2</v>
      </c>
    </row>
    <row r="673" spans="1:21" outlineLevel="2">
      <c r="A673" t="s">
        <v>288</v>
      </c>
      <c r="B673" t="s">
        <v>289</v>
      </c>
      <c r="C673" t="s">
        <v>31</v>
      </c>
      <c r="D673" t="s">
        <v>32</v>
      </c>
      <c r="E673" s="4">
        <v>-20339.48</v>
      </c>
      <c r="F673" s="4">
        <v>-17686.5</v>
      </c>
      <c r="G673" s="4">
        <v>-18570.830000000002</v>
      </c>
      <c r="H673" s="4">
        <v>-19455.150000000001</v>
      </c>
      <c r="I673" s="4">
        <v>-19455.150000000001</v>
      </c>
      <c r="J673" s="4">
        <v>-17686.5</v>
      </c>
      <c r="K673" s="4">
        <v>-19941.53</v>
      </c>
      <c r="L673" s="4">
        <v>-19035.09</v>
      </c>
      <c r="M673" s="4">
        <v>-19035.09</v>
      </c>
      <c r="N673" s="4">
        <v>-20847.96</v>
      </c>
      <c r="O673" s="4">
        <v>-13596.49</v>
      </c>
      <c r="P673" s="4">
        <v>-12690.06</v>
      </c>
      <c r="Q673" s="4">
        <v>0</v>
      </c>
      <c r="S673" s="8">
        <f t="shared" si="30"/>
        <v>-14200.781666666668</v>
      </c>
      <c r="T673" s="8">
        <f t="shared" si="31"/>
        <v>14200.781666666668</v>
      </c>
      <c r="U673" s="9">
        <f t="shared" si="32"/>
        <v>-1</v>
      </c>
    </row>
    <row r="674" spans="1:21" outlineLevel="2">
      <c r="A674" t="s">
        <v>288</v>
      </c>
      <c r="B674" t="s">
        <v>289</v>
      </c>
      <c r="C674" t="s">
        <v>144</v>
      </c>
      <c r="D674" t="s">
        <v>145</v>
      </c>
      <c r="E674" s="4">
        <v>8415.1299999999992</v>
      </c>
      <c r="F674" s="4">
        <v>2570.5299999999997</v>
      </c>
      <c r="G674" s="4">
        <v>8656.630000000001</v>
      </c>
      <c r="H674" s="4">
        <v>3995.14</v>
      </c>
      <c r="I674" s="4">
        <v>7122.71</v>
      </c>
      <c r="J674" s="4">
        <v>2016.6000000000004</v>
      </c>
      <c r="K674" s="4">
        <v>5863.32</v>
      </c>
      <c r="L674" s="4">
        <v>6104.5</v>
      </c>
      <c r="M674" s="4">
        <v>6497.6999999999989</v>
      </c>
      <c r="N674" s="4">
        <v>5291.43</v>
      </c>
      <c r="O674" s="4">
        <v>4528.4400000000005</v>
      </c>
      <c r="P674" s="4">
        <v>4266.5999999999995</v>
      </c>
      <c r="Q674" s="4">
        <v>3428.7200000000003</v>
      </c>
      <c r="R674" s="4">
        <v>666.90999999999985</v>
      </c>
      <c r="S674" s="8">
        <f t="shared" si="30"/>
        <v>5019.5649999999996</v>
      </c>
      <c r="T674" s="8">
        <f t="shared" si="31"/>
        <v>-4352.6549999999997</v>
      </c>
      <c r="U674" s="9">
        <f t="shared" si="32"/>
        <v>-0.86713788943862669</v>
      </c>
    </row>
    <row r="675" spans="1:21" outlineLevel="2">
      <c r="A675" t="s">
        <v>288</v>
      </c>
      <c r="B675" t="s">
        <v>289</v>
      </c>
      <c r="C675" t="s">
        <v>146</v>
      </c>
      <c r="D675" t="s">
        <v>147</v>
      </c>
      <c r="E675" s="4">
        <v>6829.99</v>
      </c>
      <c r="F675" s="4">
        <v>2267.2600000000002</v>
      </c>
      <c r="G675" s="4">
        <v>8177.49</v>
      </c>
      <c r="H675" s="4">
        <v>-6154.57</v>
      </c>
      <c r="I675" s="4">
        <v>1849.94</v>
      </c>
      <c r="J675" s="4">
        <v>1790.2800000000002</v>
      </c>
      <c r="K675" s="4">
        <v>1907.2200000000003</v>
      </c>
      <c r="L675" s="4">
        <v>1905.4399999999998</v>
      </c>
      <c r="M675" s="4">
        <v>15548.859999999999</v>
      </c>
      <c r="N675" s="4">
        <v>1905.44</v>
      </c>
      <c r="O675" s="4">
        <v>1843.9699999999998</v>
      </c>
      <c r="P675" s="4">
        <v>1905.44</v>
      </c>
      <c r="Q675" s="4">
        <v>1905.4299999999998</v>
      </c>
      <c r="R675" s="4">
        <v>1721.04</v>
      </c>
      <c r="S675" s="8">
        <f t="shared" si="30"/>
        <v>4169.0966666666664</v>
      </c>
      <c r="T675" s="8">
        <f t="shared" si="31"/>
        <v>-2448.0566666666664</v>
      </c>
      <c r="U675" s="9">
        <f t="shared" si="32"/>
        <v>-0.58719115012124923</v>
      </c>
    </row>
    <row r="676" spans="1:21" outlineLevel="2">
      <c r="A676" t="s">
        <v>288</v>
      </c>
      <c r="B676" t="s">
        <v>289</v>
      </c>
      <c r="C676" t="s">
        <v>150</v>
      </c>
      <c r="D676" t="s">
        <v>151</v>
      </c>
      <c r="E676" s="4">
        <v>0</v>
      </c>
      <c r="F676" s="4">
        <v>15812</v>
      </c>
      <c r="G676" s="4">
        <v>3162.3999999999942</v>
      </c>
      <c r="H676" s="4">
        <v>-19851.03</v>
      </c>
      <c r="I676" s="4">
        <v>9503.36</v>
      </c>
      <c r="J676" s="4">
        <v>6299.37</v>
      </c>
      <c r="K676" s="4">
        <v>7607.03</v>
      </c>
      <c r="L676" s="4">
        <v>7607.03</v>
      </c>
      <c r="M676" s="4">
        <v>7607.03</v>
      </c>
      <c r="N676" s="4">
        <v>7188.65</v>
      </c>
      <c r="O676" s="4">
        <v>7188.65</v>
      </c>
      <c r="P676" s="4">
        <v>7188.65</v>
      </c>
      <c r="Q676" s="4">
        <v>4598.8999999999996</v>
      </c>
      <c r="R676" s="4">
        <v>4350.5500000000011</v>
      </c>
      <c r="S676" s="8">
        <f t="shared" si="30"/>
        <v>6896.4850000000006</v>
      </c>
      <c r="T676" s="8">
        <f t="shared" si="31"/>
        <v>-2545.9349999999995</v>
      </c>
      <c r="U676" s="9">
        <f t="shared" si="32"/>
        <v>-0.36916414666311886</v>
      </c>
    </row>
    <row r="677" spans="1:21" outlineLevel="2">
      <c r="A677" t="s">
        <v>288</v>
      </c>
      <c r="B677" t="s">
        <v>289</v>
      </c>
      <c r="C677" t="s">
        <v>152</v>
      </c>
      <c r="D677" t="s">
        <v>153</v>
      </c>
      <c r="E677" s="4">
        <v>5183.0099999999993</v>
      </c>
      <c r="F677" s="4">
        <v>2926.67</v>
      </c>
      <c r="G677" s="4">
        <v>7979.2999999999993</v>
      </c>
      <c r="H677" s="4">
        <v>-4972.88</v>
      </c>
      <c r="I677" s="4">
        <v>1391.85</v>
      </c>
      <c r="J677" s="4">
        <v>4776.8200000000006</v>
      </c>
      <c r="K677" s="4">
        <v>-65.789999999999964</v>
      </c>
      <c r="L677" s="4">
        <v>271.89999999999998</v>
      </c>
      <c r="M677" s="4">
        <v>263.10000000000002</v>
      </c>
      <c r="N677" s="4">
        <v>271.89999999999998</v>
      </c>
      <c r="O677" s="4">
        <v>263.12</v>
      </c>
      <c r="P677" s="4">
        <v>907.93999999999994</v>
      </c>
      <c r="Q677" s="4">
        <v>1431.75</v>
      </c>
      <c r="R677" s="4">
        <v>1293.2</v>
      </c>
      <c r="S677" s="8">
        <f t="shared" si="30"/>
        <v>568.28499999999997</v>
      </c>
      <c r="T677" s="8">
        <f t="shared" si="31"/>
        <v>724.91500000000008</v>
      </c>
      <c r="U677" s="9">
        <f t="shared" si="32"/>
        <v>1.2756187476354297</v>
      </c>
    </row>
    <row r="678" spans="1:21" outlineLevel="2">
      <c r="A678" t="s">
        <v>288</v>
      </c>
      <c r="B678" t="s">
        <v>289</v>
      </c>
      <c r="C678" t="s">
        <v>154</v>
      </c>
      <c r="D678" t="s">
        <v>155</v>
      </c>
      <c r="E678" s="4">
        <v>639.90000000000009</v>
      </c>
      <c r="F678" s="4">
        <v>0</v>
      </c>
      <c r="G678" s="4">
        <v>0</v>
      </c>
      <c r="H678" s="4">
        <v>-91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91</v>
      </c>
      <c r="S678" s="8">
        <f t="shared" si="30"/>
        <v>15.166666666666666</v>
      </c>
      <c r="T678" s="8">
        <f t="shared" si="31"/>
        <v>-15.166666666666666</v>
      </c>
      <c r="U678" s="9">
        <f t="shared" si="32"/>
        <v>-1</v>
      </c>
    </row>
    <row r="679" spans="1:21" outlineLevel="2">
      <c r="A679" t="s">
        <v>288</v>
      </c>
      <c r="B679" t="s">
        <v>289</v>
      </c>
      <c r="C679" t="s">
        <v>158</v>
      </c>
      <c r="D679" t="s">
        <v>159</v>
      </c>
      <c r="E679" s="4">
        <v>10000</v>
      </c>
      <c r="F679" s="4">
        <v>10000</v>
      </c>
      <c r="G679" s="4">
        <v>27804.610000000004</v>
      </c>
      <c r="H679" s="4">
        <v>10406.310000000001</v>
      </c>
      <c r="I679" s="4">
        <v>10000</v>
      </c>
      <c r="J679" s="4">
        <v>3865.9000000000015</v>
      </c>
      <c r="K679" s="4">
        <v>10000</v>
      </c>
      <c r="L679" s="4">
        <v>10000</v>
      </c>
      <c r="M679" s="4">
        <v>15154.370000000003</v>
      </c>
      <c r="N679" s="4">
        <v>10000</v>
      </c>
      <c r="O679" s="4">
        <v>10000</v>
      </c>
      <c r="P679" s="4">
        <v>17411.330000000002</v>
      </c>
      <c r="Q679" s="4">
        <v>4000</v>
      </c>
      <c r="R679" s="4">
        <v>4000</v>
      </c>
      <c r="S679" s="8">
        <f t="shared" si="30"/>
        <v>11094.283333333335</v>
      </c>
      <c r="T679" s="8">
        <f t="shared" si="31"/>
        <v>-7094.2833333333347</v>
      </c>
      <c r="U679" s="9">
        <f t="shared" si="32"/>
        <v>-0.6394539530118365</v>
      </c>
    </row>
    <row r="680" spans="1:21" outlineLevel="2">
      <c r="A680" t="s">
        <v>288</v>
      </c>
      <c r="B680" t="s">
        <v>289</v>
      </c>
      <c r="C680" t="s">
        <v>160</v>
      </c>
      <c r="D680" t="s">
        <v>161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1003.9100000000001</v>
      </c>
      <c r="N680" s="4">
        <v>0</v>
      </c>
      <c r="O680" s="4">
        <v>0</v>
      </c>
      <c r="P680" s="4">
        <v>119.38</v>
      </c>
      <c r="Q680" s="4">
        <v>0</v>
      </c>
      <c r="S680" s="8">
        <f t="shared" si="30"/>
        <v>187.215</v>
      </c>
      <c r="T680" s="8">
        <f t="shared" si="31"/>
        <v>-187.215</v>
      </c>
      <c r="U680" s="9">
        <f t="shared" si="32"/>
        <v>-1</v>
      </c>
    </row>
    <row r="681" spans="1:21" outlineLevel="2">
      <c r="A681" t="s">
        <v>288</v>
      </c>
      <c r="B681" t="s">
        <v>289</v>
      </c>
      <c r="C681" t="s">
        <v>164</v>
      </c>
      <c r="D681" t="s">
        <v>165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70</v>
      </c>
      <c r="R681" s="4">
        <v>70</v>
      </c>
      <c r="S681" s="8">
        <f t="shared" si="30"/>
        <v>11.666666666666666</v>
      </c>
      <c r="T681" s="8">
        <f t="shared" si="31"/>
        <v>58.333333333333336</v>
      </c>
      <c r="U681" s="9">
        <f t="shared" si="32"/>
        <v>5.0000000000000009</v>
      </c>
    </row>
    <row r="682" spans="1:21" outlineLevel="2">
      <c r="A682" t="s">
        <v>288</v>
      </c>
      <c r="B682" t="s">
        <v>289</v>
      </c>
      <c r="C682" t="s">
        <v>83</v>
      </c>
      <c r="D682" t="s">
        <v>84</v>
      </c>
      <c r="E682" s="4">
        <v>0</v>
      </c>
      <c r="F682" s="4">
        <v>0</v>
      </c>
      <c r="G682" s="4">
        <v>0</v>
      </c>
      <c r="H682" s="4">
        <v>-100.53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S682" s="8">
        <f t="shared" si="30"/>
        <v>0</v>
      </c>
      <c r="T682" s="8">
        <f t="shared" si="31"/>
        <v>0</v>
      </c>
      <c r="U682" s="9" t="e">
        <f t="shared" si="32"/>
        <v>#DIV/0!</v>
      </c>
    </row>
    <row r="683" spans="1:21" outlineLevel="2">
      <c r="A683" t="s">
        <v>288</v>
      </c>
      <c r="B683" t="s">
        <v>289</v>
      </c>
      <c r="C683" t="s">
        <v>89</v>
      </c>
      <c r="D683" t="s">
        <v>90</v>
      </c>
      <c r="E683" s="4">
        <v>75000</v>
      </c>
      <c r="F683" s="4">
        <v>75000</v>
      </c>
      <c r="G683" s="4">
        <v>75000</v>
      </c>
      <c r="H683" s="4">
        <v>75000</v>
      </c>
      <c r="I683" s="4">
        <v>75000</v>
      </c>
      <c r="J683" s="4">
        <v>75000</v>
      </c>
      <c r="K683" s="4">
        <v>75000</v>
      </c>
      <c r="L683" s="4">
        <v>75000</v>
      </c>
      <c r="M683" s="4">
        <v>75000</v>
      </c>
      <c r="N683" s="4">
        <v>75000</v>
      </c>
      <c r="O683" s="4">
        <v>75000</v>
      </c>
      <c r="P683" s="4">
        <v>75000</v>
      </c>
      <c r="Q683" s="4">
        <v>75000</v>
      </c>
      <c r="R683" s="4">
        <v>75000</v>
      </c>
      <c r="S683" s="8">
        <f t="shared" si="30"/>
        <v>75000</v>
      </c>
      <c r="T683" s="8">
        <f t="shared" si="31"/>
        <v>0</v>
      </c>
      <c r="U683" s="9">
        <f t="shared" si="32"/>
        <v>0</v>
      </c>
    </row>
    <row r="684" spans="1:21" outlineLevel="2">
      <c r="A684" t="s">
        <v>288</v>
      </c>
      <c r="B684" t="s">
        <v>289</v>
      </c>
      <c r="C684" t="s">
        <v>91</v>
      </c>
      <c r="D684" t="s">
        <v>92</v>
      </c>
      <c r="E684" s="4">
        <v>0</v>
      </c>
      <c r="F684" s="4">
        <v>0</v>
      </c>
      <c r="G684" s="4">
        <v>0</v>
      </c>
      <c r="H684" s="4">
        <v>-97.39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S684" s="8">
        <f t="shared" si="30"/>
        <v>0</v>
      </c>
      <c r="T684" s="8">
        <f t="shared" si="31"/>
        <v>0</v>
      </c>
      <c r="U684" s="9" t="e">
        <f t="shared" si="32"/>
        <v>#DIV/0!</v>
      </c>
    </row>
    <row r="685" spans="1:21" outlineLevel="2">
      <c r="A685" t="s">
        <v>288</v>
      </c>
      <c r="B685" t="s">
        <v>289</v>
      </c>
      <c r="C685" t="s">
        <v>170</v>
      </c>
      <c r="D685" t="s">
        <v>171</v>
      </c>
      <c r="E685" s="4">
        <v>270</v>
      </c>
      <c r="F685" s="4">
        <v>180</v>
      </c>
      <c r="G685" s="4">
        <v>180</v>
      </c>
      <c r="H685" s="4">
        <v>-270</v>
      </c>
      <c r="I685" s="4">
        <v>90</v>
      </c>
      <c r="J685" s="4">
        <v>90</v>
      </c>
      <c r="K685" s="4">
        <v>90</v>
      </c>
      <c r="L685" s="4">
        <v>135</v>
      </c>
      <c r="M685" s="4">
        <v>90</v>
      </c>
      <c r="N685" s="4">
        <v>90</v>
      </c>
      <c r="O685" s="4">
        <v>90</v>
      </c>
      <c r="P685" s="4">
        <v>90</v>
      </c>
      <c r="Q685" s="4">
        <v>45</v>
      </c>
      <c r="S685" s="8">
        <f t="shared" si="30"/>
        <v>90</v>
      </c>
      <c r="T685" s="8">
        <f t="shared" si="31"/>
        <v>-90</v>
      </c>
      <c r="U685" s="9">
        <f t="shared" si="32"/>
        <v>-1</v>
      </c>
    </row>
    <row r="686" spans="1:21" outlineLevel="1">
      <c r="A686" s="1" t="s">
        <v>711</v>
      </c>
      <c r="E686" s="4">
        <f>SUBTOTAL(9,E668:E685)</f>
        <v>154298.32</v>
      </c>
      <c r="F686" s="4">
        <f>SUBTOTAL(9,F668:F685)</f>
        <v>129766.27</v>
      </c>
      <c r="G686" s="4">
        <f>SUBTOTAL(9,G668:G685)</f>
        <v>165523.26</v>
      </c>
      <c r="H686" s="4">
        <f>SUBTOTAL(9,H668:H685)</f>
        <v>-220.97000000000173</v>
      </c>
      <c r="I686" s="4">
        <f>SUBTOTAL(9,I668:I685)</f>
        <v>105190.14</v>
      </c>
      <c r="J686" s="4">
        <f>SUBTOTAL(9,J668:J685)</f>
        <v>94055.19</v>
      </c>
      <c r="K686" s="4">
        <f>SUBTOTAL(9,K668:K685)</f>
        <v>100052.47</v>
      </c>
      <c r="L686" s="4">
        <f>SUBTOTAL(9,L668:L685)</f>
        <v>101043.23999999999</v>
      </c>
      <c r="M686" s="4">
        <f>SUBTOTAL(9,M668:M685)</f>
        <v>120569.68000000001</v>
      </c>
      <c r="N686" s="4">
        <f>SUBTOTAL(9,N668:N685)</f>
        <v>98468.290000000008</v>
      </c>
      <c r="O686" s="4">
        <f>SUBTOTAL(9,O668:O685)</f>
        <v>103876.08</v>
      </c>
      <c r="P686" s="4">
        <f>SUBTOTAL(9,P668:P685)</f>
        <v>113253.75</v>
      </c>
      <c r="Q686" s="4">
        <f>SUBTOTAL(9,Q668:Q685)</f>
        <v>109625.25</v>
      </c>
      <c r="R686" s="4">
        <f>SUBTOTAL(9,R668:R685)</f>
        <v>105769.22</v>
      </c>
      <c r="S686" s="8">
        <f t="shared" si="30"/>
        <v>107806.04833333334</v>
      </c>
      <c r="T686" s="8">
        <f t="shared" si="31"/>
        <v>-2036.8283333333384</v>
      </c>
      <c r="U686" s="9">
        <f t="shared" si="32"/>
        <v>-1.8893451386285127E-2</v>
      </c>
    </row>
    <row r="687" spans="1:21" outlineLevel="2">
      <c r="A687" t="s">
        <v>290</v>
      </c>
      <c r="B687" t="s">
        <v>291</v>
      </c>
      <c r="C687" t="s">
        <v>21</v>
      </c>
      <c r="D687" t="s">
        <v>22</v>
      </c>
      <c r="E687" s="4">
        <v>-2.8421709430404007E-14</v>
      </c>
      <c r="F687" s="4">
        <v>2.2737367544323206E-13</v>
      </c>
      <c r="G687" s="4">
        <v>10.94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S687" s="8">
        <f t="shared" si="30"/>
        <v>0</v>
      </c>
      <c r="T687" s="8">
        <f t="shared" si="31"/>
        <v>0</v>
      </c>
      <c r="U687" s="9" t="e">
        <f t="shared" si="32"/>
        <v>#DIV/0!</v>
      </c>
    </row>
    <row r="688" spans="1:21" outlineLevel="2">
      <c r="A688" t="s">
        <v>290</v>
      </c>
      <c r="B688" t="s">
        <v>291</v>
      </c>
      <c r="C688" t="s">
        <v>23</v>
      </c>
      <c r="D688" t="s">
        <v>24</v>
      </c>
      <c r="E688" s="4">
        <v>-3.637978807091713E-12</v>
      </c>
      <c r="F688" s="4">
        <v>-5.4569682106375694E-12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S688" s="8">
        <f t="shared" si="30"/>
        <v>0</v>
      </c>
      <c r="T688" s="8">
        <f t="shared" si="31"/>
        <v>0</v>
      </c>
      <c r="U688" s="9" t="e">
        <f t="shared" si="32"/>
        <v>#DIV/0!</v>
      </c>
    </row>
    <row r="689" spans="1:21" outlineLevel="2">
      <c r="A689" t="s">
        <v>290</v>
      </c>
      <c r="B689" t="s">
        <v>291</v>
      </c>
      <c r="C689" t="s">
        <v>27</v>
      </c>
      <c r="D689" t="s">
        <v>28</v>
      </c>
      <c r="E689" s="4">
        <v>-1.1368683772161603E-13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S689" s="8">
        <f t="shared" si="30"/>
        <v>0</v>
      </c>
      <c r="T689" s="8">
        <f t="shared" si="31"/>
        <v>0</v>
      </c>
      <c r="U689" s="9" t="e">
        <f t="shared" si="32"/>
        <v>#DIV/0!</v>
      </c>
    </row>
    <row r="690" spans="1:21" outlineLevel="2">
      <c r="A690" t="s">
        <v>290</v>
      </c>
      <c r="B690" t="s">
        <v>291</v>
      </c>
      <c r="C690" t="s">
        <v>136</v>
      </c>
      <c r="D690" t="s">
        <v>137</v>
      </c>
      <c r="E690" s="4">
        <v>5.8207660913467407E-11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S690" s="8">
        <f t="shared" si="30"/>
        <v>0</v>
      </c>
      <c r="T690" s="8">
        <f t="shared" si="31"/>
        <v>0</v>
      </c>
      <c r="U690" s="9" t="e">
        <f t="shared" si="32"/>
        <v>#DIV/0!</v>
      </c>
    </row>
    <row r="691" spans="1:21" outlineLevel="2">
      <c r="A691" t="s">
        <v>290</v>
      </c>
      <c r="B691" t="s">
        <v>291</v>
      </c>
      <c r="C691" t="s">
        <v>31</v>
      </c>
      <c r="D691" t="s">
        <v>32</v>
      </c>
      <c r="E691" s="4">
        <v>4.0017766878008842E-11</v>
      </c>
      <c r="F691" s="4">
        <v>2.9103830456733704E-11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S691" s="8">
        <f t="shared" si="30"/>
        <v>0</v>
      </c>
      <c r="T691" s="8">
        <f t="shared" si="31"/>
        <v>0</v>
      </c>
      <c r="U691" s="9" t="e">
        <f t="shared" si="32"/>
        <v>#DIV/0!</v>
      </c>
    </row>
    <row r="692" spans="1:21" outlineLevel="2">
      <c r="A692" t="s">
        <v>290</v>
      </c>
      <c r="B692" t="s">
        <v>291</v>
      </c>
      <c r="C692" t="s">
        <v>144</v>
      </c>
      <c r="D692" t="s">
        <v>145</v>
      </c>
      <c r="E692" s="4">
        <v>1.8189894035458565E-12</v>
      </c>
      <c r="F692" s="4">
        <v>-1.8189894035458565E-12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S692" s="8">
        <f t="shared" si="30"/>
        <v>0</v>
      </c>
      <c r="T692" s="8">
        <f t="shared" si="31"/>
        <v>0</v>
      </c>
      <c r="U692" s="9" t="e">
        <f t="shared" si="32"/>
        <v>#DIV/0!</v>
      </c>
    </row>
    <row r="693" spans="1:21" outlineLevel="2">
      <c r="A693" t="s">
        <v>290</v>
      </c>
      <c r="B693" t="s">
        <v>291</v>
      </c>
      <c r="C693" t="s">
        <v>146</v>
      </c>
      <c r="D693" t="s">
        <v>147</v>
      </c>
      <c r="E693" s="4">
        <v>7.2759576141834259E-12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S693" s="8">
        <f t="shared" si="30"/>
        <v>0</v>
      </c>
      <c r="T693" s="8">
        <f t="shared" si="31"/>
        <v>0</v>
      </c>
      <c r="U693" s="9" t="e">
        <f t="shared" si="32"/>
        <v>#DIV/0!</v>
      </c>
    </row>
    <row r="694" spans="1:21" outlineLevel="2">
      <c r="A694" t="s">
        <v>290</v>
      </c>
      <c r="B694" t="s">
        <v>291</v>
      </c>
      <c r="C694" t="s">
        <v>152</v>
      </c>
      <c r="D694" t="s">
        <v>153</v>
      </c>
      <c r="E694" s="4">
        <v>1.8189894035458565E-12</v>
      </c>
      <c r="F694" s="4">
        <v>1.8189894035458565E-12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S694" s="8">
        <f t="shared" si="30"/>
        <v>0</v>
      </c>
      <c r="T694" s="8">
        <f t="shared" si="31"/>
        <v>0</v>
      </c>
      <c r="U694" s="9" t="e">
        <f t="shared" si="32"/>
        <v>#DIV/0!</v>
      </c>
    </row>
    <row r="695" spans="1:21" outlineLevel="2">
      <c r="A695" t="s">
        <v>290</v>
      </c>
      <c r="B695" t="s">
        <v>291</v>
      </c>
      <c r="C695" t="s">
        <v>154</v>
      </c>
      <c r="D695" t="s">
        <v>155</v>
      </c>
      <c r="E695" s="4">
        <v>0</v>
      </c>
      <c r="F695" s="4">
        <v>0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S695" s="8">
        <f t="shared" si="30"/>
        <v>0</v>
      </c>
      <c r="T695" s="8">
        <f t="shared" si="31"/>
        <v>0</v>
      </c>
      <c r="U695" s="9" t="e">
        <f t="shared" si="32"/>
        <v>#DIV/0!</v>
      </c>
    </row>
    <row r="696" spans="1:21" outlineLevel="2">
      <c r="A696" t="s">
        <v>290</v>
      </c>
      <c r="B696" t="s">
        <v>291</v>
      </c>
      <c r="C696" t="s">
        <v>180</v>
      </c>
      <c r="D696" t="s">
        <v>181</v>
      </c>
      <c r="E696" s="4">
        <v>0</v>
      </c>
      <c r="F696" s="4">
        <v>0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S696" s="8">
        <f t="shared" si="30"/>
        <v>0</v>
      </c>
      <c r="T696" s="8">
        <f t="shared" si="31"/>
        <v>0</v>
      </c>
      <c r="U696" s="9" t="e">
        <f t="shared" si="32"/>
        <v>#DIV/0!</v>
      </c>
    </row>
    <row r="697" spans="1:21" outlineLevel="2">
      <c r="A697" t="s">
        <v>290</v>
      </c>
      <c r="B697" t="s">
        <v>291</v>
      </c>
      <c r="C697" t="s">
        <v>47</v>
      </c>
      <c r="D697" t="s">
        <v>48</v>
      </c>
      <c r="E697" s="4">
        <v>4.5474735088646412E-13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S697" s="8">
        <f t="shared" si="30"/>
        <v>0</v>
      </c>
      <c r="T697" s="8">
        <f t="shared" si="31"/>
        <v>0</v>
      </c>
      <c r="U697" s="9" t="e">
        <f t="shared" si="32"/>
        <v>#DIV/0!</v>
      </c>
    </row>
    <row r="698" spans="1:21" outlineLevel="2">
      <c r="A698" t="s">
        <v>290</v>
      </c>
      <c r="B698" t="s">
        <v>291</v>
      </c>
      <c r="C698" t="s">
        <v>164</v>
      </c>
      <c r="D698" t="s">
        <v>165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S698" s="8">
        <f t="shared" si="30"/>
        <v>0</v>
      </c>
      <c r="T698" s="8">
        <f t="shared" si="31"/>
        <v>0</v>
      </c>
      <c r="U698" s="9" t="e">
        <f t="shared" si="32"/>
        <v>#DIV/0!</v>
      </c>
    </row>
    <row r="699" spans="1:21" outlineLevel="2">
      <c r="A699" t="s">
        <v>290</v>
      </c>
      <c r="B699" t="s">
        <v>291</v>
      </c>
      <c r="C699" t="s">
        <v>61</v>
      </c>
      <c r="D699" t="s">
        <v>62</v>
      </c>
      <c r="E699" s="4">
        <v>0</v>
      </c>
      <c r="F699" s="4">
        <v>0</v>
      </c>
      <c r="G699" s="4">
        <v>0</v>
      </c>
      <c r="H699" s="4">
        <v>2.2737367544323206E-13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S699" s="8">
        <f t="shared" si="30"/>
        <v>0</v>
      </c>
      <c r="T699" s="8">
        <f t="shared" si="31"/>
        <v>0</v>
      </c>
      <c r="U699" s="9" t="e">
        <f t="shared" si="32"/>
        <v>#DIV/0!</v>
      </c>
    </row>
    <row r="700" spans="1:21" outlineLevel="2">
      <c r="A700" t="s">
        <v>290</v>
      </c>
      <c r="B700" t="s">
        <v>291</v>
      </c>
      <c r="C700" t="s">
        <v>63</v>
      </c>
      <c r="D700" t="s">
        <v>64</v>
      </c>
      <c r="E700" s="4">
        <v>-1.8189789952050006E-13</v>
      </c>
      <c r="F700" s="4">
        <v>0</v>
      </c>
      <c r="G700" s="4">
        <v>17.54</v>
      </c>
      <c r="H700" s="4">
        <v>2.8421709430404007E-14</v>
      </c>
      <c r="I700" s="4">
        <v>0</v>
      </c>
      <c r="J700" s="4">
        <v>0</v>
      </c>
      <c r="K700" s="4">
        <v>392.3</v>
      </c>
      <c r="L700" s="4">
        <v>0</v>
      </c>
      <c r="M700" s="4">
        <v>362.15000000000003</v>
      </c>
      <c r="N700" s="4">
        <v>628.57000000000005</v>
      </c>
      <c r="O700" s="4">
        <v>0</v>
      </c>
      <c r="P700" s="4">
        <v>572.36</v>
      </c>
      <c r="Q700" s="4">
        <v>0</v>
      </c>
      <c r="S700" s="8">
        <f t="shared" si="30"/>
        <v>260.51333333333332</v>
      </c>
      <c r="T700" s="8">
        <f t="shared" si="31"/>
        <v>-260.51333333333332</v>
      </c>
      <c r="U700" s="9">
        <f t="shared" si="32"/>
        <v>-1</v>
      </c>
    </row>
    <row r="701" spans="1:21" outlineLevel="2">
      <c r="A701" t="s">
        <v>290</v>
      </c>
      <c r="B701" t="s">
        <v>291</v>
      </c>
      <c r="C701" t="s">
        <v>83</v>
      </c>
      <c r="D701" t="s">
        <v>84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S701" s="8">
        <f t="shared" si="30"/>
        <v>0</v>
      </c>
      <c r="T701" s="8">
        <f t="shared" si="31"/>
        <v>0</v>
      </c>
      <c r="U701" s="9" t="e">
        <f t="shared" si="32"/>
        <v>#DIV/0!</v>
      </c>
    </row>
    <row r="702" spans="1:21" outlineLevel="2">
      <c r="A702" t="s">
        <v>290</v>
      </c>
      <c r="B702" t="s">
        <v>291</v>
      </c>
      <c r="C702" t="s">
        <v>87</v>
      </c>
      <c r="D702" t="s">
        <v>88</v>
      </c>
      <c r="E702" s="4">
        <v>-7.3896444519050419E-13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S702" s="8">
        <f t="shared" si="30"/>
        <v>0</v>
      </c>
      <c r="T702" s="8">
        <f t="shared" si="31"/>
        <v>0</v>
      </c>
      <c r="U702" s="9" t="e">
        <f t="shared" si="32"/>
        <v>#DIV/0!</v>
      </c>
    </row>
    <row r="703" spans="1:21" outlineLevel="2">
      <c r="A703" t="s">
        <v>290</v>
      </c>
      <c r="B703" t="s">
        <v>291</v>
      </c>
      <c r="C703" t="s">
        <v>91</v>
      </c>
      <c r="D703" t="s">
        <v>92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S703" s="8">
        <f t="shared" si="30"/>
        <v>0</v>
      </c>
      <c r="T703" s="8">
        <f t="shared" si="31"/>
        <v>0</v>
      </c>
      <c r="U703" s="9" t="e">
        <f t="shared" si="32"/>
        <v>#DIV/0!</v>
      </c>
    </row>
    <row r="704" spans="1:21" outlineLevel="2">
      <c r="A704" t="s">
        <v>290</v>
      </c>
      <c r="B704" t="s">
        <v>291</v>
      </c>
      <c r="C704" t="s">
        <v>99</v>
      </c>
      <c r="D704" t="s">
        <v>100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-6280.32</v>
      </c>
      <c r="S704" s="8">
        <f t="shared" si="30"/>
        <v>-1046.72</v>
      </c>
      <c r="T704" s="8">
        <f t="shared" si="31"/>
        <v>1046.72</v>
      </c>
      <c r="U704" s="9">
        <f t="shared" si="32"/>
        <v>-1</v>
      </c>
    </row>
    <row r="705" spans="1:21" outlineLevel="2">
      <c r="A705" t="s">
        <v>290</v>
      </c>
      <c r="B705" t="s">
        <v>291</v>
      </c>
      <c r="C705" t="s">
        <v>101</v>
      </c>
      <c r="D705" t="s">
        <v>102</v>
      </c>
      <c r="E705" s="4">
        <v>1.2732925824820995E-11</v>
      </c>
      <c r="F705" s="4">
        <v>0</v>
      </c>
      <c r="G705" s="4">
        <v>0</v>
      </c>
      <c r="H705" s="4">
        <v>1.0913936421275139E-11</v>
      </c>
      <c r="I705" s="4">
        <v>-1.4551915228366852E-11</v>
      </c>
      <c r="J705" s="4">
        <v>1.4551915228366852E-11</v>
      </c>
      <c r="K705" s="4">
        <v>58995.420000000013</v>
      </c>
      <c r="L705" s="4">
        <v>56761.37</v>
      </c>
      <c r="M705" s="4">
        <v>70295.040000000008</v>
      </c>
      <c r="N705" s="4">
        <v>64444.14</v>
      </c>
      <c r="O705" s="4">
        <v>55956.46</v>
      </c>
      <c r="P705" s="4">
        <v>65186.150000000009</v>
      </c>
      <c r="Q705" s="4">
        <v>-18898.290000000005</v>
      </c>
      <c r="R705" s="4">
        <v>-14040</v>
      </c>
      <c r="S705" s="8">
        <f t="shared" si="30"/>
        <v>48957.478333333333</v>
      </c>
      <c r="T705" s="8">
        <f t="shared" si="31"/>
        <v>-62997.478333333333</v>
      </c>
      <c r="U705" s="9">
        <f t="shared" si="32"/>
        <v>-1.286779476353068</v>
      </c>
    </row>
    <row r="706" spans="1:21" outlineLevel="2">
      <c r="A706" t="s">
        <v>290</v>
      </c>
      <c r="B706" t="s">
        <v>291</v>
      </c>
      <c r="C706" t="s">
        <v>103</v>
      </c>
      <c r="D706" t="s">
        <v>104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S706" s="8">
        <f t="shared" si="30"/>
        <v>0</v>
      </c>
      <c r="T706" s="8">
        <f t="shared" si="31"/>
        <v>0</v>
      </c>
      <c r="U706" s="9" t="e">
        <f t="shared" si="32"/>
        <v>#DIV/0!</v>
      </c>
    </row>
    <row r="707" spans="1:21" outlineLevel="2">
      <c r="A707" t="s">
        <v>290</v>
      </c>
      <c r="B707" t="s">
        <v>291</v>
      </c>
      <c r="C707" t="s">
        <v>113</v>
      </c>
      <c r="D707" t="s">
        <v>114</v>
      </c>
      <c r="E707" s="4">
        <v>-2.2737367544323206E-12</v>
      </c>
      <c r="F707" s="4">
        <v>0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S707" s="8">
        <f t="shared" ref="S707:S770" si="33">AVERAGE(L707:Q707)</f>
        <v>0</v>
      </c>
      <c r="T707" s="8">
        <f t="shared" ref="T707:T770" si="34">R707-S707</f>
        <v>0</v>
      </c>
      <c r="U707" s="9" t="e">
        <f t="shared" ref="U707:U770" si="35">(R707-S707)/S707</f>
        <v>#DIV/0!</v>
      </c>
    </row>
    <row r="708" spans="1:21" outlineLevel="2">
      <c r="A708" t="s">
        <v>290</v>
      </c>
      <c r="B708" t="s">
        <v>291</v>
      </c>
      <c r="C708" t="s">
        <v>170</v>
      </c>
      <c r="D708" t="s">
        <v>171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S708" s="8">
        <f t="shared" si="33"/>
        <v>0</v>
      </c>
      <c r="T708" s="8">
        <f t="shared" si="34"/>
        <v>0</v>
      </c>
      <c r="U708" s="9" t="e">
        <f t="shared" si="35"/>
        <v>#DIV/0!</v>
      </c>
    </row>
    <row r="709" spans="1:21" outlineLevel="2">
      <c r="A709" t="s">
        <v>290</v>
      </c>
      <c r="B709" t="s">
        <v>291</v>
      </c>
      <c r="C709" t="s">
        <v>127</v>
      </c>
      <c r="D709" t="s">
        <v>120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S709" s="8">
        <f t="shared" si="33"/>
        <v>0</v>
      </c>
      <c r="T709" s="8">
        <f t="shared" si="34"/>
        <v>0</v>
      </c>
      <c r="U709" s="9" t="e">
        <f t="shared" si="35"/>
        <v>#DIV/0!</v>
      </c>
    </row>
    <row r="710" spans="1:21" outlineLevel="1">
      <c r="A710" s="1" t="s">
        <v>712</v>
      </c>
      <c r="E710" s="4">
        <f>SUBTOTAL(9,E687:E709)</f>
        <v>1.1535235093507179E-10</v>
      </c>
      <c r="F710" s="4">
        <f>SUBTOTAL(9,F687:F709)</f>
        <v>2.3874235921539366E-11</v>
      </c>
      <c r="G710" s="4">
        <f>SUBTOTAL(9,G687:G709)</f>
        <v>28.479999999999997</v>
      </c>
      <c r="H710" s="4">
        <f>SUBTOTAL(9,H687:H709)</f>
        <v>1.1169731806148775E-11</v>
      </c>
      <c r="I710" s="4">
        <f>SUBTOTAL(9,I687:I709)</f>
        <v>-1.4551915228366852E-11</v>
      </c>
      <c r="J710" s="4">
        <f>SUBTOTAL(9,J687:J709)</f>
        <v>1.4551915228366852E-11</v>
      </c>
      <c r="K710" s="4">
        <f>SUBTOTAL(9,K687:K709)</f>
        <v>59387.720000000016</v>
      </c>
      <c r="L710" s="4">
        <f>SUBTOTAL(9,L687:L709)</f>
        <v>56761.37</v>
      </c>
      <c r="M710" s="4">
        <f>SUBTOTAL(9,M687:M709)</f>
        <v>70657.19</v>
      </c>
      <c r="N710" s="4">
        <f>SUBTOTAL(9,N687:N709)</f>
        <v>65072.71</v>
      </c>
      <c r="O710" s="4">
        <f>SUBTOTAL(9,O687:O709)</f>
        <v>55956.46</v>
      </c>
      <c r="P710" s="4">
        <f>SUBTOTAL(9,P687:P709)</f>
        <v>65758.510000000009</v>
      </c>
      <c r="Q710" s="4">
        <f>SUBTOTAL(9,Q687:Q709)</f>
        <v>-25178.610000000004</v>
      </c>
      <c r="R710" s="4">
        <f>SUBTOTAL(9,R687:R709)</f>
        <v>-14040</v>
      </c>
      <c r="S710" s="8">
        <f t="shared" si="33"/>
        <v>48171.271666666667</v>
      </c>
      <c r="T710" s="8">
        <f t="shared" si="34"/>
        <v>-62211.271666666667</v>
      </c>
      <c r="U710" s="9">
        <f t="shared" si="35"/>
        <v>-1.2914600240814347</v>
      </c>
    </row>
    <row r="711" spans="1:21" outlineLevel="2">
      <c r="A711" t="s">
        <v>292</v>
      </c>
      <c r="B711" t="s">
        <v>293</v>
      </c>
      <c r="C711" t="s">
        <v>21</v>
      </c>
      <c r="D711" t="s">
        <v>22</v>
      </c>
      <c r="E711" s="4">
        <v>-6.2172489379008766E-15</v>
      </c>
      <c r="F711" s="4">
        <v>2.2737367544323206E-13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S711" s="8">
        <f t="shared" si="33"/>
        <v>0</v>
      </c>
      <c r="T711" s="8">
        <f t="shared" si="34"/>
        <v>0</v>
      </c>
      <c r="U711" s="9" t="e">
        <f t="shared" si="35"/>
        <v>#DIV/0!</v>
      </c>
    </row>
    <row r="712" spans="1:21" outlineLevel="2">
      <c r="A712" t="s">
        <v>292</v>
      </c>
      <c r="B712" t="s">
        <v>293</v>
      </c>
      <c r="C712" t="s">
        <v>23</v>
      </c>
      <c r="D712" t="s">
        <v>24</v>
      </c>
      <c r="E712" s="4">
        <v>1.4566126083082054E-13</v>
      </c>
      <c r="F712" s="4">
        <v>3.637978807091713E-12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S712" s="8">
        <f t="shared" si="33"/>
        <v>0</v>
      </c>
      <c r="T712" s="8">
        <f t="shared" si="34"/>
        <v>0</v>
      </c>
      <c r="U712" s="9" t="e">
        <f t="shared" si="35"/>
        <v>#DIV/0!</v>
      </c>
    </row>
    <row r="713" spans="1:21" outlineLevel="2">
      <c r="A713" t="s">
        <v>292</v>
      </c>
      <c r="B713" t="s">
        <v>293</v>
      </c>
      <c r="C713" t="s">
        <v>27</v>
      </c>
      <c r="D713" t="s">
        <v>28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S713" s="8">
        <f t="shared" si="33"/>
        <v>0</v>
      </c>
      <c r="T713" s="8">
        <f t="shared" si="34"/>
        <v>0</v>
      </c>
      <c r="U713" s="9" t="e">
        <f t="shared" si="35"/>
        <v>#DIV/0!</v>
      </c>
    </row>
    <row r="714" spans="1:21" outlineLevel="2">
      <c r="A714" t="s">
        <v>292</v>
      </c>
      <c r="B714" t="s">
        <v>293</v>
      </c>
      <c r="C714" t="s">
        <v>136</v>
      </c>
      <c r="D714" t="s">
        <v>137</v>
      </c>
      <c r="E714" s="4">
        <v>0</v>
      </c>
      <c r="F714" s="4">
        <v>7.2759576141834259E-12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S714" s="8">
        <f t="shared" si="33"/>
        <v>0</v>
      </c>
      <c r="T714" s="8">
        <f t="shared" si="34"/>
        <v>0</v>
      </c>
      <c r="U714" s="9" t="e">
        <f t="shared" si="35"/>
        <v>#DIV/0!</v>
      </c>
    </row>
    <row r="715" spans="1:21" outlineLevel="2">
      <c r="A715" t="s">
        <v>292</v>
      </c>
      <c r="B715" t="s">
        <v>293</v>
      </c>
      <c r="C715" t="s">
        <v>144</v>
      </c>
      <c r="D715" t="s">
        <v>145</v>
      </c>
      <c r="E715" s="4">
        <v>2.2737367544323206E-13</v>
      </c>
      <c r="F715" s="4">
        <v>1.8189894035458565E-12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S715" s="8">
        <f t="shared" si="33"/>
        <v>0</v>
      </c>
      <c r="T715" s="8">
        <f t="shared" si="34"/>
        <v>0</v>
      </c>
      <c r="U715" s="9" t="e">
        <f t="shared" si="35"/>
        <v>#DIV/0!</v>
      </c>
    </row>
    <row r="716" spans="1:21" outlineLevel="2">
      <c r="A716" t="s">
        <v>292</v>
      </c>
      <c r="B716" t="s">
        <v>293</v>
      </c>
      <c r="C716" t="s">
        <v>146</v>
      </c>
      <c r="D716" t="s">
        <v>147</v>
      </c>
      <c r="E716" s="4">
        <v>0</v>
      </c>
      <c r="F716" s="4">
        <v>2.2737367544323206E-13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S716" s="8">
        <f t="shared" si="33"/>
        <v>0</v>
      </c>
      <c r="T716" s="8">
        <f t="shared" si="34"/>
        <v>0</v>
      </c>
      <c r="U716" s="9" t="e">
        <f t="shared" si="35"/>
        <v>#DIV/0!</v>
      </c>
    </row>
    <row r="717" spans="1:21" outlineLevel="2">
      <c r="A717" t="s">
        <v>292</v>
      </c>
      <c r="B717" t="s">
        <v>293</v>
      </c>
      <c r="C717" t="s">
        <v>152</v>
      </c>
      <c r="D717" t="s">
        <v>153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S717" s="8">
        <f t="shared" si="33"/>
        <v>0</v>
      </c>
      <c r="T717" s="8">
        <f t="shared" si="34"/>
        <v>0</v>
      </c>
      <c r="U717" s="9" t="e">
        <f t="shared" si="35"/>
        <v>#DIV/0!</v>
      </c>
    </row>
    <row r="718" spans="1:21" outlineLevel="2">
      <c r="A718" t="s">
        <v>292</v>
      </c>
      <c r="B718" t="s">
        <v>293</v>
      </c>
      <c r="C718" t="s">
        <v>154</v>
      </c>
      <c r="D718" t="s">
        <v>155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S718" s="8">
        <f t="shared" si="33"/>
        <v>0</v>
      </c>
      <c r="T718" s="8">
        <f t="shared" si="34"/>
        <v>0</v>
      </c>
      <c r="U718" s="9" t="e">
        <f t="shared" si="35"/>
        <v>#DIV/0!</v>
      </c>
    </row>
    <row r="719" spans="1:21" outlineLevel="2">
      <c r="A719" t="s">
        <v>292</v>
      </c>
      <c r="B719" t="s">
        <v>293</v>
      </c>
      <c r="C719" t="s">
        <v>164</v>
      </c>
      <c r="D719" t="s">
        <v>165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S719" s="8">
        <f t="shared" si="33"/>
        <v>0</v>
      </c>
      <c r="T719" s="8">
        <f t="shared" si="34"/>
        <v>0</v>
      </c>
      <c r="U719" s="9" t="e">
        <f t="shared" si="35"/>
        <v>#DIV/0!</v>
      </c>
    </row>
    <row r="720" spans="1:21" outlineLevel="2">
      <c r="A720" t="s">
        <v>292</v>
      </c>
      <c r="B720" t="s">
        <v>293</v>
      </c>
      <c r="C720" t="s">
        <v>69</v>
      </c>
      <c r="D720" t="s">
        <v>70</v>
      </c>
      <c r="E720" s="4">
        <v>0</v>
      </c>
      <c r="F720" s="4">
        <v>0</v>
      </c>
      <c r="G720" s="4">
        <v>0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S720" s="8">
        <f t="shared" si="33"/>
        <v>0</v>
      </c>
      <c r="T720" s="8">
        <f t="shared" si="34"/>
        <v>0</v>
      </c>
      <c r="U720" s="9" t="e">
        <f t="shared" si="35"/>
        <v>#DIV/0!</v>
      </c>
    </row>
    <row r="721" spans="1:21" outlineLevel="2">
      <c r="A721" t="s">
        <v>292</v>
      </c>
      <c r="B721" t="s">
        <v>293</v>
      </c>
      <c r="C721" t="s">
        <v>83</v>
      </c>
      <c r="D721" t="s">
        <v>84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S721" s="8">
        <f t="shared" si="33"/>
        <v>0</v>
      </c>
      <c r="T721" s="8">
        <f t="shared" si="34"/>
        <v>0</v>
      </c>
      <c r="U721" s="9" t="e">
        <f t="shared" si="35"/>
        <v>#DIV/0!</v>
      </c>
    </row>
    <row r="722" spans="1:21" outlineLevel="2">
      <c r="A722" t="s">
        <v>292</v>
      </c>
      <c r="B722" t="s">
        <v>293</v>
      </c>
      <c r="C722" t="s">
        <v>166</v>
      </c>
      <c r="D722" t="s">
        <v>167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S722" s="8">
        <f t="shared" si="33"/>
        <v>0</v>
      </c>
      <c r="T722" s="8">
        <f t="shared" si="34"/>
        <v>0</v>
      </c>
      <c r="U722" s="9" t="e">
        <f t="shared" si="35"/>
        <v>#DIV/0!</v>
      </c>
    </row>
    <row r="723" spans="1:21" outlineLevel="2">
      <c r="A723" t="s">
        <v>292</v>
      </c>
      <c r="B723" t="s">
        <v>293</v>
      </c>
      <c r="C723" t="s">
        <v>95</v>
      </c>
      <c r="D723" t="s">
        <v>96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S723" s="8">
        <f t="shared" si="33"/>
        <v>0</v>
      </c>
      <c r="T723" s="8">
        <f t="shared" si="34"/>
        <v>0</v>
      </c>
      <c r="U723" s="9" t="e">
        <f t="shared" si="35"/>
        <v>#DIV/0!</v>
      </c>
    </row>
    <row r="724" spans="1:21" outlineLevel="2">
      <c r="A724" t="s">
        <v>292</v>
      </c>
      <c r="B724" t="s">
        <v>293</v>
      </c>
      <c r="C724" t="s">
        <v>168</v>
      </c>
      <c r="D724" t="s">
        <v>169</v>
      </c>
      <c r="E724" s="4">
        <v>0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S724" s="8">
        <f t="shared" si="33"/>
        <v>0</v>
      </c>
      <c r="T724" s="8">
        <f t="shared" si="34"/>
        <v>0</v>
      </c>
      <c r="U724" s="9" t="e">
        <f t="shared" si="35"/>
        <v>#DIV/0!</v>
      </c>
    </row>
    <row r="725" spans="1:21" outlineLevel="2">
      <c r="A725" t="s">
        <v>292</v>
      </c>
      <c r="B725" t="s">
        <v>293</v>
      </c>
      <c r="C725" t="s">
        <v>99</v>
      </c>
      <c r="D725" t="s">
        <v>100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S725" s="8">
        <f t="shared" si="33"/>
        <v>0</v>
      </c>
      <c r="T725" s="8">
        <f t="shared" si="34"/>
        <v>0</v>
      </c>
      <c r="U725" s="9" t="e">
        <f t="shared" si="35"/>
        <v>#DIV/0!</v>
      </c>
    </row>
    <row r="726" spans="1:21" outlineLevel="2">
      <c r="A726" t="s">
        <v>292</v>
      </c>
      <c r="B726" t="s">
        <v>293</v>
      </c>
      <c r="C726" t="s">
        <v>101</v>
      </c>
      <c r="D726" t="s">
        <v>102</v>
      </c>
      <c r="E726" s="4">
        <v>-1.4551915228366852E-11</v>
      </c>
      <c r="F726" s="4">
        <v>0</v>
      </c>
      <c r="G726" s="4">
        <v>0</v>
      </c>
      <c r="H726" s="4">
        <v>0</v>
      </c>
      <c r="I726" s="4">
        <v>0</v>
      </c>
      <c r="J726" s="4">
        <v>0</v>
      </c>
      <c r="K726" s="4">
        <v>3995</v>
      </c>
      <c r="L726" s="4">
        <v>0</v>
      </c>
      <c r="M726" s="4">
        <v>0</v>
      </c>
      <c r="N726" s="4">
        <v>0</v>
      </c>
      <c r="O726" s="4">
        <v>3272.5</v>
      </c>
      <c r="P726" s="4">
        <v>1592.33</v>
      </c>
      <c r="Q726" s="4">
        <v>-12450.89</v>
      </c>
      <c r="S726" s="8">
        <f t="shared" si="33"/>
        <v>-1264.3433333333332</v>
      </c>
      <c r="T726" s="8">
        <f t="shared" si="34"/>
        <v>1264.3433333333332</v>
      </c>
      <c r="U726" s="9">
        <f t="shared" si="35"/>
        <v>-1</v>
      </c>
    </row>
    <row r="727" spans="1:21" outlineLevel="2">
      <c r="A727" t="s">
        <v>292</v>
      </c>
      <c r="B727" t="s">
        <v>293</v>
      </c>
      <c r="C727" t="s">
        <v>111</v>
      </c>
      <c r="D727" t="s">
        <v>112</v>
      </c>
      <c r="E727" s="4">
        <v>0</v>
      </c>
      <c r="F727" s="4">
        <v>0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S727" s="8">
        <f t="shared" si="33"/>
        <v>0</v>
      </c>
      <c r="T727" s="8">
        <f t="shared" si="34"/>
        <v>0</v>
      </c>
      <c r="U727" s="9" t="e">
        <f t="shared" si="35"/>
        <v>#DIV/0!</v>
      </c>
    </row>
    <row r="728" spans="1:21" outlineLevel="2">
      <c r="A728" t="s">
        <v>292</v>
      </c>
      <c r="B728" t="s">
        <v>293</v>
      </c>
      <c r="C728" t="s">
        <v>117</v>
      </c>
      <c r="D728" t="s">
        <v>118</v>
      </c>
      <c r="E728" s="4">
        <v>0</v>
      </c>
      <c r="F728" s="4">
        <v>0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1883.33</v>
      </c>
      <c r="M728" s="4">
        <v>0</v>
      </c>
      <c r="N728" s="4">
        <v>0</v>
      </c>
      <c r="O728" s="4">
        <v>3766.66</v>
      </c>
      <c r="P728" s="4">
        <v>0</v>
      </c>
      <c r="Q728" s="4">
        <v>0</v>
      </c>
      <c r="S728" s="8">
        <f t="shared" si="33"/>
        <v>941.66499999999996</v>
      </c>
      <c r="T728" s="8">
        <f t="shared" si="34"/>
        <v>-941.66499999999996</v>
      </c>
      <c r="U728" s="9">
        <f t="shared" si="35"/>
        <v>-1</v>
      </c>
    </row>
    <row r="729" spans="1:21" outlineLevel="2">
      <c r="A729" t="s">
        <v>292</v>
      </c>
      <c r="B729" t="s">
        <v>293</v>
      </c>
      <c r="C729" t="s">
        <v>170</v>
      </c>
      <c r="D729" t="s">
        <v>171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S729" s="8">
        <f t="shared" si="33"/>
        <v>0</v>
      </c>
      <c r="T729" s="8">
        <f t="shared" si="34"/>
        <v>0</v>
      </c>
      <c r="U729" s="9" t="e">
        <f t="shared" si="35"/>
        <v>#DIV/0!</v>
      </c>
    </row>
    <row r="730" spans="1:21" outlineLevel="2">
      <c r="A730" t="s">
        <v>292</v>
      </c>
      <c r="B730" t="s">
        <v>293</v>
      </c>
      <c r="C730" t="s">
        <v>127</v>
      </c>
      <c r="D730" t="s">
        <v>120</v>
      </c>
      <c r="E730" s="4">
        <v>0</v>
      </c>
      <c r="F730" s="4">
        <v>-5.6843418860808015E-14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S730" s="8">
        <f t="shared" si="33"/>
        <v>0</v>
      </c>
      <c r="T730" s="8">
        <f t="shared" si="34"/>
        <v>0</v>
      </c>
      <c r="U730" s="9" t="e">
        <f t="shared" si="35"/>
        <v>#DIV/0!</v>
      </c>
    </row>
    <row r="731" spans="1:21" outlineLevel="1">
      <c r="A731" s="1" t="s">
        <v>713</v>
      </c>
      <c r="E731" s="4">
        <f>SUBTOTAL(9,E711:E730)</f>
        <v>-1.41850975410307E-11</v>
      </c>
      <c r="F731" s="4">
        <f>SUBTOTAL(9,F711:F730)</f>
        <v>1.3130829756846651E-11</v>
      </c>
      <c r="G731" s="4">
        <f>SUBTOTAL(9,G711:G730)</f>
        <v>0</v>
      </c>
      <c r="H731" s="4">
        <f>SUBTOTAL(9,H711:H730)</f>
        <v>0</v>
      </c>
      <c r="I731" s="4">
        <f>SUBTOTAL(9,I711:I730)</f>
        <v>0</v>
      </c>
      <c r="J731" s="4">
        <f>SUBTOTAL(9,J711:J730)</f>
        <v>0</v>
      </c>
      <c r="K731" s="4">
        <f>SUBTOTAL(9,K711:K730)</f>
        <v>3995</v>
      </c>
      <c r="L731" s="4">
        <f>SUBTOTAL(9,L711:L730)</f>
        <v>1883.33</v>
      </c>
      <c r="M731" s="4">
        <f>SUBTOTAL(9,M711:M730)</f>
        <v>0</v>
      </c>
      <c r="N731" s="4">
        <f>SUBTOTAL(9,N711:N730)</f>
        <v>0</v>
      </c>
      <c r="O731" s="4">
        <f>SUBTOTAL(9,O711:O730)</f>
        <v>7039.16</v>
      </c>
      <c r="P731" s="4">
        <f>SUBTOTAL(9,P711:P730)</f>
        <v>1592.33</v>
      </c>
      <c r="Q731" s="4">
        <f>SUBTOTAL(9,Q711:Q730)</f>
        <v>-12450.89</v>
      </c>
      <c r="R731" s="4">
        <f>SUBTOTAL(9,R711:R730)</f>
        <v>0</v>
      </c>
      <c r="S731" s="8">
        <f t="shared" si="33"/>
        <v>-322.67833333333328</v>
      </c>
      <c r="T731" s="8">
        <f t="shared" si="34"/>
        <v>322.67833333333328</v>
      </c>
      <c r="U731" s="9">
        <f t="shared" si="35"/>
        <v>-1</v>
      </c>
    </row>
    <row r="732" spans="1:21" outlineLevel="2">
      <c r="A732" t="s">
        <v>294</v>
      </c>
      <c r="B732" t="s">
        <v>295</v>
      </c>
      <c r="C732" t="s">
        <v>101</v>
      </c>
      <c r="D732" t="s">
        <v>102</v>
      </c>
      <c r="E732" s="4">
        <v>-41180</v>
      </c>
      <c r="F732" s="4">
        <v>0</v>
      </c>
      <c r="G732" s="4">
        <v>0</v>
      </c>
      <c r="H732" s="4">
        <v>-306.12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-8378</v>
      </c>
      <c r="S732" s="8">
        <f t="shared" si="33"/>
        <v>-1396.3333333333333</v>
      </c>
      <c r="T732" s="8">
        <f t="shared" si="34"/>
        <v>1396.3333333333333</v>
      </c>
      <c r="U732" s="9">
        <f t="shared" si="35"/>
        <v>-1</v>
      </c>
    </row>
    <row r="733" spans="1:21" outlineLevel="2">
      <c r="A733" t="s">
        <v>294</v>
      </c>
      <c r="B733" t="s">
        <v>295</v>
      </c>
      <c r="C733" t="s">
        <v>296</v>
      </c>
      <c r="D733" t="s">
        <v>297</v>
      </c>
      <c r="E733" s="4">
        <v>41180</v>
      </c>
      <c r="F733" s="4">
        <v>0</v>
      </c>
      <c r="G733" s="4">
        <v>0</v>
      </c>
      <c r="H733" s="4">
        <v>306.12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8378</v>
      </c>
      <c r="S733" s="8">
        <f t="shared" si="33"/>
        <v>1396.3333333333333</v>
      </c>
      <c r="T733" s="8">
        <f t="shared" si="34"/>
        <v>-1396.3333333333333</v>
      </c>
      <c r="U733" s="9">
        <f t="shared" si="35"/>
        <v>-1</v>
      </c>
    </row>
    <row r="734" spans="1:21" outlineLevel="1">
      <c r="A734" s="1" t="s">
        <v>714</v>
      </c>
      <c r="E734" s="4">
        <f>SUBTOTAL(9,E732:E733)</f>
        <v>0</v>
      </c>
      <c r="F734" s="4">
        <f>SUBTOTAL(9,F732:F733)</f>
        <v>0</v>
      </c>
      <c r="G734" s="4">
        <f>SUBTOTAL(9,G732:G733)</f>
        <v>0</v>
      </c>
      <c r="H734" s="4">
        <f>SUBTOTAL(9,H732:H733)</f>
        <v>0</v>
      </c>
      <c r="I734" s="4">
        <f>SUBTOTAL(9,I732:I733)</f>
        <v>0</v>
      </c>
      <c r="J734" s="4">
        <f>SUBTOTAL(9,J732:J733)</f>
        <v>0</v>
      </c>
      <c r="K734" s="4">
        <f>SUBTOTAL(9,K732:K733)</f>
        <v>0</v>
      </c>
      <c r="L734" s="4">
        <f>SUBTOTAL(9,L732:L733)</f>
        <v>0</v>
      </c>
      <c r="M734" s="4">
        <f>SUBTOTAL(9,M732:M733)</f>
        <v>0</v>
      </c>
      <c r="N734" s="4">
        <f>SUBTOTAL(9,N732:N733)</f>
        <v>0</v>
      </c>
      <c r="O734" s="4">
        <f>SUBTOTAL(9,O732:O733)</f>
        <v>0</v>
      </c>
      <c r="P734" s="4">
        <f>SUBTOTAL(9,P732:P733)</f>
        <v>0</v>
      </c>
      <c r="Q734" s="4">
        <f>SUBTOTAL(9,Q732:Q733)</f>
        <v>0</v>
      </c>
      <c r="R734" s="4">
        <f>SUBTOTAL(9,R732:R733)</f>
        <v>0</v>
      </c>
      <c r="S734" s="8">
        <f t="shared" si="33"/>
        <v>0</v>
      </c>
      <c r="T734" s="8">
        <f t="shared" si="34"/>
        <v>0</v>
      </c>
      <c r="U734" s="9" t="e">
        <f t="shared" si="35"/>
        <v>#DIV/0!</v>
      </c>
    </row>
    <row r="735" spans="1:21" outlineLevel="2">
      <c r="A735" t="s">
        <v>298</v>
      </c>
      <c r="B735" t="s">
        <v>299</v>
      </c>
      <c r="C735" t="s">
        <v>19</v>
      </c>
      <c r="D735" t="s">
        <v>20</v>
      </c>
      <c r="E735" s="4">
        <v>0</v>
      </c>
      <c r="F735" s="4">
        <v>420.81000000000006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S735" s="8">
        <f t="shared" si="33"/>
        <v>0</v>
      </c>
      <c r="T735" s="8">
        <f t="shared" si="34"/>
        <v>0</v>
      </c>
      <c r="U735" s="9" t="e">
        <f t="shared" si="35"/>
        <v>#DIV/0!</v>
      </c>
    </row>
    <row r="736" spans="1:21" outlineLevel="2">
      <c r="A736" t="s">
        <v>298</v>
      </c>
      <c r="B736" t="s">
        <v>299</v>
      </c>
      <c r="C736" t="s">
        <v>27</v>
      </c>
      <c r="D736" t="s">
        <v>28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8">
        <f t="shared" si="33"/>
        <v>0</v>
      </c>
      <c r="T736" s="8">
        <f t="shared" si="34"/>
        <v>0</v>
      </c>
      <c r="U736" s="9" t="e">
        <f t="shared" si="35"/>
        <v>#DIV/0!</v>
      </c>
    </row>
    <row r="737" spans="1:21" outlineLevel="2">
      <c r="A737" t="s">
        <v>298</v>
      </c>
      <c r="B737" t="s">
        <v>299</v>
      </c>
      <c r="C737" t="s">
        <v>136</v>
      </c>
      <c r="D737" t="s">
        <v>137</v>
      </c>
      <c r="E737" s="4">
        <v>29569.24</v>
      </c>
      <c r="F737" s="4">
        <v>-24800.01</v>
      </c>
      <c r="G737" s="4">
        <v>0</v>
      </c>
      <c r="H737" s="4">
        <v>5.4569682106375694E-12</v>
      </c>
      <c r="I737" s="4">
        <v>0</v>
      </c>
      <c r="J737" s="4">
        <v>0</v>
      </c>
      <c r="K737" s="4">
        <v>-3.637978807091713E-12</v>
      </c>
      <c r="L737" s="4">
        <v>0</v>
      </c>
      <c r="M737" s="4">
        <v>1.8189894035458565E-12</v>
      </c>
      <c r="N737" s="4">
        <v>0</v>
      </c>
      <c r="O737" s="4">
        <v>0</v>
      </c>
      <c r="P737" s="4">
        <v>0</v>
      </c>
      <c r="Q737" s="4">
        <v>0</v>
      </c>
      <c r="R737" s="4">
        <v>7.2759576141834259E-12</v>
      </c>
      <c r="S737" s="8">
        <f t="shared" si="33"/>
        <v>3.0316490059097606E-13</v>
      </c>
      <c r="T737" s="8">
        <f t="shared" si="34"/>
        <v>6.9727927135924501E-12</v>
      </c>
      <c r="U737" s="9">
        <f t="shared" si="35"/>
        <v>23.000000000000004</v>
      </c>
    </row>
    <row r="738" spans="1:21" outlineLevel="2">
      <c r="A738" t="s">
        <v>298</v>
      </c>
      <c r="B738" t="s">
        <v>299</v>
      </c>
      <c r="C738" t="s">
        <v>138</v>
      </c>
      <c r="D738" t="s">
        <v>139</v>
      </c>
      <c r="E738" s="4">
        <v>64679.67</v>
      </c>
      <c r="F738" s="4">
        <v>-53489.87000000001</v>
      </c>
      <c r="G738" s="4">
        <v>0</v>
      </c>
      <c r="H738" s="4">
        <v>3.637978807091713E-12</v>
      </c>
      <c r="I738" s="4">
        <v>7.2759576141834259E-12</v>
      </c>
      <c r="J738" s="4">
        <v>7.2759576141834259E-12</v>
      </c>
      <c r="K738" s="4">
        <v>0</v>
      </c>
      <c r="L738" s="4">
        <v>0</v>
      </c>
      <c r="M738" s="4">
        <v>-3.637978807091713E-12</v>
      </c>
      <c r="N738" s="4">
        <v>0</v>
      </c>
      <c r="O738" s="4">
        <v>0</v>
      </c>
      <c r="P738" s="4">
        <v>0</v>
      </c>
      <c r="Q738" s="4">
        <v>7.2759576141834259E-12</v>
      </c>
      <c r="R738" s="4">
        <v>1.8189894035458565E-12</v>
      </c>
      <c r="S738" s="8">
        <f t="shared" si="33"/>
        <v>6.0632980118195212E-13</v>
      </c>
      <c r="T738" s="8">
        <f t="shared" si="34"/>
        <v>1.2126596023639045E-12</v>
      </c>
      <c r="U738" s="9">
        <f t="shared" si="35"/>
        <v>2.0000000000000004</v>
      </c>
    </row>
    <row r="739" spans="1:21" outlineLevel="2">
      <c r="A739" t="s">
        <v>298</v>
      </c>
      <c r="B739" t="s">
        <v>299</v>
      </c>
      <c r="C739" t="s">
        <v>29</v>
      </c>
      <c r="D739" t="s">
        <v>30</v>
      </c>
      <c r="E739" s="4">
        <v>15665.929999999998</v>
      </c>
      <c r="F739" s="4">
        <v>-12638.07</v>
      </c>
      <c r="G739" s="4">
        <v>-1.8189894035458565E-12</v>
      </c>
      <c r="H739" s="4">
        <v>9.0949470177292824E-13</v>
      </c>
      <c r="I739" s="4">
        <v>0</v>
      </c>
      <c r="J739" s="4">
        <v>-3.637978807091713E-12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1.8189894035458565E-12</v>
      </c>
      <c r="R739" s="4">
        <v>0</v>
      </c>
      <c r="S739" s="8">
        <f t="shared" si="33"/>
        <v>3.0316490059097606E-13</v>
      </c>
      <c r="T739" s="8">
        <f t="shared" si="34"/>
        <v>-3.0316490059097606E-13</v>
      </c>
      <c r="U739" s="9">
        <f t="shared" si="35"/>
        <v>-1</v>
      </c>
    </row>
    <row r="740" spans="1:21" outlineLevel="2">
      <c r="A740" t="s">
        <v>298</v>
      </c>
      <c r="B740" t="s">
        <v>299</v>
      </c>
      <c r="C740" t="s">
        <v>142</v>
      </c>
      <c r="D740" t="s">
        <v>143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1000</v>
      </c>
      <c r="P740" s="4">
        <v>0</v>
      </c>
      <c r="Q740" s="4">
        <v>0</v>
      </c>
      <c r="S740" s="8">
        <f t="shared" si="33"/>
        <v>166.66666666666666</v>
      </c>
      <c r="T740" s="8">
        <f t="shared" si="34"/>
        <v>-166.66666666666666</v>
      </c>
      <c r="U740" s="9">
        <f t="shared" si="35"/>
        <v>-1</v>
      </c>
    </row>
    <row r="741" spans="1:21" outlineLevel="2">
      <c r="A741" t="s">
        <v>298</v>
      </c>
      <c r="B741" t="s">
        <v>299</v>
      </c>
      <c r="C741" t="s">
        <v>144</v>
      </c>
      <c r="D741" t="s">
        <v>145</v>
      </c>
      <c r="E741" s="4">
        <v>-5897.2199999999993</v>
      </c>
      <c r="F741" s="4">
        <v>5897.22</v>
      </c>
      <c r="G741" s="4">
        <v>4.5474735088646412E-13</v>
      </c>
      <c r="H741" s="4">
        <v>0</v>
      </c>
      <c r="I741" s="4">
        <v>0</v>
      </c>
      <c r="J741" s="4">
        <v>0</v>
      </c>
      <c r="K741" s="4">
        <v>-2.2737367544323206E-13</v>
      </c>
      <c r="L741" s="4">
        <v>0</v>
      </c>
      <c r="M741" s="4">
        <v>0</v>
      </c>
      <c r="N741" s="4">
        <v>1.1368683772161603E-13</v>
      </c>
      <c r="O741" s="4">
        <v>0</v>
      </c>
      <c r="P741" s="4">
        <v>0</v>
      </c>
      <c r="Q741" s="4">
        <v>-2.2737367544323206E-13</v>
      </c>
      <c r="R741" s="4">
        <v>0</v>
      </c>
      <c r="S741" s="8">
        <f t="shared" si="33"/>
        <v>-1.8947806286936004E-14</v>
      </c>
      <c r="T741" s="8">
        <f t="shared" si="34"/>
        <v>1.8947806286936004E-14</v>
      </c>
      <c r="U741" s="9">
        <f t="shared" si="35"/>
        <v>-1</v>
      </c>
    </row>
    <row r="742" spans="1:21" outlineLevel="2">
      <c r="A742" t="s">
        <v>298</v>
      </c>
      <c r="B742" t="s">
        <v>299</v>
      </c>
      <c r="C742" t="s">
        <v>146</v>
      </c>
      <c r="D742" t="s">
        <v>147</v>
      </c>
      <c r="E742" s="4">
        <v>9908.6900000000023</v>
      </c>
      <c r="F742" s="4">
        <v>-8169.5699999999979</v>
      </c>
      <c r="G742" s="4">
        <v>1.8189894035458565E-12</v>
      </c>
      <c r="H742" s="4">
        <v>-9.0949470177292824E-13</v>
      </c>
      <c r="I742" s="4">
        <v>0</v>
      </c>
      <c r="J742" s="4">
        <v>0</v>
      </c>
      <c r="K742" s="4">
        <v>1.8189894035458565E-12</v>
      </c>
      <c r="L742" s="4">
        <v>0</v>
      </c>
      <c r="M742" s="4">
        <v>536.05999999999995</v>
      </c>
      <c r="N742" s="4">
        <v>0</v>
      </c>
      <c r="O742" s="4">
        <v>0</v>
      </c>
      <c r="P742" s="4">
        <v>-1.8189894035458565E-12</v>
      </c>
      <c r="Q742" s="4">
        <v>-1.3642420526593924E-12</v>
      </c>
      <c r="R742" s="4">
        <v>-4.5474735088646412E-13</v>
      </c>
      <c r="S742" s="8">
        <f t="shared" si="33"/>
        <v>89.343333333332794</v>
      </c>
      <c r="T742" s="8">
        <f t="shared" si="34"/>
        <v>-89.343333333333248</v>
      </c>
      <c r="U742" s="9">
        <f t="shared" si="35"/>
        <v>-1.0000000000000051</v>
      </c>
    </row>
    <row r="743" spans="1:21" outlineLevel="2">
      <c r="A743" t="s">
        <v>298</v>
      </c>
      <c r="B743" t="s">
        <v>299</v>
      </c>
      <c r="C743" t="s">
        <v>150</v>
      </c>
      <c r="D743" t="s">
        <v>151</v>
      </c>
      <c r="E743" s="4">
        <v>0</v>
      </c>
      <c r="F743" s="4">
        <v>13338</v>
      </c>
      <c r="G743" s="4">
        <v>2667.5999999999985</v>
      </c>
      <c r="H743" s="4">
        <v>21233.61</v>
      </c>
      <c r="I743" s="4">
        <v>16292.15</v>
      </c>
      <c r="J743" s="4">
        <v>10799.37</v>
      </c>
      <c r="K743" s="4">
        <v>10559.43</v>
      </c>
      <c r="L743" s="4">
        <v>10559.43</v>
      </c>
      <c r="M743" s="4">
        <v>10559.43</v>
      </c>
      <c r="N743" s="4">
        <v>10402.219999999999</v>
      </c>
      <c r="O743" s="4">
        <v>10402.219999999999</v>
      </c>
      <c r="P743" s="4">
        <v>10402.219999999999</v>
      </c>
      <c r="Q743" s="4">
        <v>7621.1</v>
      </c>
      <c r="R743" s="4">
        <v>-7621.1</v>
      </c>
      <c r="S743" s="8">
        <f t="shared" si="33"/>
        <v>9991.1033333333344</v>
      </c>
      <c r="T743" s="8">
        <f t="shared" si="34"/>
        <v>-17612.203333333335</v>
      </c>
      <c r="U743" s="9">
        <f t="shared" si="35"/>
        <v>-1.7627886276157021</v>
      </c>
    </row>
    <row r="744" spans="1:21" outlineLevel="2">
      <c r="A744" t="s">
        <v>298</v>
      </c>
      <c r="B744" t="s">
        <v>299</v>
      </c>
      <c r="C744" t="s">
        <v>152</v>
      </c>
      <c r="D744" t="s">
        <v>153</v>
      </c>
      <c r="E744" s="4">
        <v>8200.66</v>
      </c>
      <c r="F744" s="4">
        <v>-6782.38</v>
      </c>
      <c r="G744" s="4">
        <v>0</v>
      </c>
      <c r="H744" s="4">
        <v>1.3642420526593924E-12</v>
      </c>
      <c r="I744" s="4">
        <v>-1.8189894035458565E-12</v>
      </c>
      <c r="J744" s="4">
        <v>-1.8189894035458565E-12</v>
      </c>
      <c r="K744" s="4">
        <v>-9.0949470177292824E-13</v>
      </c>
      <c r="L744" s="4">
        <v>9.0949470177292824E-13</v>
      </c>
      <c r="M744" s="4">
        <v>-9.0949470177292824E-13</v>
      </c>
      <c r="N744" s="4">
        <v>7.673861546209082E-13</v>
      </c>
      <c r="O744" s="4">
        <v>0</v>
      </c>
      <c r="P744" s="4">
        <v>0</v>
      </c>
      <c r="Q744" s="4">
        <v>-2.2737367544323206E-13</v>
      </c>
      <c r="R744" s="4">
        <v>-2.2737367544323206E-13</v>
      </c>
      <c r="S744" s="8">
        <f t="shared" si="33"/>
        <v>9.0002079862946019E-14</v>
      </c>
      <c r="T744" s="8">
        <f t="shared" si="34"/>
        <v>-3.1737575530617807E-13</v>
      </c>
      <c r="U744" s="9">
        <f t="shared" si="35"/>
        <v>-3.5263157894736841</v>
      </c>
    </row>
    <row r="745" spans="1:21" outlineLevel="2">
      <c r="A745" t="s">
        <v>298</v>
      </c>
      <c r="B745" t="s">
        <v>299</v>
      </c>
      <c r="C745" t="s">
        <v>154</v>
      </c>
      <c r="D745" t="s">
        <v>155</v>
      </c>
      <c r="E745" s="4">
        <v>2852.53</v>
      </c>
      <c r="F745" s="4">
        <v>-2852.5299999999997</v>
      </c>
      <c r="G745" s="4">
        <v>0</v>
      </c>
      <c r="H745" s="4">
        <v>0</v>
      </c>
      <c r="I745" s="4">
        <v>0</v>
      </c>
      <c r="J745" s="4">
        <v>0</v>
      </c>
      <c r="K745" s="4">
        <v>-1.4210854715202004E-14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3.694822225952521E-13</v>
      </c>
      <c r="S745" s="8">
        <f t="shared" si="33"/>
        <v>6.1580370432542012E-14</v>
      </c>
      <c r="T745" s="8">
        <f t="shared" si="34"/>
        <v>-6.1580370432542012E-14</v>
      </c>
      <c r="U745" s="9">
        <f t="shared" si="35"/>
        <v>-1</v>
      </c>
    </row>
    <row r="746" spans="1:21" outlineLevel="2">
      <c r="A746" t="s">
        <v>298</v>
      </c>
      <c r="B746" t="s">
        <v>299</v>
      </c>
      <c r="C746" t="s">
        <v>180</v>
      </c>
      <c r="D746" t="s">
        <v>181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8">
        <f t="shared" si="33"/>
        <v>0</v>
      </c>
      <c r="T746" s="8">
        <f t="shared" si="34"/>
        <v>0</v>
      </c>
      <c r="U746" s="9" t="e">
        <f t="shared" si="35"/>
        <v>#DIV/0!</v>
      </c>
    </row>
    <row r="747" spans="1:21" outlineLevel="2">
      <c r="A747" t="s">
        <v>298</v>
      </c>
      <c r="B747" t="s">
        <v>299</v>
      </c>
      <c r="C747" t="s">
        <v>158</v>
      </c>
      <c r="D747" t="s">
        <v>159</v>
      </c>
      <c r="E747" s="4">
        <v>3333.33</v>
      </c>
      <c r="F747" s="4">
        <v>3333</v>
      </c>
      <c r="G747" s="4">
        <v>-352.17999999999984</v>
      </c>
      <c r="H747" s="4">
        <v>3397.51</v>
      </c>
      <c r="I747" s="4">
        <v>3333</v>
      </c>
      <c r="J747" s="4">
        <v>371.55999999999995</v>
      </c>
      <c r="K747" s="4">
        <v>3333</v>
      </c>
      <c r="L747" s="4">
        <v>3333</v>
      </c>
      <c r="M747" s="4">
        <v>1860.9300000000003</v>
      </c>
      <c r="N747" s="4">
        <v>3333</v>
      </c>
      <c r="O747" s="4">
        <v>3333</v>
      </c>
      <c r="P747" s="4">
        <v>-2568.9599999999991</v>
      </c>
      <c r="Q747" s="4">
        <v>3333.33</v>
      </c>
      <c r="R747" s="4">
        <v>-3333.33</v>
      </c>
      <c r="S747" s="8">
        <f t="shared" si="33"/>
        <v>2104.0500000000002</v>
      </c>
      <c r="T747" s="8">
        <f t="shared" si="34"/>
        <v>-5437.38</v>
      </c>
      <c r="U747" s="9">
        <f t="shared" si="35"/>
        <v>-2.5842446709916587</v>
      </c>
    </row>
    <row r="748" spans="1:21" outlineLevel="2">
      <c r="A748" t="s">
        <v>298</v>
      </c>
      <c r="B748" t="s">
        <v>299</v>
      </c>
      <c r="C748" t="s">
        <v>160</v>
      </c>
      <c r="D748" t="s">
        <v>161</v>
      </c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447.22</v>
      </c>
      <c r="N748" s="4">
        <v>0</v>
      </c>
      <c r="O748" s="4">
        <v>0</v>
      </c>
      <c r="P748" s="4">
        <v>471.23</v>
      </c>
      <c r="Q748" s="4">
        <v>0</v>
      </c>
      <c r="S748" s="8">
        <f t="shared" si="33"/>
        <v>153.07500000000002</v>
      </c>
      <c r="T748" s="8">
        <f t="shared" si="34"/>
        <v>-153.07500000000002</v>
      </c>
      <c r="U748" s="9">
        <f t="shared" si="35"/>
        <v>-1</v>
      </c>
    </row>
    <row r="749" spans="1:21" outlineLevel="2">
      <c r="A749" t="s">
        <v>298</v>
      </c>
      <c r="B749" t="s">
        <v>299</v>
      </c>
      <c r="C749" t="s">
        <v>164</v>
      </c>
      <c r="D749" t="s">
        <v>165</v>
      </c>
      <c r="E749" s="4">
        <v>630</v>
      </c>
      <c r="F749" s="4">
        <v>420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8">
        <f t="shared" si="33"/>
        <v>0</v>
      </c>
      <c r="T749" s="8">
        <f t="shared" si="34"/>
        <v>0</v>
      </c>
      <c r="U749" s="9" t="e">
        <f t="shared" si="35"/>
        <v>#DIV/0!</v>
      </c>
    </row>
    <row r="750" spans="1:21" outlineLevel="2">
      <c r="A750" t="s">
        <v>298</v>
      </c>
      <c r="B750" t="s">
        <v>299</v>
      </c>
      <c r="C750" t="s">
        <v>170</v>
      </c>
      <c r="D750" t="s">
        <v>171</v>
      </c>
      <c r="E750" s="4">
        <v>135</v>
      </c>
      <c r="F750" s="4">
        <v>-135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S750" s="8">
        <f t="shared" si="33"/>
        <v>0</v>
      </c>
      <c r="T750" s="8">
        <f t="shared" si="34"/>
        <v>0</v>
      </c>
      <c r="U750" s="9" t="e">
        <f t="shared" si="35"/>
        <v>#DIV/0!</v>
      </c>
    </row>
    <row r="751" spans="1:21" outlineLevel="2">
      <c r="A751" t="s">
        <v>298</v>
      </c>
      <c r="B751" t="s">
        <v>299</v>
      </c>
      <c r="C751" t="s">
        <v>127</v>
      </c>
      <c r="D751" t="s">
        <v>120</v>
      </c>
      <c r="E751" s="4">
        <v>128500</v>
      </c>
      <c r="F751" s="4">
        <v>0</v>
      </c>
      <c r="G751" s="4">
        <v>81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S751" s="8">
        <f t="shared" si="33"/>
        <v>0</v>
      </c>
      <c r="T751" s="8">
        <f t="shared" si="34"/>
        <v>0</v>
      </c>
      <c r="U751" s="9" t="e">
        <f t="shared" si="35"/>
        <v>#DIV/0!</v>
      </c>
    </row>
    <row r="752" spans="1:21" outlineLevel="2">
      <c r="A752" t="s">
        <v>298</v>
      </c>
      <c r="B752" t="s">
        <v>299</v>
      </c>
      <c r="C752" t="s">
        <v>300</v>
      </c>
      <c r="D752" t="s">
        <v>301</v>
      </c>
      <c r="E752" s="4">
        <v>0</v>
      </c>
      <c r="F752" s="4">
        <v>128500</v>
      </c>
      <c r="G752" s="4">
        <v>128500</v>
      </c>
      <c r="H752" s="4">
        <v>128500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S752" s="8">
        <f t="shared" si="33"/>
        <v>0</v>
      </c>
      <c r="T752" s="8">
        <f t="shared" si="34"/>
        <v>0</v>
      </c>
      <c r="U752" s="9" t="e">
        <f t="shared" si="35"/>
        <v>#DIV/0!</v>
      </c>
    </row>
    <row r="753" spans="1:22" outlineLevel="1">
      <c r="A753" s="1" t="s">
        <v>715</v>
      </c>
      <c r="E753" s="4">
        <f>SUBTOTAL(9,E735:E752)</f>
        <v>257577.83000000002</v>
      </c>
      <c r="F753" s="4">
        <f>SUBTOTAL(9,F735:F752)</f>
        <v>43041.599999999991</v>
      </c>
      <c r="G753" s="4">
        <f>SUBTOTAL(9,G735:G752)</f>
        <v>130896.42</v>
      </c>
      <c r="H753" s="4">
        <f>SUBTOTAL(9,H735:H752)</f>
        <v>153131.12</v>
      </c>
      <c r="I753" s="4">
        <f>SUBTOTAL(9,I735:I752)</f>
        <v>19625.150000000005</v>
      </c>
      <c r="J753" s="4">
        <f>SUBTOTAL(9,J735:J752)</f>
        <v>11170.930000000002</v>
      </c>
      <c r="K753" s="4">
        <f>SUBTOTAL(9,K735:K752)</f>
        <v>13892.429999999997</v>
      </c>
      <c r="L753" s="4">
        <f>SUBTOTAL(9,L735:L752)</f>
        <v>13892.43</v>
      </c>
      <c r="M753" s="4">
        <f>SUBTOTAL(9,M735:M752)</f>
        <v>13403.639999999998</v>
      </c>
      <c r="N753" s="4">
        <f>SUBTOTAL(9,N735:N752)</f>
        <v>13735.22</v>
      </c>
      <c r="O753" s="4">
        <f>SUBTOTAL(9,O735:O752)</f>
        <v>14735.22</v>
      </c>
      <c r="P753" s="4">
        <f>SUBTOTAL(9,P735:P752)</f>
        <v>8304.489999999998</v>
      </c>
      <c r="Q753" s="4">
        <f>SUBTOTAL(9,Q735:Q752)</f>
        <v>10954.430000000008</v>
      </c>
      <c r="R753" s="4">
        <f>SUBTOTAL(9,R735:R752)</f>
        <v>-10954.429999999991</v>
      </c>
      <c r="S753" s="8">
        <f t="shared" si="33"/>
        <v>12504.238333333335</v>
      </c>
      <c r="T753" s="8">
        <f t="shared" si="34"/>
        <v>-23458.668333333328</v>
      </c>
      <c r="U753" s="9">
        <f t="shared" si="35"/>
        <v>-1.8760573581517621</v>
      </c>
    </row>
    <row r="754" spans="1:22" outlineLevel="2">
      <c r="A754" t="s">
        <v>302</v>
      </c>
      <c r="B754" t="s">
        <v>303</v>
      </c>
      <c r="C754" t="s">
        <v>19</v>
      </c>
      <c r="D754" t="s">
        <v>20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133.19999999999999</v>
      </c>
      <c r="S754" s="8">
        <f t="shared" si="33"/>
        <v>0</v>
      </c>
      <c r="T754" s="8">
        <f t="shared" si="34"/>
        <v>133.19999999999999</v>
      </c>
      <c r="U754" s="9" t="e">
        <f t="shared" si="35"/>
        <v>#DIV/0!</v>
      </c>
      <c r="V754" t="s">
        <v>895</v>
      </c>
    </row>
    <row r="755" spans="1:22" outlineLevel="2">
      <c r="A755" t="s">
        <v>302</v>
      </c>
      <c r="B755" t="s">
        <v>303</v>
      </c>
      <c r="C755" t="s">
        <v>21</v>
      </c>
      <c r="D755" t="s">
        <v>22</v>
      </c>
      <c r="E755" s="4">
        <v>345.39000000000004</v>
      </c>
      <c r="F755" s="4">
        <v>-358.37</v>
      </c>
      <c r="G755" s="4">
        <v>0</v>
      </c>
      <c r="H755" s="4">
        <v>1.4210854715202004E-14</v>
      </c>
      <c r="I755" s="4">
        <v>0</v>
      </c>
      <c r="J755" s="4">
        <v>-1.4210854715202004E-14</v>
      </c>
      <c r="K755" s="4">
        <v>3.5527136788005009E-15</v>
      </c>
      <c r="L755" s="4">
        <v>0</v>
      </c>
      <c r="M755" s="4">
        <v>-1.7763568394002505E-14</v>
      </c>
      <c r="N755" s="4">
        <v>0</v>
      </c>
      <c r="O755" s="4">
        <v>0</v>
      </c>
      <c r="P755" s="4">
        <v>1.4210854715202004E-14</v>
      </c>
      <c r="Q755" s="4">
        <v>448.66</v>
      </c>
      <c r="R755" s="4">
        <v>246.2</v>
      </c>
      <c r="S755" s="8">
        <f t="shared" si="33"/>
        <v>74.776666666666671</v>
      </c>
      <c r="T755" s="8">
        <f t="shared" si="34"/>
        <v>171.42333333333332</v>
      </c>
      <c r="U755" s="9">
        <f t="shared" si="35"/>
        <v>2.2924709133865284</v>
      </c>
    </row>
    <row r="756" spans="1:22" outlineLevel="2">
      <c r="A756" t="s">
        <v>302</v>
      </c>
      <c r="B756" t="s">
        <v>303</v>
      </c>
      <c r="C756" t="s">
        <v>23</v>
      </c>
      <c r="D756" t="s">
        <v>24</v>
      </c>
      <c r="E756" s="4">
        <v>774.12000000000012</v>
      </c>
      <c r="F756" s="4">
        <v>-1326.32</v>
      </c>
      <c r="G756" s="4">
        <v>-1.1368683772161603E-13</v>
      </c>
      <c r="H756" s="4">
        <v>-2.2737367544323206E-13</v>
      </c>
      <c r="I756" s="4">
        <v>0</v>
      </c>
      <c r="J756" s="4">
        <v>2.2737367544323206E-13</v>
      </c>
      <c r="K756" s="4">
        <v>-2.8421709430404007E-14</v>
      </c>
      <c r="L756" s="4">
        <v>0</v>
      </c>
      <c r="M756" s="4">
        <v>-1.4210854715202004E-14</v>
      </c>
      <c r="N756" s="4">
        <v>0</v>
      </c>
      <c r="O756" s="4">
        <v>0</v>
      </c>
      <c r="P756" s="4">
        <v>0</v>
      </c>
      <c r="Q756" s="4">
        <v>0</v>
      </c>
      <c r="S756" s="8">
        <f t="shared" si="33"/>
        <v>-2.3684757858670005E-15</v>
      </c>
      <c r="T756" s="8">
        <f t="shared" si="34"/>
        <v>2.3684757858670005E-15</v>
      </c>
      <c r="U756" s="9">
        <f t="shared" si="35"/>
        <v>-1</v>
      </c>
    </row>
    <row r="757" spans="1:22" outlineLevel="2">
      <c r="A757" t="s">
        <v>302</v>
      </c>
      <c r="B757" t="s">
        <v>303</v>
      </c>
      <c r="C757" t="s">
        <v>25</v>
      </c>
      <c r="D757" t="s">
        <v>26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1.3322676295501878E-13</v>
      </c>
      <c r="N757" s="4">
        <v>0</v>
      </c>
      <c r="O757" s="4">
        <v>1.1368683772161603E-13</v>
      </c>
      <c r="P757" s="4">
        <v>0</v>
      </c>
      <c r="Q757" s="4">
        <v>1167.9700000000003</v>
      </c>
      <c r="R757" s="4">
        <v>2732.4700000000003</v>
      </c>
      <c r="S757" s="8">
        <f t="shared" si="33"/>
        <v>194.66166666666675</v>
      </c>
      <c r="T757" s="8">
        <f t="shared" si="34"/>
        <v>2537.8083333333334</v>
      </c>
      <c r="U757" s="9">
        <f t="shared" si="35"/>
        <v>13.037021498839863</v>
      </c>
    </row>
    <row r="758" spans="1:22" outlineLevel="2">
      <c r="A758" t="s">
        <v>302</v>
      </c>
      <c r="B758" t="s">
        <v>303</v>
      </c>
      <c r="C758" t="s">
        <v>27</v>
      </c>
      <c r="D758" t="s">
        <v>28</v>
      </c>
      <c r="E758" s="4">
        <v>190.38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13.13</v>
      </c>
      <c r="R758" s="4">
        <v>651.45000000000005</v>
      </c>
      <c r="S758" s="8">
        <f t="shared" si="33"/>
        <v>2.1883333333333335</v>
      </c>
      <c r="T758" s="8">
        <f t="shared" si="34"/>
        <v>649.26166666666666</v>
      </c>
      <c r="U758" s="9">
        <f t="shared" si="35"/>
        <v>296.69230769230768</v>
      </c>
    </row>
    <row r="759" spans="1:22" outlineLevel="2">
      <c r="A759" t="s">
        <v>302</v>
      </c>
      <c r="B759" t="s">
        <v>303</v>
      </c>
      <c r="C759" t="s">
        <v>136</v>
      </c>
      <c r="D759" t="s">
        <v>137</v>
      </c>
      <c r="E759" s="4">
        <v>53851.91</v>
      </c>
      <c r="F759" s="4">
        <v>-45166.119999999995</v>
      </c>
      <c r="G759" s="4">
        <v>0</v>
      </c>
      <c r="H759" s="4">
        <v>-3.637978807091713E-12</v>
      </c>
      <c r="I759" s="4">
        <v>0</v>
      </c>
      <c r="J759" s="4">
        <v>0</v>
      </c>
      <c r="K759" s="4">
        <v>7.2759576141834259E-12</v>
      </c>
      <c r="L759" s="4">
        <v>7.2759576141834259E-12</v>
      </c>
      <c r="M759" s="4">
        <v>3.637978807091713E-12</v>
      </c>
      <c r="N759" s="4">
        <v>7.2759576141834259E-12</v>
      </c>
      <c r="O759" s="4">
        <v>0</v>
      </c>
      <c r="P759" s="4">
        <v>0</v>
      </c>
      <c r="Q759" s="4">
        <v>197113.58000000002</v>
      </c>
      <c r="R759" s="4">
        <v>178038.1</v>
      </c>
      <c r="S759" s="8">
        <f t="shared" si="33"/>
        <v>32852.263333333343</v>
      </c>
      <c r="T759" s="8">
        <f t="shared" si="34"/>
        <v>145185.83666666667</v>
      </c>
      <c r="U759" s="9">
        <f t="shared" si="35"/>
        <v>4.4193556831548584</v>
      </c>
      <c r="V759" t="s">
        <v>896</v>
      </c>
    </row>
    <row r="760" spans="1:22" outlineLevel="2">
      <c r="A760" t="s">
        <v>302</v>
      </c>
      <c r="B760" t="s">
        <v>303</v>
      </c>
      <c r="C760" t="s">
        <v>138</v>
      </c>
      <c r="D760" t="s">
        <v>139</v>
      </c>
      <c r="E760" s="4">
        <v>11017.75</v>
      </c>
      <c r="F760" s="4">
        <v>-8311.06</v>
      </c>
      <c r="G760" s="4">
        <v>0</v>
      </c>
      <c r="H760" s="4">
        <v>9.0949470177292824E-13</v>
      </c>
      <c r="I760" s="4">
        <v>0</v>
      </c>
      <c r="J760" s="4">
        <v>0</v>
      </c>
      <c r="K760" s="4">
        <v>-1.8189894035458565E-12</v>
      </c>
      <c r="L760" s="4">
        <v>1.8189894035458565E-12</v>
      </c>
      <c r="M760" s="4">
        <v>9.0949470177292824E-13</v>
      </c>
      <c r="N760" s="4">
        <v>-1.8189894035458565E-12</v>
      </c>
      <c r="O760" s="4">
        <v>0</v>
      </c>
      <c r="P760" s="4">
        <v>0</v>
      </c>
      <c r="Q760" s="4">
        <v>21085.5</v>
      </c>
      <c r="R760" s="4">
        <v>18707.689999999999</v>
      </c>
      <c r="S760" s="8">
        <f t="shared" si="33"/>
        <v>3514.25</v>
      </c>
      <c r="T760" s="8">
        <f t="shared" si="34"/>
        <v>15193.439999999999</v>
      </c>
      <c r="U760" s="9">
        <f t="shared" si="35"/>
        <v>4.3233805221597779</v>
      </c>
    </row>
    <row r="761" spans="1:22" outlineLevel="2">
      <c r="A761" t="s">
        <v>302</v>
      </c>
      <c r="B761" t="s">
        <v>303</v>
      </c>
      <c r="C761" t="s">
        <v>29</v>
      </c>
      <c r="D761" t="s">
        <v>30</v>
      </c>
      <c r="E761" s="4">
        <v>1374.7700000000002</v>
      </c>
      <c r="F761" s="4">
        <v>-1088.53</v>
      </c>
      <c r="G761" s="4">
        <v>0</v>
      </c>
      <c r="H761" s="4">
        <v>-1.7053025658242404E-13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-2.2737367544323206E-13</v>
      </c>
      <c r="O761" s="4">
        <v>-2.2737367544323206E-13</v>
      </c>
      <c r="P761" s="4">
        <v>2.2737367544323206E-13</v>
      </c>
      <c r="Q761" s="4">
        <v>3164.62</v>
      </c>
      <c r="R761" s="4">
        <v>5395.42</v>
      </c>
      <c r="S761" s="8">
        <f t="shared" si="33"/>
        <v>527.43666666666661</v>
      </c>
      <c r="T761" s="8">
        <f t="shared" si="34"/>
        <v>4867.9833333333336</v>
      </c>
      <c r="U761" s="9">
        <f t="shared" si="35"/>
        <v>9.2295125481100424</v>
      </c>
    </row>
    <row r="762" spans="1:22" outlineLevel="2">
      <c r="A762" t="s">
        <v>302</v>
      </c>
      <c r="B762" t="s">
        <v>303</v>
      </c>
      <c r="C762" t="s">
        <v>142</v>
      </c>
      <c r="D762" t="s">
        <v>143</v>
      </c>
      <c r="E762" s="4">
        <v>0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1000</v>
      </c>
      <c r="O762" s="4">
        <v>0</v>
      </c>
      <c r="P762" s="4">
        <v>0</v>
      </c>
      <c r="Q762" s="4">
        <v>0</v>
      </c>
      <c r="S762" s="8">
        <f t="shared" si="33"/>
        <v>166.66666666666666</v>
      </c>
      <c r="T762" s="8">
        <f t="shared" si="34"/>
        <v>-166.66666666666666</v>
      </c>
      <c r="U762" s="9">
        <f t="shared" si="35"/>
        <v>-1</v>
      </c>
    </row>
    <row r="763" spans="1:22" outlineLevel="2">
      <c r="A763" t="s">
        <v>302</v>
      </c>
      <c r="B763" t="s">
        <v>303</v>
      </c>
      <c r="C763" t="s">
        <v>144</v>
      </c>
      <c r="D763" t="s">
        <v>145</v>
      </c>
      <c r="E763" s="4">
        <v>-3433.1099999999997</v>
      </c>
      <c r="F763" s="4">
        <v>3433.1099999999997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1.1368683772161603E-13</v>
      </c>
      <c r="Q763" s="4">
        <v>34158</v>
      </c>
      <c r="R763" s="4">
        <v>-180.09000000000378</v>
      </c>
      <c r="S763" s="8">
        <f t="shared" si="33"/>
        <v>5693</v>
      </c>
      <c r="T763" s="8">
        <f t="shared" si="34"/>
        <v>-5873.0900000000038</v>
      </c>
      <c r="U763" s="9">
        <f t="shared" si="35"/>
        <v>-1.0316335851045151</v>
      </c>
    </row>
    <row r="764" spans="1:22" outlineLevel="2">
      <c r="A764" t="s">
        <v>302</v>
      </c>
      <c r="B764" t="s">
        <v>303</v>
      </c>
      <c r="C764" t="s">
        <v>146</v>
      </c>
      <c r="D764" t="s">
        <v>147</v>
      </c>
      <c r="E764" s="4">
        <v>6624.47</v>
      </c>
      <c r="F764" s="4">
        <v>-5456.6</v>
      </c>
      <c r="G764" s="4">
        <v>0</v>
      </c>
      <c r="H764" s="4">
        <v>-4.5474735088646412E-13</v>
      </c>
      <c r="I764" s="4">
        <v>0</v>
      </c>
      <c r="J764" s="4">
        <v>0</v>
      </c>
      <c r="K764" s="4">
        <v>-9.0949470177292824E-13</v>
      </c>
      <c r="L764" s="4">
        <v>9.0949470177292824E-13</v>
      </c>
      <c r="M764" s="4">
        <v>1328.2699999999998</v>
      </c>
      <c r="N764" s="4">
        <v>0</v>
      </c>
      <c r="O764" s="4">
        <v>0</v>
      </c>
      <c r="P764" s="4">
        <v>0</v>
      </c>
      <c r="Q764" s="4">
        <v>19311.34</v>
      </c>
      <c r="R764" s="4">
        <v>16749.25</v>
      </c>
      <c r="S764" s="8">
        <f t="shared" si="33"/>
        <v>3439.9349999999999</v>
      </c>
      <c r="T764" s="8">
        <f t="shared" si="34"/>
        <v>13309.315000000001</v>
      </c>
      <c r="U764" s="9">
        <f t="shared" si="35"/>
        <v>3.8690600258435119</v>
      </c>
    </row>
    <row r="765" spans="1:22" outlineLevel="2">
      <c r="A765" t="s">
        <v>302</v>
      </c>
      <c r="B765" t="s">
        <v>303</v>
      </c>
      <c r="C765" t="s">
        <v>150</v>
      </c>
      <c r="D765" t="s">
        <v>151</v>
      </c>
      <c r="E765" s="4">
        <v>0</v>
      </c>
      <c r="F765" s="4">
        <v>16026</v>
      </c>
      <c r="G765" s="4">
        <v>3205.1999999999971</v>
      </c>
      <c r="H765" s="4">
        <v>18421.689999999999</v>
      </c>
      <c r="I765" s="4">
        <v>16473.14</v>
      </c>
      <c r="J765" s="4">
        <v>10919.34</v>
      </c>
      <c r="K765" s="4">
        <v>13229.18</v>
      </c>
      <c r="L765" s="4">
        <v>13229.18</v>
      </c>
      <c r="M765" s="4">
        <v>13229.18</v>
      </c>
      <c r="N765" s="4">
        <v>12837.81</v>
      </c>
      <c r="O765" s="4">
        <v>12837.81</v>
      </c>
      <c r="P765" s="4">
        <v>12837.81</v>
      </c>
      <c r="Q765" s="4">
        <v>27878.82</v>
      </c>
      <c r="R765" s="4">
        <v>31641.72</v>
      </c>
      <c r="S765" s="8">
        <f t="shared" si="33"/>
        <v>15475.101666666664</v>
      </c>
      <c r="T765" s="8">
        <f t="shared" si="34"/>
        <v>16166.618333333337</v>
      </c>
      <c r="U765" s="9">
        <f t="shared" si="35"/>
        <v>1.0446857591996439</v>
      </c>
      <c r="V765" t="s">
        <v>896</v>
      </c>
    </row>
    <row r="766" spans="1:22" outlineLevel="2">
      <c r="A766" t="s">
        <v>302</v>
      </c>
      <c r="B766" t="s">
        <v>303</v>
      </c>
      <c r="C766" t="s">
        <v>152</v>
      </c>
      <c r="D766" t="s">
        <v>153</v>
      </c>
      <c r="E766" s="4">
        <v>4947.82</v>
      </c>
      <c r="F766" s="4">
        <v>-4073.58</v>
      </c>
      <c r="G766" s="4">
        <v>0</v>
      </c>
      <c r="H766" s="4">
        <v>0</v>
      </c>
      <c r="I766" s="4">
        <v>0</v>
      </c>
      <c r="J766" s="4">
        <v>0</v>
      </c>
      <c r="K766" s="4">
        <v>9.0949470177292824E-13</v>
      </c>
      <c r="L766" s="4">
        <v>0</v>
      </c>
      <c r="M766" s="4">
        <v>-1.4210854715202004E-13</v>
      </c>
      <c r="N766" s="4">
        <v>0</v>
      </c>
      <c r="O766" s="4">
        <v>-4.5474735088646412E-13</v>
      </c>
      <c r="P766" s="4">
        <v>0</v>
      </c>
      <c r="Q766" s="4">
        <v>16322.23</v>
      </c>
      <c r="R766" s="4">
        <v>14861.24</v>
      </c>
      <c r="S766" s="8">
        <f t="shared" si="33"/>
        <v>2720.3716666666664</v>
      </c>
      <c r="T766" s="8">
        <f t="shared" si="34"/>
        <v>12140.868333333334</v>
      </c>
      <c r="U766" s="9">
        <f t="shared" si="35"/>
        <v>4.4629447079228761</v>
      </c>
    </row>
    <row r="767" spans="1:22" outlineLevel="2">
      <c r="A767" t="s">
        <v>302</v>
      </c>
      <c r="B767" t="s">
        <v>303</v>
      </c>
      <c r="C767" t="s">
        <v>154</v>
      </c>
      <c r="D767" t="s">
        <v>155</v>
      </c>
      <c r="E767" s="4">
        <v>887.73</v>
      </c>
      <c r="F767" s="4">
        <v>-887.73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3861.6400000000003</v>
      </c>
      <c r="R767" s="4">
        <v>5.0599999999999996</v>
      </c>
      <c r="S767" s="8">
        <f t="shared" si="33"/>
        <v>643.60666666666668</v>
      </c>
      <c r="T767" s="8">
        <f t="shared" si="34"/>
        <v>-638.54666666666674</v>
      </c>
      <c r="U767" s="9">
        <f t="shared" si="35"/>
        <v>-0.99213805533400323</v>
      </c>
    </row>
    <row r="768" spans="1:22" outlineLevel="2">
      <c r="A768" t="s">
        <v>302</v>
      </c>
      <c r="B768" t="s">
        <v>303</v>
      </c>
      <c r="C768" t="s">
        <v>33</v>
      </c>
      <c r="D768" t="s">
        <v>34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453.36</v>
      </c>
      <c r="S768" s="8">
        <f t="shared" si="33"/>
        <v>0</v>
      </c>
      <c r="T768" s="8">
        <f t="shared" si="34"/>
        <v>453.36</v>
      </c>
      <c r="U768" s="9" t="e">
        <f t="shared" si="35"/>
        <v>#DIV/0!</v>
      </c>
      <c r="V768" t="s">
        <v>895</v>
      </c>
    </row>
    <row r="769" spans="1:22" outlineLevel="2">
      <c r="A769" t="s">
        <v>302</v>
      </c>
      <c r="B769" t="s">
        <v>303</v>
      </c>
      <c r="C769" t="s">
        <v>304</v>
      </c>
      <c r="D769" t="s">
        <v>305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240.05</v>
      </c>
      <c r="S769" s="8">
        <f t="shared" si="33"/>
        <v>40.008333333333333</v>
      </c>
      <c r="T769" s="8">
        <f t="shared" si="34"/>
        <v>-40.008333333333333</v>
      </c>
      <c r="U769" s="9">
        <f t="shared" si="35"/>
        <v>-1</v>
      </c>
    </row>
    <row r="770" spans="1:22" outlineLevel="2">
      <c r="A770" t="s">
        <v>302</v>
      </c>
      <c r="B770" t="s">
        <v>303</v>
      </c>
      <c r="C770" t="s">
        <v>180</v>
      </c>
      <c r="D770" t="s">
        <v>181</v>
      </c>
      <c r="E770" s="4">
        <v>181.09</v>
      </c>
      <c r="F770" s="4">
        <v>-356.09</v>
      </c>
      <c r="G770" s="4">
        <v>0</v>
      </c>
      <c r="H770" s="4">
        <v>0</v>
      </c>
      <c r="I770" s="4">
        <v>-5.6843418860808015E-14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175</v>
      </c>
      <c r="S770" s="8">
        <f t="shared" si="33"/>
        <v>29.166666666666668</v>
      </c>
      <c r="T770" s="8">
        <f t="shared" si="34"/>
        <v>-29.166666666666668</v>
      </c>
      <c r="U770" s="9">
        <f t="shared" si="35"/>
        <v>-1</v>
      </c>
    </row>
    <row r="771" spans="1:22" outlineLevel="2">
      <c r="A771" t="s">
        <v>302</v>
      </c>
      <c r="B771" t="s">
        <v>303</v>
      </c>
      <c r="C771" t="s">
        <v>158</v>
      </c>
      <c r="D771" t="s">
        <v>159</v>
      </c>
      <c r="E771" s="4">
        <v>6000</v>
      </c>
      <c r="F771" s="4">
        <v>6000</v>
      </c>
      <c r="G771" s="4">
        <v>5633.7699999999995</v>
      </c>
      <c r="H771" s="4">
        <v>6052.3899999999994</v>
      </c>
      <c r="I771" s="4">
        <v>6000</v>
      </c>
      <c r="J771" s="4">
        <v>6571.03</v>
      </c>
      <c r="K771" s="4">
        <v>6000</v>
      </c>
      <c r="L771" s="4">
        <v>6000</v>
      </c>
      <c r="M771" s="4">
        <v>7578.9700000000012</v>
      </c>
      <c r="N771" s="4">
        <v>6000</v>
      </c>
      <c r="O771" s="4">
        <v>6000</v>
      </c>
      <c r="P771" s="4">
        <v>1550.2899999999936</v>
      </c>
      <c r="Q771" s="4">
        <v>13333.33</v>
      </c>
      <c r="R771" s="4">
        <v>13333.33</v>
      </c>
      <c r="S771" s="8">
        <f t="shared" ref="S771:S834" si="36">AVERAGE(L771:Q771)</f>
        <v>6743.7649999999994</v>
      </c>
      <c r="T771" s="8">
        <f t="shared" ref="T771:T834" si="37">R771-S771</f>
        <v>6589.5650000000005</v>
      </c>
      <c r="U771" s="9">
        <f t="shared" ref="U771:U834" si="38">(R771-S771)/S771</f>
        <v>0.97713443454806048</v>
      </c>
    </row>
    <row r="772" spans="1:22" outlineLevel="2">
      <c r="A772" t="s">
        <v>302</v>
      </c>
      <c r="B772" t="s">
        <v>303</v>
      </c>
      <c r="C772" t="s">
        <v>160</v>
      </c>
      <c r="D772" t="s">
        <v>161</v>
      </c>
      <c r="E772" s="4">
        <v>0</v>
      </c>
      <c r="F772" s="4">
        <v>0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232.5</v>
      </c>
      <c r="N772" s="4">
        <v>0</v>
      </c>
      <c r="O772" s="4">
        <v>0</v>
      </c>
      <c r="P772" s="4">
        <v>75.400000000000006</v>
      </c>
      <c r="Q772" s="4">
        <v>0</v>
      </c>
      <c r="S772" s="8">
        <f t="shared" si="36"/>
        <v>51.316666666666663</v>
      </c>
      <c r="T772" s="8">
        <f t="shared" si="37"/>
        <v>-51.316666666666663</v>
      </c>
      <c r="U772" s="9">
        <f t="shared" si="38"/>
        <v>-1</v>
      </c>
    </row>
    <row r="773" spans="1:22" outlineLevel="2">
      <c r="A773" t="s">
        <v>302</v>
      </c>
      <c r="B773" t="s">
        <v>303</v>
      </c>
      <c r="C773" t="s">
        <v>47</v>
      </c>
      <c r="D773" t="s">
        <v>48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S773" s="8">
        <f t="shared" si="36"/>
        <v>0</v>
      </c>
      <c r="T773" s="8">
        <f t="shared" si="37"/>
        <v>0</v>
      </c>
      <c r="U773" s="9" t="e">
        <f t="shared" si="38"/>
        <v>#DIV/0!</v>
      </c>
    </row>
    <row r="774" spans="1:22" outlineLevel="2">
      <c r="A774" t="s">
        <v>302</v>
      </c>
      <c r="B774" t="s">
        <v>303</v>
      </c>
      <c r="C774" t="s">
        <v>49</v>
      </c>
      <c r="D774" t="s">
        <v>50</v>
      </c>
      <c r="E774" s="4">
        <v>0</v>
      </c>
      <c r="F774" s="4">
        <v>0</v>
      </c>
      <c r="G774" s="4">
        <v>0</v>
      </c>
      <c r="H774" s="4">
        <v>-71.5</v>
      </c>
      <c r="I774" s="4">
        <v>0</v>
      </c>
      <c r="J774" s="4">
        <v>-1679.53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S774" s="8">
        <f t="shared" si="36"/>
        <v>0</v>
      </c>
      <c r="T774" s="8">
        <f t="shared" si="37"/>
        <v>0</v>
      </c>
      <c r="U774" s="9" t="e">
        <f t="shared" si="38"/>
        <v>#DIV/0!</v>
      </c>
    </row>
    <row r="775" spans="1:22" outlineLevel="2">
      <c r="A775" t="s">
        <v>302</v>
      </c>
      <c r="B775" t="s">
        <v>303</v>
      </c>
      <c r="C775" t="s">
        <v>164</v>
      </c>
      <c r="D775" t="s">
        <v>165</v>
      </c>
      <c r="E775" s="4">
        <v>105</v>
      </c>
      <c r="F775" s="4">
        <v>70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1050</v>
      </c>
      <c r="R775" s="4">
        <v>980</v>
      </c>
      <c r="S775" s="8">
        <f t="shared" si="36"/>
        <v>175</v>
      </c>
      <c r="T775" s="8">
        <f t="shared" si="37"/>
        <v>805</v>
      </c>
      <c r="U775" s="9">
        <f t="shared" si="38"/>
        <v>4.5999999999999996</v>
      </c>
    </row>
    <row r="776" spans="1:22" outlineLevel="2">
      <c r="A776" t="s">
        <v>302</v>
      </c>
      <c r="B776" t="s">
        <v>303</v>
      </c>
      <c r="C776" t="s">
        <v>55</v>
      </c>
      <c r="D776" t="s">
        <v>56</v>
      </c>
      <c r="E776" s="4">
        <v>0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75.2</v>
      </c>
      <c r="S776" s="8">
        <f t="shared" si="36"/>
        <v>0</v>
      </c>
      <c r="T776" s="8">
        <f t="shared" si="37"/>
        <v>75.2</v>
      </c>
      <c r="U776" s="9" t="e">
        <f t="shared" si="38"/>
        <v>#DIV/0!</v>
      </c>
      <c r="V776" t="s">
        <v>895</v>
      </c>
    </row>
    <row r="777" spans="1:22" outlineLevel="2">
      <c r="A777" t="s">
        <v>302</v>
      </c>
      <c r="B777" t="s">
        <v>303</v>
      </c>
      <c r="C777" t="s">
        <v>63</v>
      </c>
      <c r="D777" t="s">
        <v>64</v>
      </c>
      <c r="E777" s="4">
        <v>-229.03</v>
      </c>
      <c r="F777" s="4">
        <v>0</v>
      </c>
      <c r="G777" s="4">
        <v>0</v>
      </c>
      <c r="H777" s="4">
        <v>0</v>
      </c>
      <c r="I777" s="4">
        <v>0</v>
      </c>
      <c r="J777" s="4">
        <v>-523.56999999999994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22</v>
      </c>
      <c r="S777" s="8">
        <f t="shared" si="36"/>
        <v>3.6666666666666665</v>
      </c>
      <c r="T777" s="8">
        <f t="shared" si="37"/>
        <v>-3.6666666666666665</v>
      </c>
      <c r="U777" s="9">
        <f t="shared" si="38"/>
        <v>-1</v>
      </c>
    </row>
    <row r="778" spans="1:22" outlineLevel="2">
      <c r="A778" t="s">
        <v>302</v>
      </c>
      <c r="B778" t="s">
        <v>303</v>
      </c>
      <c r="C778" t="s">
        <v>65</v>
      </c>
      <c r="D778" t="s">
        <v>66</v>
      </c>
      <c r="E778" s="4">
        <v>0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2077.0500000000002</v>
      </c>
      <c r="S778" s="8">
        <f t="shared" si="36"/>
        <v>0</v>
      </c>
      <c r="T778" s="8">
        <f t="shared" si="37"/>
        <v>2077.0500000000002</v>
      </c>
      <c r="U778" s="9" t="e">
        <f t="shared" si="38"/>
        <v>#DIV/0!</v>
      </c>
      <c r="V778" t="s">
        <v>895</v>
      </c>
    </row>
    <row r="779" spans="1:22" outlineLevel="2">
      <c r="A779" t="s">
        <v>302</v>
      </c>
      <c r="B779" t="s">
        <v>303</v>
      </c>
      <c r="C779" t="s">
        <v>83</v>
      </c>
      <c r="D779" t="s">
        <v>84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439.86</v>
      </c>
      <c r="R779" s="4">
        <v>315.01</v>
      </c>
      <c r="S779" s="8">
        <f t="shared" si="36"/>
        <v>73.31</v>
      </c>
      <c r="T779" s="8">
        <f t="shared" si="37"/>
        <v>241.7</v>
      </c>
      <c r="U779" s="9">
        <f t="shared" si="38"/>
        <v>3.2969581230391487</v>
      </c>
    </row>
    <row r="780" spans="1:22" outlineLevel="2">
      <c r="A780" t="s">
        <v>302</v>
      </c>
      <c r="B780" t="s">
        <v>303</v>
      </c>
      <c r="C780" t="s">
        <v>87</v>
      </c>
      <c r="D780" t="s">
        <v>88</v>
      </c>
      <c r="E780" s="4">
        <v>0</v>
      </c>
      <c r="F780" s="4">
        <v>0</v>
      </c>
      <c r="G780" s="4">
        <v>0</v>
      </c>
      <c r="H780" s="4">
        <v>-2125</v>
      </c>
      <c r="I780" s="4">
        <v>0</v>
      </c>
      <c r="J780" s="4">
        <v>0</v>
      </c>
      <c r="K780" s="4">
        <v>28.73</v>
      </c>
      <c r="L780" s="4">
        <v>0</v>
      </c>
      <c r="M780" s="4">
        <v>19.5</v>
      </c>
      <c r="N780" s="4">
        <v>0</v>
      </c>
      <c r="O780" s="4">
        <v>0</v>
      </c>
      <c r="P780" s="4">
        <v>0</v>
      </c>
      <c r="Q780" s="4">
        <v>0</v>
      </c>
      <c r="R780" s="4">
        <v>43.19</v>
      </c>
      <c r="S780" s="8">
        <f t="shared" si="36"/>
        <v>3.25</v>
      </c>
      <c r="T780" s="8">
        <f t="shared" si="37"/>
        <v>39.94</v>
      </c>
      <c r="U780" s="9">
        <f t="shared" si="38"/>
        <v>12.289230769230768</v>
      </c>
    </row>
    <row r="781" spans="1:22" outlineLevel="2">
      <c r="A781" t="s">
        <v>302</v>
      </c>
      <c r="B781" t="s">
        <v>303</v>
      </c>
      <c r="C781" t="s">
        <v>166</v>
      </c>
      <c r="D781" t="s">
        <v>167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1325</v>
      </c>
      <c r="R781" s="4">
        <v>690</v>
      </c>
      <c r="S781" s="8">
        <f t="shared" si="36"/>
        <v>220.83333333333334</v>
      </c>
      <c r="T781" s="8">
        <f t="shared" si="37"/>
        <v>469.16666666666663</v>
      </c>
      <c r="U781" s="9">
        <f t="shared" si="38"/>
        <v>2.1245283018867922</v>
      </c>
    </row>
    <row r="782" spans="1:22" outlineLevel="2">
      <c r="A782" t="s">
        <v>302</v>
      </c>
      <c r="B782" t="s">
        <v>303</v>
      </c>
      <c r="C782" t="s">
        <v>93</v>
      </c>
      <c r="D782" t="s">
        <v>94</v>
      </c>
      <c r="E782" s="4">
        <v>0</v>
      </c>
      <c r="F782" s="4">
        <v>14180.81</v>
      </c>
      <c r="G782" s="4">
        <v>0</v>
      </c>
      <c r="H782" s="4">
        <v>-1242.23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189.43</v>
      </c>
      <c r="S782" s="8">
        <f t="shared" si="36"/>
        <v>0</v>
      </c>
      <c r="T782" s="8">
        <f t="shared" si="37"/>
        <v>189.43</v>
      </c>
      <c r="U782" s="9" t="e">
        <f t="shared" si="38"/>
        <v>#DIV/0!</v>
      </c>
      <c r="V782" t="s">
        <v>895</v>
      </c>
    </row>
    <row r="783" spans="1:22" outlineLevel="2">
      <c r="A783" t="s">
        <v>302</v>
      </c>
      <c r="B783" t="s">
        <v>303</v>
      </c>
      <c r="C783" t="s">
        <v>101</v>
      </c>
      <c r="D783" t="s">
        <v>102</v>
      </c>
      <c r="E783" s="4">
        <v>0</v>
      </c>
      <c r="F783" s="4">
        <v>0</v>
      </c>
      <c r="G783" s="4">
        <v>0</v>
      </c>
      <c r="H783" s="4">
        <v>-2310.46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S783" s="8">
        <f t="shared" si="36"/>
        <v>0</v>
      </c>
      <c r="T783" s="8">
        <f t="shared" si="37"/>
        <v>0</v>
      </c>
      <c r="U783" s="9" t="e">
        <f t="shared" si="38"/>
        <v>#DIV/0!</v>
      </c>
    </row>
    <row r="784" spans="1:22" outlineLevel="2">
      <c r="A784" t="s">
        <v>302</v>
      </c>
      <c r="B784" t="s">
        <v>303</v>
      </c>
      <c r="C784" t="s">
        <v>170</v>
      </c>
      <c r="D784" t="s">
        <v>171</v>
      </c>
      <c r="E784" s="4">
        <v>540</v>
      </c>
      <c r="F784" s="4">
        <v>-540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540</v>
      </c>
      <c r="S784" s="8">
        <f t="shared" si="36"/>
        <v>90</v>
      </c>
      <c r="T784" s="8">
        <f t="shared" si="37"/>
        <v>-90</v>
      </c>
      <c r="U784" s="9">
        <f t="shared" si="38"/>
        <v>-1</v>
      </c>
    </row>
    <row r="785" spans="1:22" outlineLevel="2">
      <c r="A785" t="s">
        <v>302</v>
      </c>
      <c r="B785" t="s">
        <v>303</v>
      </c>
      <c r="C785" t="s">
        <v>127</v>
      </c>
      <c r="D785" t="s">
        <v>120</v>
      </c>
      <c r="E785" s="4">
        <v>0</v>
      </c>
      <c r="F785" s="4">
        <v>0</v>
      </c>
      <c r="G785" s="4">
        <v>21.69</v>
      </c>
      <c r="H785" s="4">
        <v>73.92</v>
      </c>
      <c r="I785" s="4">
        <v>0</v>
      </c>
      <c r="J785" s="4">
        <v>0</v>
      </c>
      <c r="K785" s="4">
        <v>0</v>
      </c>
      <c r="L785" s="4">
        <v>0</v>
      </c>
      <c r="M785" s="4">
        <v>40.619999999999997</v>
      </c>
      <c r="N785" s="4">
        <v>0</v>
      </c>
      <c r="O785" s="4">
        <v>0</v>
      </c>
      <c r="P785" s="4">
        <v>0</v>
      </c>
      <c r="Q785" s="4">
        <v>0</v>
      </c>
      <c r="R785" s="4">
        <v>89.75</v>
      </c>
      <c r="S785" s="8">
        <f t="shared" si="36"/>
        <v>6.77</v>
      </c>
      <c r="T785" s="8">
        <f t="shared" si="37"/>
        <v>82.98</v>
      </c>
      <c r="U785" s="9">
        <f t="shared" si="38"/>
        <v>12.25701624815362</v>
      </c>
    </row>
    <row r="786" spans="1:22" outlineLevel="1">
      <c r="A786" s="1" t="s">
        <v>716</v>
      </c>
      <c r="E786" s="4">
        <f>SUBTOTAL(9,E754:E785)</f>
        <v>83178.289999999994</v>
      </c>
      <c r="F786" s="4">
        <f>SUBTOTAL(9,F754:F785)</f>
        <v>-27854.479999999996</v>
      </c>
      <c r="G786" s="4">
        <f>SUBTOTAL(9,G754:G785)</f>
        <v>8860.659999999998</v>
      </c>
      <c r="H786" s="4">
        <f>SUBTOTAL(9,H754:H785)</f>
        <v>18798.809999999994</v>
      </c>
      <c r="I786" s="4">
        <f>SUBTOTAL(9,I754:I785)</f>
        <v>22473.14</v>
      </c>
      <c r="J786" s="4">
        <f>SUBTOTAL(9,J754:J785)</f>
        <v>15287.269999999999</v>
      </c>
      <c r="K786" s="4">
        <f>SUBTOTAL(9,K754:K785)</f>
        <v>19257.910000000003</v>
      </c>
      <c r="L786" s="4">
        <f>SUBTOTAL(9,L754:L785)</f>
        <v>19229.180000000011</v>
      </c>
      <c r="M786" s="4">
        <f>SUBTOTAL(9,M754:M785)</f>
        <v>22429.040000000005</v>
      </c>
      <c r="N786" s="4">
        <f>SUBTOTAL(9,N754:N785)</f>
        <v>19837.810000000005</v>
      </c>
      <c r="O786" s="4">
        <f>SUBTOTAL(9,O754:O785)</f>
        <v>18837.809999999998</v>
      </c>
      <c r="P786" s="4">
        <f>SUBTOTAL(9,P754:P785)</f>
        <v>14463.499999999993</v>
      </c>
      <c r="Q786" s="4">
        <f>SUBTOTAL(9,Q754:Q785)</f>
        <v>341650.73000000004</v>
      </c>
      <c r="R786" s="4">
        <f>SUBTOTAL(9,R754:R785)</f>
        <v>287228.03000000003</v>
      </c>
      <c r="S786" s="8">
        <f t="shared" si="36"/>
        <v>72741.345000000016</v>
      </c>
      <c r="T786" s="8">
        <f t="shared" si="37"/>
        <v>214486.685</v>
      </c>
      <c r="U786" s="9">
        <f t="shared" si="38"/>
        <v>2.9486213789420574</v>
      </c>
      <c r="V786" t="s">
        <v>896</v>
      </c>
    </row>
    <row r="787" spans="1:22" outlineLevel="2">
      <c r="A787" t="s">
        <v>306</v>
      </c>
      <c r="B787" t="s">
        <v>307</v>
      </c>
      <c r="C787" t="s">
        <v>21</v>
      </c>
      <c r="D787" t="s">
        <v>22</v>
      </c>
      <c r="E787" s="4">
        <v>25.25</v>
      </c>
      <c r="F787" s="4">
        <v>0</v>
      </c>
      <c r="G787" s="4">
        <v>0</v>
      </c>
      <c r="H787" s="4">
        <v>0</v>
      </c>
      <c r="I787" s="4">
        <v>17.07</v>
      </c>
      <c r="J787" s="4">
        <v>41.769999999999996</v>
      </c>
      <c r="K787" s="4">
        <v>19.57</v>
      </c>
      <c r="L787" s="4">
        <v>0</v>
      </c>
      <c r="M787" s="4">
        <v>4</v>
      </c>
      <c r="N787" s="4">
        <v>0</v>
      </c>
      <c r="O787" s="4">
        <v>0</v>
      </c>
      <c r="P787" s="4">
        <v>72.080000000000013</v>
      </c>
      <c r="Q787" s="4">
        <v>26.43</v>
      </c>
      <c r="S787" s="8">
        <f t="shared" si="36"/>
        <v>17.085000000000004</v>
      </c>
      <c r="T787" s="8">
        <f t="shared" si="37"/>
        <v>-17.085000000000004</v>
      </c>
      <c r="U787" s="9">
        <f t="shared" si="38"/>
        <v>-1</v>
      </c>
    </row>
    <row r="788" spans="1:22" outlineLevel="2">
      <c r="A788" t="s">
        <v>306</v>
      </c>
      <c r="B788" t="s">
        <v>307</v>
      </c>
      <c r="C788" t="s">
        <v>23</v>
      </c>
      <c r="D788" t="s">
        <v>24</v>
      </c>
      <c r="E788" s="4">
        <v>1585.21</v>
      </c>
      <c r="F788" s="4">
        <v>0</v>
      </c>
      <c r="G788" s="4">
        <v>17.010000000000002</v>
      </c>
      <c r="H788" s="4">
        <v>0</v>
      </c>
      <c r="I788" s="4">
        <v>28.55</v>
      </c>
      <c r="J788" s="4">
        <v>350.9</v>
      </c>
      <c r="K788" s="4">
        <v>23.17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S788" s="8">
        <f t="shared" si="36"/>
        <v>0</v>
      </c>
      <c r="T788" s="8">
        <f t="shared" si="37"/>
        <v>0</v>
      </c>
      <c r="U788" s="9" t="e">
        <f t="shared" si="38"/>
        <v>#DIV/0!</v>
      </c>
    </row>
    <row r="789" spans="1:22" outlineLevel="2">
      <c r="A789" t="s">
        <v>306</v>
      </c>
      <c r="B789" t="s">
        <v>307</v>
      </c>
      <c r="C789" t="s">
        <v>25</v>
      </c>
      <c r="D789" t="s">
        <v>26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198.96</v>
      </c>
      <c r="Q789" s="4">
        <v>0</v>
      </c>
      <c r="S789" s="8">
        <f t="shared" si="36"/>
        <v>33.160000000000004</v>
      </c>
      <c r="T789" s="8">
        <f t="shared" si="37"/>
        <v>-33.160000000000004</v>
      </c>
      <c r="U789" s="9">
        <f t="shared" si="38"/>
        <v>-1</v>
      </c>
    </row>
    <row r="790" spans="1:22" outlineLevel="2">
      <c r="A790" t="s">
        <v>306</v>
      </c>
      <c r="B790" t="s">
        <v>307</v>
      </c>
      <c r="C790" t="s">
        <v>27</v>
      </c>
      <c r="D790" t="s">
        <v>28</v>
      </c>
      <c r="E790" s="4">
        <v>101.13</v>
      </c>
      <c r="F790" s="4">
        <v>0</v>
      </c>
      <c r="G790" s="4">
        <v>88.46</v>
      </c>
      <c r="H790" s="4">
        <v>258.36</v>
      </c>
      <c r="I790" s="4">
        <v>44.23</v>
      </c>
      <c r="J790" s="4">
        <v>0</v>
      </c>
      <c r="K790" s="4">
        <v>197.65</v>
      </c>
      <c r="L790" s="4">
        <v>0</v>
      </c>
      <c r="M790" s="4">
        <v>159.63</v>
      </c>
      <c r="N790" s="4">
        <v>102.69999999999999</v>
      </c>
      <c r="O790" s="4">
        <v>43.9</v>
      </c>
      <c r="P790" s="4">
        <v>896.21999999999991</v>
      </c>
      <c r="Q790" s="4">
        <v>54.909999999999968</v>
      </c>
      <c r="R790" s="4">
        <v>0</v>
      </c>
      <c r="S790" s="8">
        <f t="shared" si="36"/>
        <v>209.55999999999995</v>
      </c>
      <c r="T790" s="8">
        <f t="shared" si="37"/>
        <v>-209.55999999999995</v>
      </c>
      <c r="U790" s="9">
        <f t="shared" si="38"/>
        <v>-1</v>
      </c>
    </row>
    <row r="791" spans="1:22" outlineLevel="2">
      <c r="A791" t="s">
        <v>306</v>
      </c>
      <c r="B791" t="s">
        <v>307</v>
      </c>
      <c r="C791" t="s">
        <v>136</v>
      </c>
      <c r="D791" t="s">
        <v>137</v>
      </c>
      <c r="E791" s="4">
        <v>16793.759999999998</v>
      </c>
      <c r="F791" s="4">
        <v>18806.27</v>
      </c>
      <c r="G791" s="4">
        <v>22728.980000000003</v>
      </c>
      <c r="H791" s="4">
        <v>21995.79</v>
      </c>
      <c r="I791" s="4">
        <v>22728.97</v>
      </c>
      <c r="J791" s="4">
        <v>21995.800000000003</v>
      </c>
      <c r="K791" s="4">
        <v>23254.18</v>
      </c>
      <c r="L791" s="4">
        <v>23237.79</v>
      </c>
      <c r="M791" s="4">
        <v>22488.16</v>
      </c>
      <c r="N791" s="4">
        <v>23831.49</v>
      </c>
      <c r="O791" s="4">
        <v>22631.769999999997</v>
      </c>
      <c r="P791" s="4">
        <v>23386.15</v>
      </c>
      <c r="Q791" s="4">
        <v>23386.17</v>
      </c>
      <c r="R791" s="4">
        <v>21122.98</v>
      </c>
      <c r="S791" s="8">
        <f t="shared" si="36"/>
        <v>23160.254999999994</v>
      </c>
      <c r="T791" s="8">
        <f t="shared" si="37"/>
        <v>-2037.2749999999942</v>
      </c>
      <c r="U791" s="9">
        <f t="shared" si="38"/>
        <v>-8.7964273277647193E-2</v>
      </c>
    </row>
    <row r="792" spans="1:22" outlineLevel="2">
      <c r="A792" t="s">
        <v>306</v>
      </c>
      <c r="B792" t="s">
        <v>307</v>
      </c>
      <c r="C792" t="s">
        <v>144</v>
      </c>
      <c r="D792" t="s">
        <v>145</v>
      </c>
      <c r="E792" s="4">
        <v>640.56999999999994</v>
      </c>
      <c r="F792" s="4">
        <v>-791.11</v>
      </c>
      <c r="G792" s="4">
        <v>-1089.22</v>
      </c>
      <c r="H792" s="4">
        <v>-1089.22</v>
      </c>
      <c r="I792" s="4">
        <v>-1089.22</v>
      </c>
      <c r="J792" s="4">
        <v>-1089.22</v>
      </c>
      <c r="K792" s="4">
        <v>-1090.48</v>
      </c>
      <c r="L792" s="4">
        <v>-1637.6100000000001</v>
      </c>
      <c r="M792" s="4">
        <v>-1091.74</v>
      </c>
      <c r="N792" s="4">
        <v>-1091.74</v>
      </c>
      <c r="O792" s="4">
        <v>-1091.74</v>
      </c>
      <c r="P792" s="4">
        <v>-873.96</v>
      </c>
      <c r="Q792" s="4">
        <v>2749.3700000000003</v>
      </c>
      <c r="R792" s="4">
        <v>1908.2800000000002</v>
      </c>
      <c r="S792" s="8">
        <f t="shared" si="36"/>
        <v>-506.23666666666662</v>
      </c>
      <c r="T792" s="8">
        <f t="shared" si="37"/>
        <v>2414.5166666666669</v>
      </c>
      <c r="U792" s="9">
        <f t="shared" si="38"/>
        <v>-4.7695412554075505</v>
      </c>
    </row>
    <row r="793" spans="1:22" outlineLevel="2">
      <c r="A793" t="s">
        <v>306</v>
      </c>
      <c r="B793" t="s">
        <v>307</v>
      </c>
      <c r="C793" t="s">
        <v>146</v>
      </c>
      <c r="D793" t="s">
        <v>147</v>
      </c>
      <c r="E793" s="4">
        <v>1679.3799999999999</v>
      </c>
      <c r="F793" s="4">
        <v>1759.87</v>
      </c>
      <c r="G793" s="4">
        <v>3997.2799999999997</v>
      </c>
      <c r="H793" s="4">
        <v>2008.91</v>
      </c>
      <c r="I793" s="4">
        <v>2075.87</v>
      </c>
      <c r="J793" s="4">
        <v>2008.9</v>
      </c>
      <c r="K793" s="4">
        <v>2128.4</v>
      </c>
      <c r="L793" s="4">
        <v>2126.7600000000002</v>
      </c>
      <c r="M793" s="4">
        <v>2103.6400000000003</v>
      </c>
      <c r="N793" s="4">
        <v>2166.4</v>
      </c>
      <c r="O793" s="4">
        <v>2067.73</v>
      </c>
      <c r="P793" s="4">
        <v>2136.65</v>
      </c>
      <c r="Q793" s="4">
        <v>2136.6600000000003</v>
      </c>
      <c r="R793" s="4">
        <v>1929.88</v>
      </c>
      <c r="S793" s="8">
        <f t="shared" si="36"/>
        <v>2122.9733333333334</v>
      </c>
      <c r="T793" s="8">
        <f t="shared" si="37"/>
        <v>-193.09333333333325</v>
      </c>
      <c r="U793" s="9">
        <f t="shared" si="38"/>
        <v>-9.0954196315858854E-2</v>
      </c>
    </row>
    <row r="794" spans="1:22" outlineLevel="2">
      <c r="A794" t="s">
        <v>306</v>
      </c>
      <c r="B794" t="s">
        <v>307</v>
      </c>
      <c r="C794" t="s">
        <v>150</v>
      </c>
      <c r="D794" t="s">
        <v>151</v>
      </c>
      <c r="E794" s="4">
        <v>0</v>
      </c>
      <c r="F794" s="4">
        <v>0</v>
      </c>
      <c r="G794" s="4">
        <v>-1.8189894035458565E-12</v>
      </c>
      <c r="H794" s="4">
        <v>8896.07</v>
      </c>
      <c r="I794" s="4">
        <v>3892.0299999999997</v>
      </c>
      <c r="J794" s="4">
        <v>2579.86</v>
      </c>
      <c r="K794" s="4">
        <v>3092.37</v>
      </c>
      <c r="L794" s="4">
        <v>3092.37</v>
      </c>
      <c r="M794" s="4">
        <v>3092.37</v>
      </c>
      <c r="N794" s="4">
        <v>2940.95</v>
      </c>
      <c r="O794" s="4">
        <v>2940.95</v>
      </c>
      <c r="P794" s="4">
        <v>2940.95</v>
      </c>
      <c r="Q794" s="4">
        <v>1881.46</v>
      </c>
      <c r="R794" s="4">
        <v>3134.29</v>
      </c>
      <c r="S794" s="8">
        <f t="shared" si="36"/>
        <v>2814.8416666666667</v>
      </c>
      <c r="T794" s="8">
        <f t="shared" si="37"/>
        <v>319.44833333333327</v>
      </c>
      <c r="U794" s="9">
        <f t="shared" si="38"/>
        <v>0.1134871410766147</v>
      </c>
    </row>
    <row r="795" spans="1:22" outlineLevel="2">
      <c r="A795" t="s">
        <v>306</v>
      </c>
      <c r="B795" t="s">
        <v>307</v>
      </c>
      <c r="C795" t="s">
        <v>152</v>
      </c>
      <c r="D795" t="s">
        <v>153</v>
      </c>
      <c r="E795" s="4">
        <v>1242.58</v>
      </c>
      <c r="F795" s="4">
        <v>1370.6599999999999</v>
      </c>
      <c r="G795" s="4">
        <v>3175.32</v>
      </c>
      <c r="H795" s="4">
        <v>1594.6</v>
      </c>
      <c r="I795" s="4">
        <v>1647.8</v>
      </c>
      <c r="J795" s="4">
        <v>2426.59</v>
      </c>
      <c r="K795" s="4">
        <v>1688.0099999999998</v>
      </c>
      <c r="L795" s="4">
        <v>1686.81</v>
      </c>
      <c r="M795" s="4">
        <v>1632.3600000000001</v>
      </c>
      <c r="N795" s="4">
        <v>1732.3200000000002</v>
      </c>
      <c r="O795" s="4">
        <v>1643.4299999999998</v>
      </c>
      <c r="P795" s="4">
        <v>1694.4700000000003</v>
      </c>
      <c r="Q795" s="4">
        <v>1628.1399999999999</v>
      </c>
      <c r="R795" s="4">
        <v>1644.69</v>
      </c>
      <c r="S795" s="8">
        <f t="shared" si="36"/>
        <v>1669.5883333333331</v>
      </c>
      <c r="T795" s="8">
        <f t="shared" si="37"/>
        <v>-24.898333333333085</v>
      </c>
      <c r="U795" s="9">
        <f t="shared" si="38"/>
        <v>-1.4912857760345967E-2</v>
      </c>
    </row>
    <row r="796" spans="1:22" outlineLevel="2">
      <c r="A796" t="s">
        <v>306</v>
      </c>
      <c r="B796" t="s">
        <v>307</v>
      </c>
      <c r="C796" t="s">
        <v>154</v>
      </c>
      <c r="D796" t="s">
        <v>155</v>
      </c>
      <c r="E796" s="4">
        <v>182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273</v>
      </c>
      <c r="S796" s="8">
        <f t="shared" si="36"/>
        <v>45.5</v>
      </c>
      <c r="T796" s="8">
        <f t="shared" si="37"/>
        <v>-45.5</v>
      </c>
      <c r="U796" s="9">
        <f t="shared" si="38"/>
        <v>-1</v>
      </c>
    </row>
    <row r="797" spans="1:22" outlineLevel="2">
      <c r="A797" t="s">
        <v>306</v>
      </c>
      <c r="B797" t="s">
        <v>307</v>
      </c>
      <c r="C797" t="s">
        <v>158</v>
      </c>
      <c r="D797" t="s">
        <v>159</v>
      </c>
      <c r="E797" s="4">
        <v>0</v>
      </c>
      <c r="F797" s="4">
        <v>0</v>
      </c>
      <c r="G797" s="4">
        <v>3424.7400000000002</v>
      </c>
      <c r="H797" s="4">
        <v>112.46000000000001</v>
      </c>
      <c r="I797" s="4">
        <v>0</v>
      </c>
      <c r="J797" s="4">
        <v>3790.64</v>
      </c>
      <c r="K797" s="4">
        <v>0</v>
      </c>
      <c r="L797" s="4">
        <v>0</v>
      </c>
      <c r="M797" s="4">
        <v>4187.6400000000003</v>
      </c>
      <c r="N797" s="4">
        <v>0</v>
      </c>
      <c r="O797" s="4">
        <v>0</v>
      </c>
      <c r="P797" s="4">
        <v>0</v>
      </c>
      <c r="Q797" s="4">
        <v>1466.67</v>
      </c>
      <c r="R797" s="4">
        <v>1466.67</v>
      </c>
      <c r="S797" s="8">
        <f t="shared" si="36"/>
        <v>942.3850000000001</v>
      </c>
      <c r="T797" s="8">
        <f t="shared" si="37"/>
        <v>524.28499999999997</v>
      </c>
      <c r="U797" s="9">
        <f t="shared" si="38"/>
        <v>0.55633843917294934</v>
      </c>
    </row>
    <row r="798" spans="1:22" outlineLevel="2">
      <c r="A798" t="s">
        <v>306</v>
      </c>
      <c r="B798" t="s">
        <v>307</v>
      </c>
      <c r="C798" t="s">
        <v>160</v>
      </c>
      <c r="D798" t="s">
        <v>161</v>
      </c>
      <c r="E798" s="4">
        <v>0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340.56</v>
      </c>
      <c r="N798" s="4">
        <v>0</v>
      </c>
      <c r="O798" s="4">
        <v>0</v>
      </c>
      <c r="P798" s="4">
        <v>106.81</v>
      </c>
      <c r="Q798" s="4">
        <v>0</v>
      </c>
      <c r="S798" s="8">
        <f t="shared" si="36"/>
        <v>74.561666666666667</v>
      </c>
      <c r="T798" s="8">
        <f t="shared" si="37"/>
        <v>-74.561666666666667</v>
      </c>
      <c r="U798" s="9">
        <f t="shared" si="38"/>
        <v>-1</v>
      </c>
    </row>
    <row r="799" spans="1:22" outlineLevel="2">
      <c r="A799" t="s">
        <v>306</v>
      </c>
      <c r="B799" t="s">
        <v>307</v>
      </c>
      <c r="C799" t="s">
        <v>164</v>
      </c>
      <c r="D799" t="s">
        <v>165</v>
      </c>
      <c r="E799" s="4">
        <v>0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210</v>
      </c>
      <c r="R799" s="4">
        <v>210</v>
      </c>
      <c r="S799" s="8">
        <f t="shared" si="36"/>
        <v>35</v>
      </c>
      <c r="T799" s="8">
        <f t="shared" si="37"/>
        <v>175</v>
      </c>
      <c r="U799" s="9">
        <f t="shared" si="38"/>
        <v>5</v>
      </c>
    </row>
    <row r="800" spans="1:22" outlineLevel="2">
      <c r="A800" t="s">
        <v>306</v>
      </c>
      <c r="B800" t="s">
        <v>307</v>
      </c>
      <c r="C800" t="s">
        <v>53</v>
      </c>
      <c r="D800" t="s">
        <v>54</v>
      </c>
      <c r="E800" s="4">
        <v>0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14.620000000000001</v>
      </c>
      <c r="S800" s="8">
        <f t="shared" si="36"/>
        <v>2.436666666666667</v>
      </c>
      <c r="T800" s="8">
        <f t="shared" si="37"/>
        <v>-2.436666666666667</v>
      </c>
      <c r="U800" s="9">
        <f t="shared" si="38"/>
        <v>-1</v>
      </c>
    </row>
    <row r="801" spans="1:22" outlineLevel="2">
      <c r="A801" t="s">
        <v>306</v>
      </c>
      <c r="B801" t="s">
        <v>307</v>
      </c>
      <c r="C801" t="s">
        <v>63</v>
      </c>
      <c r="D801" t="s">
        <v>64</v>
      </c>
      <c r="E801" s="4">
        <v>0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35.86</v>
      </c>
      <c r="P801" s="4">
        <v>0</v>
      </c>
      <c r="Q801" s="4">
        <v>60.29</v>
      </c>
      <c r="S801" s="8">
        <f t="shared" si="36"/>
        <v>16.025000000000002</v>
      </c>
      <c r="T801" s="8">
        <f t="shared" si="37"/>
        <v>-16.025000000000002</v>
      </c>
      <c r="U801" s="9">
        <f t="shared" si="38"/>
        <v>-1</v>
      </c>
    </row>
    <row r="802" spans="1:22" outlineLevel="2">
      <c r="A802" t="s">
        <v>306</v>
      </c>
      <c r="B802" t="s">
        <v>307</v>
      </c>
      <c r="C802" t="s">
        <v>65</v>
      </c>
      <c r="D802" t="s">
        <v>66</v>
      </c>
      <c r="E802" s="4">
        <v>0</v>
      </c>
      <c r="F802" s="4">
        <v>9566.2200000000012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-67</v>
      </c>
      <c r="M802" s="4">
        <v>0</v>
      </c>
      <c r="N802" s="4">
        <v>-491.2</v>
      </c>
      <c r="O802" s="4">
        <v>-340.55</v>
      </c>
      <c r="P802" s="4">
        <v>0</v>
      </c>
      <c r="Q802" s="4">
        <v>0</v>
      </c>
      <c r="S802" s="8">
        <f t="shared" si="36"/>
        <v>-149.79166666666666</v>
      </c>
      <c r="T802" s="8">
        <f t="shared" si="37"/>
        <v>149.79166666666666</v>
      </c>
      <c r="U802" s="9">
        <f t="shared" si="38"/>
        <v>-1</v>
      </c>
    </row>
    <row r="803" spans="1:22" outlineLevel="2">
      <c r="A803" t="s">
        <v>306</v>
      </c>
      <c r="B803" t="s">
        <v>307</v>
      </c>
      <c r="C803" t="s">
        <v>83</v>
      </c>
      <c r="D803" t="s">
        <v>84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3.42</v>
      </c>
      <c r="R803" s="4">
        <v>68.78</v>
      </c>
      <c r="S803" s="8">
        <f t="shared" si="36"/>
        <v>0.56999999999999995</v>
      </c>
      <c r="T803" s="8">
        <f t="shared" si="37"/>
        <v>68.210000000000008</v>
      </c>
      <c r="U803" s="9">
        <f t="shared" si="38"/>
        <v>119.66666666666669</v>
      </c>
    </row>
    <row r="804" spans="1:22" outlineLevel="2">
      <c r="A804" t="s">
        <v>306</v>
      </c>
      <c r="B804" t="s">
        <v>307</v>
      </c>
      <c r="C804" t="s">
        <v>87</v>
      </c>
      <c r="D804" t="s">
        <v>88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484.42999999999995</v>
      </c>
      <c r="S804" s="8">
        <f t="shared" si="36"/>
        <v>0</v>
      </c>
      <c r="T804" s="8">
        <f t="shared" si="37"/>
        <v>484.42999999999995</v>
      </c>
      <c r="U804" s="9" t="e">
        <f t="shared" si="38"/>
        <v>#DIV/0!</v>
      </c>
      <c r="V804" t="s">
        <v>895</v>
      </c>
    </row>
    <row r="805" spans="1:22" outlineLevel="2">
      <c r="A805" t="s">
        <v>306</v>
      </c>
      <c r="B805" t="s">
        <v>307</v>
      </c>
      <c r="C805" t="s">
        <v>93</v>
      </c>
      <c r="D805" t="s">
        <v>94</v>
      </c>
      <c r="E805" s="4">
        <v>0</v>
      </c>
      <c r="F805" s="4">
        <v>0</v>
      </c>
      <c r="G805" s="4">
        <v>0</v>
      </c>
      <c r="H805" s="4">
        <v>-37.950000000000003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21.830000000000002</v>
      </c>
      <c r="R805" s="4">
        <v>4309.43</v>
      </c>
      <c r="S805" s="8">
        <f t="shared" si="36"/>
        <v>3.6383333333333336</v>
      </c>
      <c r="T805" s="8">
        <f t="shared" si="37"/>
        <v>4305.791666666667</v>
      </c>
      <c r="U805" s="9">
        <f t="shared" si="38"/>
        <v>1183.4516720109941</v>
      </c>
    </row>
    <row r="806" spans="1:22" outlineLevel="2">
      <c r="A806" t="s">
        <v>306</v>
      </c>
      <c r="B806" t="s">
        <v>307</v>
      </c>
      <c r="C806" t="s">
        <v>168</v>
      </c>
      <c r="D806" t="s">
        <v>169</v>
      </c>
      <c r="E806" s="4">
        <v>0</v>
      </c>
      <c r="F806" s="4">
        <v>0</v>
      </c>
      <c r="G806" s="4">
        <v>0</v>
      </c>
      <c r="H806" s="4">
        <v>0</v>
      </c>
      <c r="I806" s="4">
        <v>0</v>
      </c>
      <c r="J806" s="4">
        <v>0</v>
      </c>
      <c r="K806" s="4">
        <v>12322.05</v>
      </c>
      <c r="L806" s="4">
        <v>10533.71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S806" s="8">
        <f t="shared" si="36"/>
        <v>1755.6183333333331</v>
      </c>
      <c r="T806" s="8">
        <f t="shared" si="37"/>
        <v>-1755.6183333333331</v>
      </c>
      <c r="U806" s="9">
        <f t="shared" si="38"/>
        <v>-1</v>
      </c>
    </row>
    <row r="807" spans="1:22" outlineLevel="2">
      <c r="A807" t="s">
        <v>306</v>
      </c>
      <c r="B807" t="s">
        <v>307</v>
      </c>
      <c r="C807" t="s">
        <v>101</v>
      </c>
      <c r="D807" t="s">
        <v>102</v>
      </c>
      <c r="E807" s="4">
        <v>12749.41</v>
      </c>
      <c r="F807" s="4">
        <v>2.93</v>
      </c>
      <c r="G807" s="4">
        <v>0</v>
      </c>
      <c r="H807" s="4">
        <v>3844.7999999999997</v>
      </c>
      <c r="I807" s="4">
        <v>6522.93</v>
      </c>
      <c r="J807" s="4">
        <v>285287.64999999997</v>
      </c>
      <c r="K807" s="4">
        <v>160860.96999999997</v>
      </c>
      <c r="L807" s="4">
        <v>-32752.070000000065</v>
      </c>
      <c r="M807" s="4">
        <v>75577.349999999948</v>
      </c>
      <c r="N807" s="4">
        <v>-413823.16000000003</v>
      </c>
      <c r="O807" s="4">
        <v>32809</v>
      </c>
      <c r="P807" s="4">
        <v>310114</v>
      </c>
      <c r="Q807" s="4">
        <v>-105197.22999999998</v>
      </c>
      <c r="R807" s="4">
        <v>445810.97000000003</v>
      </c>
      <c r="S807" s="8">
        <f t="shared" si="36"/>
        <v>-22212.018333333352</v>
      </c>
      <c r="T807" s="8">
        <f t="shared" si="37"/>
        <v>468022.9883333334</v>
      </c>
      <c r="U807" s="9">
        <f t="shared" si="38"/>
        <v>-21.070709618088873</v>
      </c>
      <c r="V807" t="s">
        <v>896</v>
      </c>
    </row>
    <row r="808" spans="1:22" outlineLevel="2">
      <c r="A808" t="s">
        <v>306</v>
      </c>
      <c r="B808" t="s">
        <v>307</v>
      </c>
      <c r="C808" t="s">
        <v>170</v>
      </c>
      <c r="D808" t="s">
        <v>171</v>
      </c>
      <c r="E808" s="4">
        <v>270</v>
      </c>
      <c r="F808" s="4">
        <v>225</v>
      </c>
      <c r="G808" s="4">
        <v>270</v>
      </c>
      <c r="H808" s="4">
        <v>270</v>
      </c>
      <c r="I808" s="4">
        <v>270</v>
      </c>
      <c r="J808" s="4">
        <v>270</v>
      </c>
      <c r="K808" s="4">
        <v>270</v>
      </c>
      <c r="L808" s="4">
        <v>405</v>
      </c>
      <c r="M808" s="4">
        <v>270</v>
      </c>
      <c r="N808" s="4">
        <v>270</v>
      </c>
      <c r="O808" s="4">
        <v>270</v>
      </c>
      <c r="P808" s="4">
        <v>270</v>
      </c>
      <c r="Q808" s="4">
        <v>135</v>
      </c>
      <c r="S808" s="8">
        <f t="shared" si="36"/>
        <v>270</v>
      </c>
      <c r="T808" s="8">
        <f t="shared" si="37"/>
        <v>-270</v>
      </c>
      <c r="U808" s="9">
        <f t="shared" si="38"/>
        <v>-1</v>
      </c>
    </row>
    <row r="809" spans="1:22" outlineLevel="1">
      <c r="A809" s="1" t="s">
        <v>717</v>
      </c>
      <c r="E809" s="4">
        <f>SUBTOTAL(9,E787:E808)</f>
        <v>35269.289999999994</v>
      </c>
      <c r="F809" s="4">
        <f>SUBTOTAL(9,F787:F808)</f>
        <v>30939.84</v>
      </c>
      <c r="G809" s="4">
        <f>SUBTOTAL(9,G787:G808)</f>
        <v>32612.570000000003</v>
      </c>
      <c r="H809" s="4">
        <f>SUBTOTAL(9,H787:H808)</f>
        <v>37853.820000000007</v>
      </c>
      <c r="I809" s="4">
        <f>SUBTOTAL(9,I787:I808)</f>
        <v>36138.229999999996</v>
      </c>
      <c r="J809" s="4">
        <f>SUBTOTAL(9,J787:J808)</f>
        <v>317662.88999999996</v>
      </c>
      <c r="K809" s="4">
        <f>SUBTOTAL(9,K787:K808)</f>
        <v>202765.88999999996</v>
      </c>
      <c r="L809" s="4">
        <f>SUBTOTAL(9,L787:L808)</f>
        <v>6625.7599999999366</v>
      </c>
      <c r="M809" s="4">
        <f>SUBTOTAL(9,M787:M808)</f>
        <v>108763.96999999994</v>
      </c>
      <c r="N809" s="4">
        <f>SUBTOTAL(9,N787:N808)</f>
        <v>-384362.24000000005</v>
      </c>
      <c r="O809" s="4">
        <f>SUBTOTAL(9,O787:O808)</f>
        <v>61010.35</v>
      </c>
      <c r="P809" s="4">
        <f>SUBTOTAL(9,P787:P808)</f>
        <v>340942.33</v>
      </c>
      <c r="Q809" s="4">
        <f>SUBTOTAL(9,Q787:Q808)</f>
        <v>-71149.25999999998</v>
      </c>
      <c r="R809" s="4">
        <f>SUBTOTAL(9,R787:R808)</f>
        <v>482090.4</v>
      </c>
      <c r="S809" s="8">
        <f t="shared" si="36"/>
        <v>10305.151666666643</v>
      </c>
      <c r="T809" s="8">
        <f t="shared" si="37"/>
        <v>471785.24833333341</v>
      </c>
      <c r="U809" s="9">
        <f t="shared" si="38"/>
        <v>45.781494886619122</v>
      </c>
      <c r="V809" t="s">
        <v>895</v>
      </c>
    </row>
    <row r="810" spans="1:22" outlineLevel="2">
      <c r="A810" t="s">
        <v>308</v>
      </c>
      <c r="B810" t="s">
        <v>309</v>
      </c>
      <c r="C810" t="s">
        <v>21</v>
      </c>
      <c r="D810" t="s">
        <v>22</v>
      </c>
      <c r="E810" s="4">
        <v>3.5527136788005009E-14</v>
      </c>
      <c r="F810" s="4">
        <v>0</v>
      </c>
      <c r="G810" s="4">
        <v>2.2737367544323206E-13</v>
      </c>
      <c r="H810" s="4">
        <v>2.1316282072803006E-14</v>
      </c>
      <c r="I810" s="4">
        <v>-5.6843418860808015E-14</v>
      </c>
      <c r="J810" s="4">
        <v>-4.2632564145606011E-14</v>
      </c>
      <c r="K810" s="4">
        <v>7.1054273576010019E-14</v>
      </c>
      <c r="L810" s="4">
        <v>-2.8421709430404007E-14</v>
      </c>
      <c r="M810" s="4">
        <v>-2.8421709430404007E-14</v>
      </c>
      <c r="N810" s="4">
        <v>0</v>
      </c>
      <c r="O810" s="4">
        <v>2.2737367544323206E-13</v>
      </c>
      <c r="P810" s="4">
        <v>8.5265128291212022E-14</v>
      </c>
      <c r="Q810" s="4">
        <v>0</v>
      </c>
      <c r="R810" s="4">
        <v>69.27</v>
      </c>
      <c r="S810" s="8">
        <f t="shared" si="36"/>
        <v>4.2632564145606011E-14</v>
      </c>
      <c r="T810" s="8">
        <f t="shared" si="37"/>
        <v>69.269999999999953</v>
      </c>
      <c r="U810" s="9">
        <f t="shared" si="38"/>
        <v>1624814303062260.8</v>
      </c>
      <c r="V810" t="s">
        <v>895</v>
      </c>
    </row>
    <row r="811" spans="1:22" outlineLevel="2">
      <c r="A811" t="s">
        <v>308</v>
      </c>
      <c r="B811" t="s">
        <v>309</v>
      </c>
      <c r="C811" t="s">
        <v>23</v>
      </c>
      <c r="D811" t="s">
        <v>24</v>
      </c>
      <c r="E811" s="4">
        <v>1.1368683772161603E-13</v>
      </c>
      <c r="F811" s="4">
        <v>0</v>
      </c>
      <c r="G811" s="4">
        <v>5.1159076974727213E-13</v>
      </c>
      <c r="H811" s="4">
        <v>0</v>
      </c>
      <c r="I811" s="4">
        <v>7.1054273576010019E-15</v>
      </c>
      <c r="J811" s="4">
        <v>0</v>
      </c>
      <c r="K811" s="4">
        <v>4.6185277824406512E-14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S811" s="8">
        <f t="shared" si="36"/>
        <v>0</v>
      </c>
      <c r="T811" s="8">
        <f t="shared" si="37"/>
        <v>0</v>
      </c>
      <c r="U811" s="9" t="e">
        <f t="shared" si="38"/>
        <v>#DIV/0!</v>
      </c>
    </row>
    <row r="812" spans="1:22" outlineLevel="2">
      <c r="A812" t="s">
        <v>308</v>
      </c>
      <c r="B812" t="s">
        <v>309</v>
      </c>
      <c r="C812" t="s">
        <v>25</v>
      </c>
      <c r="D812" t="s">
        <v>26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-3.4106051316484809E-13</v>
      </c>
      <c r="N812" s="4">
        <v>0</v>
      </c>
      <c r="O812" s="4">
        <v>4.5474735088646412E-13</v>
      </c>
      <c r="P812" s="4">
        <v>-7.1054273576010019E-15</v>
      </c>
      <c r="Q812" s="4">
        <v>2.1316282072803006E-14</v>
      </c>
      <c r="S812" s="8">
        <f t="shared" si="36"/>
        <v>2.1316282072803006E-14</v>
      </c>
      <c r="T812" s="8">
        <f t="shared" si="37"/>
        <v>-2.1316282072803006E-14</v>
      </c>
      <c r="U812" s="9">
        <f t="shared" si="38"/>
        <v>-1</v>
      </c>
    </row>
    <row r="813" spans="1:22" outlineLevel="2">
      <c r="A813" t="s">
        <v>308</v>
      </c>
      <c r="B813" t="s">
        <v>309</v>
      </c>
      <c r="C813" t="s">
        <v>27</v>
      </c>
      <c r="D813" t="s">
        <v>28</v>
      </c>
      <c r="E813" s="4">
        <v>0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-2.2737367544323206E-13</v>
      </c>
      <c r="P813" s="4">
        <v>1.1368683772161603E-13</v>
      </c>
      <c r="Q813" s="4">
        <v>0</v>
      </c>
      <c r="R813" s="4">
        <v>158.34</v>
      </c>
      <c r="S813" s="8">
        <f t="shared" si="36"/>
        <v>-1.8947806286936004E-14</v>
      </c>
      <c r="T813" s="8">
        <f t="shared" si="37"/>
        <v>158.34000000000003</v>
      </c>
      <c r="U813" s="9">
        <f t="shared" si="38"/>
        <v>-8356640214818490</v>
      </c>
      <c r="V813" t="s">
        <v>895</v>
      </c>
    </row>
    <row r="814" spans="1:22" outlineLevel="2">
      <c r="A814" t="s">
        <v>308</v>
      </c>
      <c r="B814" t="s">
        <v>309</v>
      </c>
      <c r="C814" t="s">
        <v>194</v>
      </c>
      <c r="D814" t="s">
        <v>195</v>
      </c>
      <c r="E814" s="4">
        <v>0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-1.4210854715202004E-14</v>
      </c>
      <c r="O814" s="4">
        <v>0</v>
      </c>
      <c r="P814" s="4">
        <v>0</v>
      </c>
      <c r="Q814" s="4">
        <v>0</v>
      </c>
      <c r="S814" s="8">
        <f t="shared" si="36"/>
        <v>-2.3684757858670005E-15</v>
      </c>
      <c r="T814" s="8">
        <f t="shared" si="37"/>
        <v>2.3684757858670005E-15</v>
      </c>
      <c r="U814" s="9">
        <f t="shared" si="38"/>
        <v>-1</v>
      </c>
    </row>
    <row r="815" spans="1:22" outlineLevel="2">
      <c r="A815" t="s">
        <v>308</v>
      </c>
      <c r="B815" t="s">
        <v>309</v>
      </c>
      <c r="C815" t="s">
        <v>136</v>
      </c>
      <c r="D815" t="s">
        <v>137</v>
      </c>
      <c r="E815" s="4">
        <v>7.2759576141834259E-12</v>
      </c>
      <c r="F815" s="4">
        <v>-1.8189894035458565E-12</v>
      </c>
      <c r="G815" s="4">
        <v>3.637978807091713E-12</v>
      </c>
      <c r="H815" s="4">
        <v>-3.637978807091713E-12</v>
      </c>
      <c r="I815" s="4">
        <v>3.637978807091713E-12</v>
      </c>
      <c r="J815" s="4">
        <v>0</v>
      </c>
      <c r="K815" s="4">
        <v>7.2759576141834259E-12</v>
      </c>
      <c r="L815" s="4">
        <v>-1.0913936421275139E-11</v>
      </c>
      <c r="M815" s="4">
        <v>-3.637978807091713E-12</v>
      </c>
      <c r="N815" s="4">
        <v>-5.4569682106375694E-12</v>
      </c>
      <c r="O815" s="4">
        <v>-1.0913936421275139E-11</v>
      </c>
      <c r="P815" s="4">
        <v>7.2759576141834259E-12</v>
      </c>
      <c r="Q815" s="4">
        <v>-3.637978807091713E-12</v>
      </c>
      <c r="R815" s="4">
        <v>50826.78</v>
      </c>
      <c r="S815" s="8">
        <f t="shared" si="36"/>
        <v>-4.5474735088646412E-12</v>
      </c>
      <c r="T815" s="8">
        <f t="shared" si="37"/>
        <v>50826.780000000006</v>
      </c>
      <c r="U815" s="9">
        <f t="shared" si="38"/>
        <v>-1.117692712248253E+16</v>
      </c>
      <c r="V815" t="s">
        <v>895</v>
      </c>
    </row>
    <row r="816" spans="1:22" outlineLevel="2">
      <c r="A816" t="s">
        <v>308</v>
      </c>
      <c r="B816" t="s">
        <v>309</v>
      </c>
      <c r="C816" t="s">
        <v>138</v>
      </c>
      <c r="D816" t="s">
        <v>139</v>
      </c>
      <c r="E816" s="4">
        <v>-7.2759576141834259E-12</v>
      </c>
      <c r="F816" s="4">
        <v>3.637978807091713E-12</v>
      </c>
      <c r="G816" s="4">
        <v>-3.637978807091713E-12</v>
      </c>
      <c r="H816" s="4">
        <v>7.2759576141834259E-12</v>
      </c>
      <c r="I816" s="4">
        <v>-1.8189894035458565E-12</v>
      </c>
      <c r="J816" s="4">
        <v>0</v>
      </c>
      <c r="K816" s="4">
        <v>0</v>
      </c>
      <c r="L816" s="4">
        <v>5.4569682106375694E-12</v>
      </c>
      <c r="M816" s="4">
        <v>-1.8189894035458565E-12</v>
      </c>
      <c r="N816" s="4">
        <v>1.3642420526593924E-12</v>
      </c>
      <c r="O816" s="4">
        <v>-1.3642420526593924E-12</v>
      </c>
      <c r="P816" s="4">
        <v>3.637978807091713E-12</v>
      </c>
      <c r="Q816" s="4">
        <v>-9.0949470177292824E-13</v>
      </c>
      <c r="R816" s="4">
        <v>21421.67</v>
      </c>
      <c r="S816" s="8">
        <f t="shared" si="36"/>
        <v>1.0610771520684163E-12</v>
      </c>
      <c r="T816" s="8">
        <f t="shared" si="37"/>
        <v>21421.67</v>
      </c>
      <c r="U816" s="9">
        <f t="shared" si="38"/>
        <v>2.0188607358325972E+16</v>
      </c>
      <c r="V816" t="s">
        <v>895</v>
      </c>
    </row>
    <row r="817" spans="1:22" outlineLevel="2">
      <c r="A817" t="s">
        <v>308</v>
      </c>
      <c r="B817" t="s">
        <v>309</v>
      </c>
      <c r="C817" t="s">
        <v>29</v>
      </c>
      <c r="D817" t="s">
        <v>30</v>
      </c>
      <c r="E817" s="4">
        <v>-1.8189894035458565E-12</v>
      </c>
      <c r="F817" s="4">
        <v>0</v>
      </c>
      <c r="G817" s="4">
        <v>0</v>
      </c>
      <c r="H817" s="4">
        <v>0</v>
      </c>
      <c r="I817" s="4">
        <v>-9.0949470177292824E-13</v>
      </c>
      <c r="J817" s="4">
        <v>0</v>
      </c>
      <c r="K817" s="4">
        <v>1.8189894035458565E-12</v>
      </c>
      <c r="L817" s="4">
        <v>-9.0949470177292824E-13</v>
      </c>
      <c r="M817" s="4">
        <v>9.0949470177292824E-13</v>
      </c>
      <c r="N817" s="4">
        <v>0</v>
      </c>
      <c r="O817" s="4">
        <v>-3.637978807091713E-12</v>
      </c>
      <c r="P817" s="4">
        <v>1.8189894035458565E-12</v>
      </c>
      <c r="Q817" s="4">
        <v>9.0949470177292824E-13</v>
      </c>
      <c r="R817" s="4">
        <v>13927.92</v>
      </c>
      <c r="S817" s="8">
        <f t="shared" si="36"/>
        <v>-1.5158245029548803E-13</v>
      </c>
      <c r="T817" s="8">
        <f t="shared" si="37"/>
        <v>13927.92</v>
      </c>
      <c r="U817" s="9">
        <f t="shared" si="38"/>
        <v>-9.188345994440344E+16</v>
      </c>
      <c r="V817" t="s">
        <v>895</v>
      </c>
    </row>
    <row r="818" spans="1:22" outlineLevel="2">
      <c r="A818" t="s">
        <v>308</v>
      </c>
      <c r="B818" t="s">
        <v>309</v>
      </c>
      <c r="C818" t="s">
        <v>144</v>
      </c>
      <c r="D818" t="s">
        <v>145</v>
      </c>
      <c r="E818" s="4">
        <v>9.0949470177292824E-13</v>
      </c>
      <c r="F818" s="4">
        <v>4.5474735088646412E-13</v>
      </c>
      <c r="G818" s="4">
        <v>6.8212102632969618E-13</v>
      </c>
      <c r="H818" s="4">
        <v>4.5474735088646412E-13</v>
      </c>
      <c r="I818" s="4">
        <v>0</v>
      </c>
      <c r="J818" s="4">
        <v>4.5474735088646412E-13</v>
      </c>
      <c r="K818" s="4">
        <v>0</v>
      </c>
      <c r="L818" s="4">
        <v>9.0949470177292824E-13</v>
      </c>
      <c r="M818" s="4">
        <v>4.5474735088646412E-13</v>
      </c>
      <c r="N818" s="4">
        <v>0</v>
      </c>
      <c r="O818" s="4">
        <v>4.5474735088646412E-13</v>
      </c>
      <c r="P818" s="4">
        <v>4.5474735088646412E-13</v>
      </c>
      <c r="Q818" s="4">
        <v>2.2737367544323206E-13</v>
      </c>
      <c r="R818" s="4">
        <v>-5121.1400000000003</v>
      </c>
      <c r="S818" s="8">
        <f t="shared" si="36"/>
        <v>4.1685173831259209E-13</v>
      </c>
      <c r="T818" s="8">
        <f t="shared" si="37"/>
        <v>-5121.1400000000003</v>
      </c>
      <c r="U818" s="9">
        <f t="shared" si="38"/>
        <v>-1.2285279223568258E+16</v>
      </c>
      <c r="V818" t="s">
        <v>895</v>
      </c>
    </row>
    <row r="819" spans="1:22" outlineLevel="2">
      <c r="A819" t="s">
        <v>308</v>
      </c>
      <c r="B819" t="s">
        <v>309</v>
      </c>
      <c r="C819" t="s">
        <v>146</v>
      </c>
      <c r="D819" t="s">
        <v>147</v>
      </c>
      <c r="E819" s="4">
        <v>0</v>
      </c>
      <c r="F819" s="4">
        <v>-9.0949470177292824E-13</v>
      </c>
      <c r="G819" s="4">
        <v>-1.8189894035458565E-12</v>
      </c>
      <c r="H819" s="4">
        <v>9.0949470177292824E-13</v>
      </c>
      <c r="I819" s="4">
        <v>0</v>
      </c>
      <c r="J819" s="4">
        <v>-9.0949470177292824E-13</v>
      </c>
      <c r="K819" s="4">
        <v>-9.0949470177292824E-13</v>
      </c>
      <c r="L819" s="4">
        <v>-1.1368683772161603E-13</v>
      </c>
      <c r="M819" s="4">
        <v>4.5474735088646412E-13</v>
      </c>
      <c r="N819" s="4">
        <v>0</v>
      </c>
      <c r="O819" s="4">
        <v>0</v>
      </c>
      <c r="P819" s="4">
        <v>9.0949470177292824E-13</v>
      </c>
      <c r="Q819" s="4">
        <v>-3.4106051316484809E-13</v>
      </c>
      <c r="R819" s="4">
        <v>3884.0499999999997</v>
      </c>
      <c r="S819" s="8">
        <f t="shared" si="36"/>
        <v>1.5158245029548803E-13</v>
      </c>
      <c r="T819" s="8">
        <f t="shared" si="37"/>
        <v>3884.0499999999997</v>
      </c>
      <c r="U819" s="9">
        <f t="shared" si="38"/>
        <v>2.5623348827180236E+16</v>
      </c>
      <c r="V819" t="s">
        <v>895</v>
      </c>
    </row>
    <row r="820" spans="1:22" outlineLevel="2">
      <c r="A820" t="s">
        <v>308</v>
      </c>
      <c r="B820" t="s">
        <v>309</v>
      </c>
      <c r="C820" t="s">
        <v>150</v>
      </c>
      <c r="D820" t="s">
        <v>151</v>
      </c>
      <c r="E820" s="4">
        <v>0</v>
      </c>
      <c r="F820" s="4">
        <v>0</v>
      </c>
      <c r="G820" s="4">
        <v>0</v>
      </c>
      <c r="H820" s="4">
        <v>0</v>
      </c>
      <c r="I820" s="4">
        <v>21489.35</v>
      </c>
      <c r="J820" s="4">
        <v>14244.37</v>
      </c>
      <c r="K820" s="4">
        <v>16067.34</v>
      </c>
      <c r="L820" s="4">
        <v>16067.34</v>
      </c>
      <c r="M820" s="4">
        <v>16067.34</v>
      </c>
      <c r="N820" s="4">
        <v>14497.07</v>
      </c>
      <c r="O820" s="4">
        <v>14497.07</v>
      </c>
      <c r="P820" s="4">
        <v>14497.07</v>
      </c>
      <c r="Q820" s="4">
        <v>0</v>
      </c>
      <c r="R820" s="4">
        <v>19164.509999999998</v>
      </c>
      <c r="S820" s="8">
        <f t="shared" si="36"/>
        <v>12604.315000000001</v>
      </c>
      <c r="T820" s="8">
        <f t="shared" si="37"/>
        <v>6560.1949999999979</v>
      </c>
      <c r="U820" s="9">
        <f t="shared" si="38"/>
        <v>0.52047215576570383</v>
      </c>
    </row>
    <row r="821" spans="1:22" outlineLevel="2">
      <c r="A821" t="s">
        <v>308</v>
      </c>
      <c r="B821" t="s">
        <v>309</v>
      </c>
      <c r="C821" t="s">
        <v>152</v>
      </c>
      <c r="D821" t="s">
        <v>153</v>
      </c>
      <c r="E821" s="4">
        <v>-9.0949470177292824E-13</v>
      </c>
      <c r="F821" s="4">
        <v>-1.3642420526593924E-12</v>
      </c>
      <c r="G821" s="4">
        <v>-1.8189894035458565E-12</v>
      </c>
      <c r="H821" s="4">
        <v>9.0949470177292824E-13</v>
      </c>
      <c r="I821" s="4">
        <v>1.8189894035458565E-12</v>
      </c>
      <c r="J821" s="4">
        <v>-1.8189894035458565E-12</v>
      </c>
      <c r="K821" s="4">
        <v>0</v>
      </c>
      <c r="L821" s="4">
        <v>-1.1368683772161603E-13</v>
      </c>
      <c r="M821" s="4">
        <v>0</v>
      </c>
      <c r="N821" s="4">
        <v>9.0949470177292824E-13</v>
      </c>
      <c r="O821" s="4">
        <v>0</v>
      </c>
      <c r="P821" s="4">
        <v>3.637978807091713E-12</v>
      </c>
      <c r="Q821" s="4">
        <v>2.2737367544323206E-13</v>
      </c>
      <c r="R821" s="4">
        <v>6205.4000000000005</v>
      </c>
      <c r="S821" s="8">
        <f t="shared" si="36"/>
        <v>7.7686005776437617E-13</v>
      </c>
      <c r="T821" s="8">
        <f t="shared" si="37"/>
        <v>6205.4</v>
      </c>
      <c r="U821" s="9">
        <f t="shared" si="38"/>
        <v>7987796435123345</v>
      </c>
      <c r="V821" t="s">
        <v>895</v>
      </c>
    </row>
    <row r="822" spans="1:22" outlineLevel="2">
      <c r="A822" t="s">
        <v>308</v>
      </c>
      <c r="B822" t="s">
        <v>309</v>
      </c>
      <c r="C822" t="s">
        <v>154</v>
      </c>
      <c r="D822" t="s">
        <v>155</v>
      </c>
      <c r="E822" s="4">
        <v>0</v>
      </c>
      <c r="F822" s="4">
        <v>-2.1316282072803006E-14</v>
      </c>
      <c r="G822" s="4">
        <v>0</v>
      </c>
      <c r="H822" s="4">
        <v>-4.4408920985006262E-16</v>
      </c>
      <c r="I822" s="4">
        <v>-1.7763568394002505E-15</v>
      </c>
      <c r="J822" s="4">
        <v>0</v>
      </c>
      <c r="K822" s="4">
        <v>0</v>
      </c>
      <c r="L822" s="4">
        <v>-2.0816681711721685E-17</v>
      </c>
      <c r="M822" s="4">
        <v>0</v>
      </c>
      <c r="N822" s="4">
        <v>1.7763568394002505E-15</v>
      </c>
      <c r="O822" s="4">
        <v>0</v>
      </c>
      <c r="P822" s="4">
        <v>0</v>
      </c>
      <c r="Q822" s="4">
        <v>1.4210854715202004E-13</v>
      </c>
      <c r="R822" s="4">
        <v>114.47</v>
      </c>
      <c r="S822" s="8">
        <f t="shared" si="36"/>
        <v>2.3977347884951428E-14</v>
      </c>
      <c r="T822" s="8">
        <f t="shared" si="37"/>
        <v>114.46999999999997</v>
      </c>
      <c r="U822" s="9">
        <f t="shared" si="38"/>
        <v>4774089300837279</v>
      </c>
      <c r="V822" t="s">
        <v>895</v>
      </c>
    </row>
    <row r="823" spans="1:22" outlineLevel="2">
      <c r="A823" t="s">
        <v>308</v>
      </c>
      <c r="B823" t="s">
        <v>309</v>
      </c>
      <c r="C823" t="s">
        <v>33</v>
      </c>
      <c r="D823" t="s">
        <v>34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S823" s="8">
        <f t="shared" si="36"/>
        <v>0</v>
      </c>
      <c r="T823" s="8">
        <f t="shared" si="37"/>
        <v>0</v>
      </c>
      <c r="U823" s="9" t="e">
        <f t="shared" si="38"/>
        <v>#DIV/0!</v>
      </c>
    </row>
    <row r="824" spans="1:22" outlineLevel="2">
      <c r="A824" t="s">
        <v>308</v>
      </c>
      <c r="B824" t="s">
        <v>309</v>
      </c>
      <c r="C824" t="s">
        <v>212</v>
      </c>
      <c r="D824" t="s">
        <v>213</v>
      </c>
      <c r="E824" s="4">
        <v>0</v>
      </c>
      <c r="F824" s="4">
        <v>0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S824" s="8">
        <f t="shared" si="36"/>
        <v>0</v>
      </c>
      <c r="T824" s="8">
        <f t="shared" si="37"/>
        <v>0</v>
      </c>
      <c r="U824" s="9" t="e">
        <f t="shared" si="38"/>
        <v>#DIV/0!</v>
      </c>
    </row>
    <row r="825" spans="1:22" outlineLevel="2">
      <c r="A825" t="s">
        <v>308</v>
      </c>
      <c r="B825" t="s">
        <v>309</v>
      </c>
      <c r="C825" t="s">
        <v>180</v>
      </c>
      <c r="D825" t="s">
        <v>181</v>
      </c>
      <c r="E825" s="4">
        <v>-1.1368683772161603E-13</v>
      </c>
      <c r="F825" s="4">
        <v>1.1368683772161603E-13</v>
      </c>
      <c r="G825" s="4">
        <v>-1.7053025658242404E-13</v>
      </c>
      <c r="H825" s="4">
        <v>-1.5631940186722204E-13</v>
      </c>
      <c r="I825" s="4">
        <v>-2.2737367544323206E-13</v>
      </c>
      <c r="J825" s="4">
        <v>-9.0949470177292824E-13</v>
      </c>
      <c r="K825" s="4">
        <v>-7.1054273576010019E-14</v>
      </c>
      <c r="L825" s="4">
        <v>3.4106051316484809E-13</v>
      </c>
      <c r="M825" s="4">
        <v>2.2737367544323206E-13</v>
      </c>
      <c r="N825" s="4">
        <v>2.8421709430404007E-13</v>
      </c>
      <c r="O825" s="4">
        <v>-2.2737367544323206E-13</v>
      </c>
      <c r="P825" s="4">
        <v>-1.1368683772161603E-13</v>
      </c>
      <c r="Q825" s="4">
        <v>0</v>
      </c>
      <c r="R825" s="4">
        <v>1406.0800000000002</v>
      </c>
      <c r="S825" s="8">
        <f t="shared" si="36"/>
        <v>8.5265128291212022E-14</v>
      </c>
      <c r="T825" s="8">
        <f t="shared" si="37"/>
        <v>1406.0800000000002</v>
      </c>
      <c r="U825" s="9">
        <f t="shared" si="38"/>
        <v>1.6490680635554968E+16</v>
      </c>
      <c r="V825" t="s">
        <v>895</v>
      </c>
    </row>
    <row r="826" spans="1:22" outlineLevel="2">
      <c r="A826" t="s">
        <v>308</v>
      </c>
      <c r="B826" t="s">
        <v>309</v>
      </c>
      <c r="C826" t="s">
        <v>158</v>
      </c>
      <c r="D826" t="s">
        <v>159</v>
      </c>
      <c r="E826" s="4">
        <v>0</v>
      </c>
      <c r="F826" s="4">
        <v>0</v>
      </c>
      <c r="G826" s="4">
        <v>23505.88</v>
      </c>
      <c r="H826" s="4">
        <v>5.75</v>
      </c>
      <c r="I826" s="4">
        <v>0</v>
      </c>
      <c r="J826" s="4">
        <v>22402.480000000003</v>
      </c>
      <c r="K826" s="4">
        <v>0</v>
      </c>
      <c r="L826" s="4">
        <v>0</v>
      </c>
      <c r="M826" s="4">
        <v>24449.469999999998</v>
      </c>
      <c r="N826" s="4">
        <v>0</v>
      </c>
      <c r="O826" s="4">
        <v>0</v>
      </c>
      <c r="P826" s="4">
        <v>12219.960000000006</v>
      </c>
      <c r="Q826" s="4">
        <v>0</v>
      </c>
      <c r="S826" s="8">
        <f t="shared" si="36"/>
        <v>6111.5716666666676</v>
      </c>
      <c r="T826" s="8">
        <f t="shared" si="37"/>
        <v>-6111.5716666666676</v>
      </c>
      <c r="U826" s="9">
        <f t="shared" si="38"/>
        <v>-1</v>
      </c>
    </row>
    <row r="827" spans="1:22" outlineLevel="2">
      <c r="A827" t="s">
        <v>308</v>
      </c>
      <c r="B827" t="s">
        <v>309</v>
      </c>
      <c r="C827" t="s">
        <v>160</v>
      </c>
      <c r="D827" t="s">
        <v>161</v>
      </c>
      <c r="E827" s="4">
        <v>0</v>
      </c>
      <c r="F827" s="4">
        <v>0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S827" s="8">
        <f t="shared" si="36"/>
        <v>0</v>
      </c>
      <c r="T827" s="8">
        <f t="shared" si="37"/>
        <v>0</v>
      </c>
      <c r="U827" s="9" t="e">
        <f t="shared" si="38"/>
        <v>#DIV/0!</v>
      </c>
    </row>
    <row r="828" spans="1:22" outlineLevel="2">
      <c r="A828" t="s">
        <v>308</v>
      </c>
      <c r="B828" t="s">
        <v>309</v>
      </c>
      <c r="C828" t="s">
        <v>43</v>
      </c>
      <c r="D828" t="s">
        <v>44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1.4210854715202004E-14</v>
      </c>
      <c r="O828" s="4">
        <v>0</v>
      </c>
      <c r="P828" s="4">
        <v>0</v>
      </c>
      <c r="Q828" s="4">
        <v>-1.7763568394002505E-15</v>
      </c>
      <c r="R828" s="4">
        <v>269.37</v>
      </c>
      <c r="S828" s="8">
        <f t="shared" si="36"/>
        <v>2.0724163126336257E-15</v>
      </c>
      <c r="T828" s="8">
        <f t="shared" si="37"/>
        <v>269.37</v>
      </c>
      <c r="U828" s="9">
        <f t="shared" si="38"/>
        <v>1.2997871053122755E+17</v>
      </c>
      <c r="V828" t="s">
        <v>895</v>
      </c>
    </row>
    <row r="829" spans="1:22" outlineLevel="2">
      <c r="A829" t="s">
        <v>308</v>
      </c>
      <c r="B829" t="s">
        <v>309</v>
      </c>
      <c r="C829" t="s">
        <v>47</v>
      </c>
      <c r="D829" t="s">
        <v>48</v>
      </c>
      <c r="E829" s="4">
        <v>0</v>
      </c>
      <c r="F829" s="4">
        <v>-2.2204460492503131E-16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S829" s="8">
        <f t="shared" si="36"/>
        <v>0</v>
      </c>
      <c r="T829" s="8">
        <f t="shared" si="37"/>
        <v>0</v>
      </c>
      <c r="U829" s="9" t="e">
        <f t="shared" si="38"/>
        <v>#DIV/0!</v>
      </c>
    </row>
    <row r="830" spans="1:22" outlineLevel="2">
      <c r="A830" t="s">
        <v>308</v>
      </c>
      <c r="B830" t="s">
        <v>309</v>
      </c>
      <c r="C830" t="s">
        <v>49</v>
      </c>
      <c r="D830" t="s">
        <v>50</v>
      </c>
      <c r="E830" s="4">
        <v>0</v>
      </c>
      <c r="F830" s="4">
        <v>7.1054273576010019E-15</v>
      </c>
      <c r="G830" s="4">
        <v>34.75</v>
      </c>
      <c r="H830" s="4">
        <v>-1.7763568394002505E-15</v>
      </c>
      <c r="I830" s="4">
        <v>-7.1054273576010019E-15</v>
      </c>
      <c r="J830" s="4">
        <v>0</v>
      </c>
      <c r="K830" s="4">
        <v>1.9984014443252818E-15</v>
      </c>
      <c r="L830" s="4">
        <v>1.9984014443252818E-15</v>
      </c>
      <c r="M830" s="4">
        <v>0</v>
      </c>
      <c r="N830" s="4">
        <v>1.4210854715202004E-14</v>
      </c>
      <c r="O830" s="4">
        <v>-2.6645352591003757E-15</v>
      </c>
      <c r="P830" s="4">
        <v>0</v>
      </c>
      <c r="Q830" s="4">
        <v>0</v>
      </c>
      <c r="R830" s="4">
        <v>34.919999999999995</v>
      </c>
      <c r="S830" s="8">
        <f t="shared" si="36"/>
        <v>2.2574534834044848E-15</v>
      </c>
      <c r="T830" s="8">
        <f t="shared" si="37"/>
        <v>34.919999999999995</v>
      </c>
      <c r="U830" s="9">
        <f t="shared" si="38"/>
        <v>1.5468757277486332E+16</v>
      </c>
      <c r="V830" t="s">
        <v>895</v>
      </c>
    </row>
    <row r="831" spans="1:22" outlineLevel="2">
      <c r="A831" t="s">
        <v>308</v>
      </c>
      <c r="B831" t="s">
        <v>309</v>
      </c>
      <c r="C831" t="s">
        <v>51</v>
      </c>
      <c r="D831" t="s">
        <v>52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1.7763568394002505E-15</v>
      </c>
      <c r="Q831" s="4">
        <v>0</v>
      </c>
      <c r="S831" s="8">
        <f t="shared" si="36"/>
        <v>2.9605947323337506E-16</v>
      </c>
      <c r="T831" s="8">
        <f t="shared" si="37"/>
        <v>-2.9605947323337506E-16</v>
      </c>
      <c r="U831" s="9">
        <f t="shared" si="38"/>
        <v>-1</v>
      </c>
    </row>
    <row r="832" spans="1:22" outlineLevel="2">
      <c r="A832" t="s">
        <v>308</v>
      </c>
      <c r="B832" t="s">
        <v>309</v>
      </c>
      <c r="C832" t="s">
        <v>164</v>
      </c>
      <c r="D832" t="s">
        <v>165</v>
      </c>
      <c r="E832" s="4">
        <v>0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770</v>
      </c>
      <c r="S832" s="8">
        <f t="shared" si="36"/>
        <v>0</v>
      </c>
      <c r="T832" s="8">
        <f t="shared" si="37"/>
        <v>770</v>
      </c>
      <c r="U832" s="9" t="e">
        <f t="shared" si="38"/>
        <v>#DIV/0!</v>
      </c>
      <c r="V832" t="s">
        <v>895</v>
      </c>
    </row>
    <row r="833" spans="1:22" outlineLevel="2">
      <c r="A833" t="s">
        <v>308</v>
      </c>
      <c r="B833" t="s">
        <v>309</v>
      </c>
      <c r="C833" t="s">
        <v>55</v>
      </c>
      <c r="D833" t="s">
        <v>56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7.1054273576010019E-15</v>
      </c>
      <c r="P833" s="4">
        <v>0</v>
      </c>
      <c r="Q833" s="4">
        <v>0</v>
      </c>
      <c r="S833" s="8">
        <f t="shared" si="36"/>
        <v>1.1842378929335002E-15</v>
      </c>
      <c r="T833" s="8">
        <f t="shared" si="37"/>
        <v>-1.1842378929335002E-15</v>
      </c>
      <c r="U833" s="9">
        <f t="shared" si="38"/>
        <v>-1</v>
      </c>
    </row>
    <row r="834" spans="1:22" outlineLevel="2">
      <c r="A834" t="s">
        <v>308</v>
      </c>
      <c r="B834" t="s">
        <v>309</v>
      </c>
      <c r="C834" t="s">
        <v>63</v>
      </c>
      <c r="D834" t="s">
        <v>64</v>
      </c>
      <c r="E834" s="4">
        <v>0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-1.8189894035458565E-12</v>
      </c>
      <c r="O834" s="4">
        <v>0</v>
      </c>
      <c r="P834" s="4">
        <v>0</v>
      </c>
      <c r="Q834" s="4">
        <v>0</v>
      </c>
      <c r="S834" s="8">
        <f t="shared" si="36"/>
        <v>-3.0316490059097606E-13</v>
      </c>
      <c r="T834" s="8">
        <f t="shared" si="37"/>
        <v>3.0316490059097606E-13</v>
      </c>
      <c r="U834" s="9">
        <f t="shared" si="38"/>
        <v>-1</v>
      </c>
    </row>
    <row r="835" spans="1:22" outlineLevel="2">
      <c r="A835" t="s">
        <v>308</v>
      </c>
      <c r="B835" t="s">
        <v>309</v>
      </c>
      <c r="C835" t="s">
        <v>65</v>
      </c>
      <c r="D835" t="s">
        <v>66</v>
      </c>
      <c r="E835" s="4">
        <v>0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-1.7763568394002505E-15</v>
      </c>
      <c r="Q835" s="4">
        <v>0</v>
      </c>
      <c r="R835" s="4">
        <v>24.45</v>
      </c>
      <c r="S835" s="8">
        <f t="shared" ref="S835:S898" si="39">AVERAGE(L835:Q835)</f>
        <v>-2.9605947323337506E-16</v>
      </c>
      <c r="T835" s="8">
        <f t="shared" ref="T835:T898" si="40">R835-S835</f>
        <v>24.45</v>
      </c>
      <c r="U835" s="9">
        <f t="shared" ref="U835:U898" si="41">(R835-S835)/S835</f>
        <v>-8.258475816690648E+16</v>
      </c>
      <c r="V835" t="s">
        <v>895</v>
      </c>
    </row>
    <row r="836" spans="1:22" outlineLevel="2">
      <c r="A836" t="s">
        <v>308</v>
      </c>
      <c r="B836" t="s">
        <v>309</v>
      </c>
      <c r="C836" t="s">
        <v>83</v>
      </c>
      <c r="D836" t="s">
        <v>84</v>
      </c>
      <c r="E836" s="4">
        <v>0</v>
      </c>
      <c r="F836" s="4">
        <v>0</v>
      </c>
      <c r="G836" s="4">
        <v>0</v>
      </c>
      <c r="H836" s="4">
        <v>-1.1368683772161603E-13</v>
      </c>
      <c r="I836" s="4">
        <v>2.8421709430404007E-14</v>
      </c>
      <c r="J836" s="4">
        <v>1.4210854715202004E-14</v>
      </c>
      <c r="K836" s="4">
        <v>0</v>
      </c>
      <c r="L836" s="4">
        <v>0</v>
      </c>
      <c r="M836" s="4">
        <v>0</v>
      </c>
      <c r="N836" s="4">
        <v>-3.5527136788005009E-15</v>
      </c>
      <c r="O836" s="4">
        <v>0</v>
      </c>
      <c r="P836" s="4">
        <v>0</v>
      </c>
      <c r="Q836" s="4">
        <v>2.6645352591003757E-15</v>
      </c>
      <c r="R836" s="4">
        <v>41.769999999999996</v>
      </c>
      <c r="S836" s="8">
        <f t="shared" si="39"/>
        <v>-1.4802973661668753E-16</v>
      </c>
      <c r="T836" s="8">
        <f t="shared" si="40"/>
        <v>41.769999999999996</v>
      </c>
      <c r="U836" s="9">
        <f t="shared" si="41"/>
        <v>-2.821730346528984E+17</v>
      </c>
      <c r="V836" t="s">
        <v>895</v>
      </c>
    </row>
    <row r="837" spans="1:22" outlineLevel="2">
      <c r="A837" t="s">
        <v>308</v>
      </c>
      <c r="B837" t="s">
        <v>309</v>
      </c>
      <c r="C837" t="s">
        <v>310</v>
      </c>
      <c r="D837" t="s">
        <v>311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2.2737367544323206E-13</v>
      </c>
      <c r="O837" s="4">
        <v>2.8421709430404007E-14</v>
      </c>
      <c r="P837" s="4">
        <v>1.7053025658242404E-13</v>
      </c>
      <c r="Q837" s="4">
        <v>0</v>
      </c>
      <c r="S837" s="8">
        <f t="shared" si="39"/>
        <v>7.1054273576010019E-14</v>
      </c>
      <c r="T837" s="8">
        <f t="shared" si="40"/>
        <v>-7.1054273576010019E-14</v>
      </c>
      <c r="U837" s="9">
        <f t="shared" si="41"/>
        <v>-1</v>
      </c>
    </row>
    <row r="838" spans="1:22" outlineLevel="2">
      <c r="A838" t="s">
        <v>308</v>
      </c>
      <c r="B838" t="s">
        <v>309</v>
      </c>
      <c r="C838" t="s">
        <v>87</v>
      </c>
      <c r="D838" t="s">
        <v>88</v>
      </c>
      <c r="E838" s="4">
        <v>0</v>
      </c>
      <c r="F838" s="4">
        <v>0</v>
      </c>
      <c r="G838" s="4">
        <v>7.1054273576010019E-15</v>
      </c>
      <c r="H838" s="4">
        <v>-3.5527136788005009E-15</v>
      </c>
      <c r="I838" s="4">
        <v>8.8817841970012523E-16</v>
      </c>
      <c r="J838" s="4">
        <v>0</v>
      </c>
      <c r="K838" s="4">
        <v>0</v>
      </c>
      <c r="L838" s="4">
        <v>0</v>
      </c>
      <c r="M838" s="4">
        <v>0</v>
      </c>
      <c r="N838" s="4">
        <v>-3.5527136788005009E-15</v>
      </c>
      <c r="O838" s="4">
        <v>-5.6843418860808015E-14</v>
      </c>
      <c r="P838" s="4">
        <v>0</v>
      </c>
      <c r="Q838" s="4">
        <v>0</v>
      </c>
      <c r="R838" s="4">
        <v>24.560000000000002</v>
      </c>
      <c r="S838" s="8">
        <f t="shared" si="39"/>
        <v>-1.0066022089934753E-14</v>
      </c>
      <c r="T838" s="8">
        <f t="shared" si="40"/>
        <v>24.560000000000013</v>
      </c>
      <c r="U838" s="9">
        <f t="shared" si="41"/>
        <v>-2439891327534252</v>
      </c>
      <c r="V838" t="s">
        <v>895</v>
      </c>
    </row>
    <row r="839" spans="1:22" outlineLevel="2">
      <c r="A839" t="s">
        <v>308</v>
      </c>
      <c r="B839" t="s">
        <v>309</v>
      </c>
      <c r="C839" t="s">
        <v>182</v>
      </c>
      <c r="D839" t="s">
        <v>183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79.430000000000007</v>
      </c>
      <c r="S839" s="8">
        <f t="shared" si="39"/>
        <v>0</v>
      </c>
      <c r="T839" s="8">
        <f t="shared" si="40"/>
        <v>79.430000000000007</v>
      </c>
      <c r="U839" s="9" t="e">
        <f t="shared" si="41"/>
        <v>#DIV/0!</v>
      </c>
      <c r="V839" t="s">
        <v>895</v>
      </c>
    </row>
    <row r="840" spans="1:22" outlineLevel="2">
      <c r="A840" t="s">
        <v>308</v>
      </c>
      <c r="B840" t="s">
        <v>309</v>
      </c>
      <c r="C840" t="s">
        <v>93</v>
      </c>
      <c r="D840" t="s">
        <v>94</v>
      </c>
      <c r="E840" s="4">
        <v>0</v>
      </c>
      <c r="F840" s="4">
        <v>0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1.8189894035458565E-12</v>
      </c>
      <c r="N840" s="4">
        <v>0</v>
      </c>
      <c r="O840" s="4">
        <v>-7.1054273576010019E-15</v>
      </c>
      <c r="P840" s="4">
        <v>0</v>
      </c>
      <c r="Q840" s="4">
        <v>0</v>
      </c>
      <c r="S840" s="8">
        <f t="shared" si="39"/>
        <v>3.0198066269804258E-13</v>
      </c>
      <c r="T840" s="8">
        <f t="shared" si="40"/>
        <v>-3.0198066269804258E-13</v>
      </c>
      <c r="U840" s="9">
        <f t="shared" si="41"/>
        <v>-1</v>
      </c>
    </row>
    <row r="841" spans="1:22" outlineLevel="2">
      <c r="A841" t="s">
        <v>308</v>
      </c>
      <c r="B841" t="s">
        <v>309</v>
      </c>
      <c r="C841" t="s">
        <v>184</v>
      </c>
      <c r="D841" t="s">
        <v>185</v>
      </c>
      <c r="E841" s="4">
        <v>0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S841" s="8">
        <f t="shared" si="39"/>
        <v>0</v>
      </c>
      <c r="T841" s="8">
        <f t="shared" si="40"/>
        <v>0</v>
      </c>
      <c r="U841" s="9" t="e">
        <f t="shared" si="41"/>
        <v>#DIV/0!</v>
      </c>
    </row>
    <row r="842" spans="1:22" outlineLevel="2">
      <c r="A842" t="s">
        <v>308</v>
      </c>
      <c r="B842" t="s">
        <v>309</v>
      </c>
      <c r="C842" t="s">
        <v>101</v>
      </c>
      <c r="D842" t="s">
        <v>102</v>
      </c>
      <c r="E842" s="4">
        <v>-5.6843418860808015E-14</v>
      </c>
      <c r="F842" s="4">
        <v>1.4210854715202004E-14</v>
      </c>
      <c r="G842" s="4">
        <v>4.5474735088646412E-13</v>
      </c>
      <c r="H842" s="4">
        <v>5.6843418860808015E-14</v>
      </c>
      <c r="I842" s="4">
        <v>-5.6843418860808015E-14</v>
      </c>
      <c r="J842" s="4">
        <v>-2.8421709430404007E-14</v>
      </c>
      <c r="K842" s="4">
        <v>4.2632564145606011E-14</v>
      </c>
      <c r="L842" s="4">
        <v>-6.3948846218409017E-14</v>
      </c>
      <c r="M842" s="4">
        <v>8.1712414612411521E-14</v>
      </c>
      <c r="N842" s="4">
        <v>-2.8421709430404007E-14</v>
      </c>
      <c r="O842" s="4">
        <v>2.2737367544323206E-13</v>
      </c>
      <c r="P842" s="4">
        <v>5.6843418860808015E-14</v>
      </c>
      <c r="Q842" s="4">
        <v>0</v>
      </c>
      <c r="R842" s="4">
        <v>253.83</v>
      </c>
      <c r="S842" s="8">
        <f t="shared" si="39"/>
        <v>4.5593158877939764E-14</v>
      </c>
      <c r="T842" s="8">
        <f t="shared" si="40"/>
        <v>253.82999999999996</v>
      </c>
      <c r="U842" s="9">
        <f t="shared" si="41"/>
        <v>5567282597802530</v>
      </c>
      <c r="V842" t="s">
        <v>895</v>
      </c>
    </row>
    <row r="843" spans="1:22" outlineLevel="2">
      <c r="A843" t="s">
        <v>308</v>
      </c>
      <c r="B843" t="s">
        <v>309</v>
      </c>
      <c r="C843" t="s">
        <v>198</v>
      </c>
      <c r="D843" t="s">
        <v>199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  <c r="J843" s="4">
        <v>2.2737367544323206E-13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S843" s="8">
        <f t="shared" si="39"/>
        <v>0</v>
      </c>
      <c r="T843" s="8">
        <f t="shared" si="40"/>
        <v>0</v>
      </c>
      <c r="U843" s="9" t="e">
        <f t="shared" si="41"/>
        <v>#DIV/0!</v>
      </c>
    </row>
    <row r="844" spans="1:22" outlineLevel="2">
      <c r="A844" t="s">
        <v>308</v>
      </c>
      <c r="B844" t="s">
        <v>309</v>
      </c>
      <c r="C844" t="s">
        <v>312</v>
      </c>
      <c r="D844" t="s">
        <v>313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S844" s="8">
        <f t="shared" si="39"/>
        <v>0</v>
      </c>
      <c r="T844" s="8">
        <f t="shared" si="40"/>
        <v>0</v>
      </c>
      <c r="U844" s="9" t="e">
        <f t="shared" si="41"/>
        <v>#DIV/0!</v>
      </c>
    </row>
    <row r="845" spans="1:22" outlineLevel="2">
      <c r="A845" t="s">
        <v>308</v>
      </c>
      <c r="B845" t="s">
        <v>309</v>
      </c>
      <c r="C845" t="s">
        <v>170</v>
      </c>
      <c r="D845" t="s">
        <v>171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S845" s="8">
        <f t="shared" si="39"/>
        <v>0</v>
      </c>
      <c r="T845" s="8">
        <f t="shared" si="40"/>
        <v>0</v>
      </c>
      <c r="U845" s="9" t="e">
        <f t="shared" si="41"/>
        <v>#DIV/0!</v>
      </c>
    </row>
    <row r="846" spans="1:22" outlineLevel="2">
      <c r="A846" t="s">
        <v>308</v>
      </c>
      <c r="B846" t="s">
        <v>309</v>
      </c>
      <c r="C846" t="s">
        <v>127</v>
      </c>
      <c r="D846" t="s">
        <v>120</v>
      </c>
      <c r="E846" s="4">
        <v>0</v>
      </c>
      <c r="F846" s="4">
        <v>-2.8421709430404007E-14</v>
      </c>
      <c r="G846" s="4">
        <v>0</v>
      </c>
      <c r="H846" s="4">
        <v>0</v>
      </c>
      <c r="I846" s="4">
        <v>1.0658141036401503E-14</v>
      </c>
      <c r="J846" s="4">
        <v>0</v>
      </c>
      <c r="K846" s="4">
        <v>-2.1316282072803006E-14</v>
      </c>
      <c r="L846" s="4">
        <v>-7.1054273576010019E-15</v>
      </c>
      <c r="M846" s="4">
        <v>0</v>
      </c>
      <c r="N846" s="4">
        <v>2.8421709430404007E-14</v>
      </c>
      <c r="O846" s="4">
        <v>7.1054273576010019E-15</v>
      </c>
      <c r="P846" s="4">
        <v>-5.6843418860808015E-14</v>
      </c>
      <c r="Q846" s="4">
        <v>-2.8421709430404007E-14</v>
      </c>
      <c r="R846" s="4">
        <v>110.17</v>
      </c>
      <c r="S846" s="8">
        <f t="shared" si="39"/>
        <v>-9.473903143468002E-15</v>
      </c>
      <c r="T846" s="8">
        <f t="shared" si="40"/>
        <v>110.17000000000002</v>
      </c>
      <c r="U846" s="9">
        <f t="shared" si="41"/>
        <v>-1.1628786819079866E+16</v>
      </c>
      <c r="V846" t="s">
        <v>895</v>
      </c>
    </row>
    <row r="847" spans="1:22" outlineLevel="2">
      <c r="A847" t="s">
        <v>308</v>
      </c>
      <c r="B847" t="s">
        <v>309</v>
      </c>
      <c r="C847" t="s">
        <v>190</v>
      </c>
      <c r="D847" t="s">
        <v>191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S847" s="8">
        <f t="shared" si="39"/>
        <v>0</v>
      </c>
      <c r="T847" s="8">
        <f t="shared" si="40"/>
        <v>0</v>
      </c>
      <c r="U847" s="9" t="e">
        <f t="shared" si="41"/>
        <v>#DIV/0!</v>
      </c>
    </row>
    <row r="848" spans="1:22" outlineLevel="1">
      <c r="A848" s="1" t="s">
        <v>718</v>
      </c>
      <c r="E848" s="4">
        <f>SUBTOTAL(9,E810:E847)</f>
        <v>-1.8403056856186595E-12</v>
      </c>
      <c r="F848" s="4">
        <f>SUBTOTAL(9,F810:F847)</f>
        <v>8.5043083686286991E-14</v>
      </c>
      <c r="G848" s="4">
        <f>SUBTOTAL(9,G810:G847)</f>
        <v>23540.629999999997</v>
      </c>
      <c r="H848" s="4">
        <f>SUBTOTAL(9,H810:H847)</f>
        <v>5.7500000000057145</v>
      </c>
      <c r="I848" s="4">
        <f>SUBTOTAL(9,I810:I847)</f>
        <v>21489.35</v>
      </c>
      <c r="J848" s="4">
        <f>SUBTOTAL(9,J810:J847)</f>
        <v>36646.850000000006</v>
      </c>
      <c r="K848" s="4">
        <f>SUBTOTAL(9,K810:K847)</f>
        <v>16067.340000000009</v>
      </c>
      <c r="L848" s="4">
        <f>SUBTOTAL(9,L810:L847)</f>
        <v>16067.339999999995</v>
      </c>
      <c r="M848" s="4">
        <f>SUBTOTAL(9,M810:M847)</f>
        <v>40516.81</v>
      </c>
      <c r="N848" s="4">
        <f>SUBTOTAL(9,N810:N847)</f>
        <v>14497.069999999994</v>
      </c>
      <c r="O848" s="4">
        <f>SUBTOTAL(9,O810:O847)</f>
        <v>14497.069999999985</v>
      </c>
      <c r="P848" s="4">
        <f>SUBTOTAL(9,P810:P847)</f>
        <v>26717.030000000024</v>
      </c>
      <c r="Q848" s="4">
        <f>SUBTOTAL(9,Q810:Q847)</f>
        <v>-3.3884006711559778E-12</v>
      </c>
      <c r="R848" s="4">
        <f>SUBTOTAL(9,R810:R847)</f>
        <v>113665.84999999998</v>
      </c>
      <c r="S848" s="8">
        <f t="shared" si="39"/>
        <v>18715.886666666669</v>
      </c>
      <c r="T848" s="8">
        <f t="shared" si="40"/>
        <v>94949.963333333304</v>
      </c>
      <c r="U848" s="9">
        <f t="shared" si="41"/>
        <v>5.0732281630258482</v>
      </c>
    </row>
    <row r="849" spans="1:22" outlineLevel="2">
      <c r="A849" t="s">
        <v>314</v>
      </c>
      <c r="B849" t="s">
        <v>315</v>
      </c>
      <c r="C849" t="s">
        <v>21</v>
      </c>
      <c r="D849" t="s">
        <v>22</v>
      </c>
      <c r="E849" s="4">
        <v>2023.7700000000002</v>
      </c>
      <c r="F849" s="4">
        <v>3847.52</v>
      </c>
      <c r="G849" s="4">
        <v>1933.46</v>
      </c>
      <c r="H849" s="4">
        <v>1797.9099999999996</v>
      </c>
      <c r="I849" s="4">
        <v>4418.5599999999995</v>
      </c>
      <c r="J849" s="4">
        <v>3467.3400000000011</v>
      </c>
      <c r="K849" s="4">
        <v>6145.4600000000009</v>
      </c>
      <c r="L849" s="4">
        <v>-1877.55</v>
      </c>
      <c r="M849" s="4">
        <v>1535.4900000000002</v>
      </c>
      <c r="N849" s="4">
        <v>6501.2499999999936</v>
      </c>
      <c r="O849" s="4">
        <v>-6501.2500000000009</v>
      </c>
      <c r="P849" s="4">
        <v>0</v>
      </c>
      <c r="Q849" s="4">
        <v>1.2789769243681803E-13</v>
      </c>
      <c r="R849" s="4">
        <v>2740.0800000000004</v>
      </c>
      <c r="S849" s="8">
        <f t="shared" si="39"/>
        <v>-57.010000000001106</v>
      </c>
      <c r="T849" s="8">
        <f t="shared" si="40"/>
        <v>2797.0900000000015</v>
      </c>
      <c r="U849" s="9">
        <f t="shared" si="41"/>
        <v>-49.063146816347086</v>
      </c>
    </row>
    <row r="850" spans="1:22" outlineLevel="2">
      <c r="A850" t="s">
        <v>314</v>
      </c>
      <c r="B850" t="s">
        <v>315</v>
      </c>
      <c r="C850" t="s">
        <v>23</v>
      </c>
      <c r="D850" t="s">
        <v>24</v>
      </c>
      <c r="E850" s="4">
        <v>5892.670000000001</v>
      </c>
      <c r="F850" s="4">
        <v>8904.36</v>
      </c>
      <c r="G850" s="4">
        <v>7659.5899999999992</v>
      </c>
      <c r="H850" s="4">
        <v>4339.9100000000008</v>
      </c>
      <c r="I850" s="4">
        <v>7486.1199999999972</v>
      </c>
      <c r="J850" s="4">
        <v>8973.57</v>
      </c>
      <c r="K850" s="4">
        <v>6053.0099999999993</v>
      </c>
      <c r="L850" s="4">
        <v>5651.5499999999984</v>
      </c>
      <c r="M850" s="4">
        <v>1877.6099999999997</v>
      </c>
      <c r="N850" s="4">
        <v>2198.5499999999993</v>
      </c>
      <c r="O850" s="4">
        <v>-2198.5500000000002</v>
      </c>
      <c r="P850" s="4">
        <v>0</v>
      </c>
      <c r="Q850" s="4">
        <v>0</v>
      </c>
      <c r="R850" s="4">
        <v>1099.8</v>
      </c>
      <c r="S850" s="8">
        <f t="shared" si="39"/>
        <v>1254.8599999999994</v>
      </c>
      <c r="T850" s="8">
        <f t="shared" si="40"/>
        <v>-155.05999999999949</v>
      </c>
      <c r="U850" s="9">
        <f t="shared" si="41"/>
        <v>-0.1235675692905978</v>
      </c>
    </row>
    <row r="851" spans="1:22" outlineLevel="2">
      <c r="A851" t="s">
        <v>314</v>
      </c>
      <c r="B851" t="s">
        <v>315</v>
      </c>
      <c r="C851" t="s">
        <v>25</v>
      </c>
      <c r="D851" t="s">
        <v>26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3006.0500000000006</v>
      </c>
      <c r="N851" s="4">
        <v>8495.3100000000013</v>
      </c>
      <c r="O851" s="4">
        <v>-8495.3099999999977</v>
      </c>
      <c r="P851" s="4">
        <v>4.5474735088646412E-13</v>
      </c>
      <c r="Q851" s="4">
        <v>-1.1368683772161603E-13</v>
      </c>
      <c r="R851" s="4">
        <v>4064.6599999999989</v>
      </c>
      <c r="S851" s="8">
        <f t="shared" si="39"/>
        <v>501.00833333333418</v>
      </c>
      <c r="T851" s="8">
        <f t="shared" si="40"/>
        <v>3563.6516666666648</v>
      </c>
      <c r="U851" s="9">
        <f t="shared" si="41"/>
        <v>7.1129588662863066</v>
      </c>
    </row>
    <row r="852" spans="1:22" outlineLevel="2">
      <c r="A852" t="s">
        <v>314</v>
      </c>
      <c r="B852" t="s">
        <v>315</v>
      </c>
      <c r="C852" t="s">
        <v>27</v>
      </c>
      <c r="D852" t="s">
        <v>28</v>
      </c>
      <c r="E852" s="4">
        <v>0</v>
      </c>
      <c r="F852" s="4">
        <v>0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3676.65</v>
      </c>
      <c r="N852" s="4">
        <v>5461.3799999999992</v>
      </c>
      <c r="O852" s="4">
        <v>-5461.3799999999992</v>
      </c>
      <c r="P852" s="4">
        <v>-5.4001247917767614E-13</v>
      </c>
      <c r="Q852" s="4">
        <v>-5.6843418860808015E-14</v>
      </c>
      <c r="R852" s="4">
        <v>2413.65</v>
      </c>
      <c r="S852" s="8">
        <f t="shared" si="39"/>
        <v>612.77499999999986</v>
      </c>
      <c r="T852" s="8">
        <f t="shared" si="40"/>
        <v>1800.8750000000002</v>
      </c>
      <c r="U852" s="9">
        <f t="shared" si="41"/>
        <v>2.9388845824323782</v>
      </c>
    </row>
    <row r="853" spans="1:22" outlineLevel="2">
      <c r="A853" t="s">
        <v>314</v>
      </c>
      <c r="B853" t="s">
        <v>315</v>
      </c>
      <c r="C853" t="s">
        <v>136</v>
      </c>
      <c r="D853" t="s">
        <v>137</v>
      </c>
      <c r="E853" s="4">
        <v>180123.7</v>
      </c>
      <c r="F853" s="4">
        <v>162471.31</v>
      </c>
      <c r="G853" s="4">
        <v>184264.16999999998</v>
      </c>
      <c r="H853" s="4">
        <v>171638.28999999998</v>
      </c>
      <c r="I853" s="4">
        <v>168824.76000000004</v>
      </c>
      <c r="J853" s="4">
        <v>178581.84999999998</v>
      </c>
      <c r="K853" s="4">
        <v>190286.34999999998</v>
      </c>
      <c r="L853" s="4">
        <v>193797.52</v>
      </c>
      <c r="M853" s="4">
        <v>201455.41</v>
      </c>
      <c r="N853" s="4">
        <v>205514.75999999998</v>
      </c>
      <c r="O853" s="4">
        <v>-205514.76000000004</v>
      </c>
      <c r="P853" s="4">
        <v>-2.9103830456733704E-11</v>
      </c>
      <c r="Q853" s="4">
        <v>-3.637978807091713E-12</v>
      </c>
      <c r="R853" s="4">
        <v>119361.78</v>
      </c>
      <c r="S853" s="8">
        <f t="shared" si="39"/>
        <v>65875.488333333327</v>
      </c>
      <c r="T853" s="8">
        <f t="shared" si="40"/>
        <v>53486.291666666672</v>
      </c>
      <c r="U853" s="9">
        <f t="shared" si="41"/>
        <v>0.81193009752008682</v>
      </c>
      <c r="V853" t="s">
        <v>896</v>
      </c>
    </row>
    <row r="854" spans="1:22" outlineLevel="2">
      <c r="A854" t="s">
        <v>314</v>
      </c>
      <c r="B854" t="s">
        <v>315</v>
      </c>
      <c r="C854" t="s">
        <v>142</v>
      </c>
      <c r="D854" t="s">
        <v>143</v>
      </c>
      <c r="E854" s="4">
        <v>25000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13100</v>
      </c>
      <c r="O854" s="4">
        <v>-13100</v>
      </c>
      <c r="P854" s="4">
        <v>0</v>
      </c>
      <c r="Q854" s="4">
        <v>0</v>
      </c>
      <c r="S854" s="8">
        <f t="shared" si="39"/>
        <v>0</v>
      </c>
      <c r="T854" s="8">
        <f t="shared" si="40"/>
        <v>0</v>
      </c>
      <c r="U854" s="9" t="e">
        <f t="shared" si="41"/>
        <v>#DIV/0!</v>
      </c>
    </row>
    <row r="855" spans="1:22" outlineLevel="2">
      <c r="A855" t="s">
        <v>314</v>
      </c>
      <c r="B855" t="s">
        <v>315</v>
      </c>
      <c r="C855" t="s">
        <v>144</v>
      </c>
      <c r="D855" t="s">
        <v>145</v>
      </c>
      <c r="E855" s="4">
        <v>24036.090000000004</v>
      </c>
      <c r="F855" s="4">
        <v>6862.1399999999994</v>
      </c>
      <c r="G855" s="4">
        <v>26756.91</v>
      </c>
      <c r="H855" s="4">
        <v>17919.939999999999</v>
      </c>
      <c r="I855" s="4">
        <v>29047.87</v>
      </c>
      <c r="J855" s="4">
        <v>6392.9799999999977</v>
      </c>
      <c r="K855" s="4">
        <v>23408.66</v>
      </c>
      <c r="L855" s="4">
        <v>22765.440000000002</v>
      </c>
      <c r="M855" s="4">
        <v>25332.42</v>
      </c>
      <c r="N855" s="4">
        <v>21214.89</v>
      </c>
      <c r="O855" s="4">
        <v>-21214.889999999996</v>
      </c>
      <c r="P855" s="4">
        <v>2.7284841053187847E-12</v>
      </c>
      <c r="Q855" s="4">
        <v>0</v>
      </c>
      <c r="R855" s="4">
        <v>-2349.2799999999997</v>
      </c>
      <c r="S855" s="8">
        <f t="shared" si="39"/>
        <v>8016.31</v>
      </c>
      <c r="T855" s="8">
        <f t="shared" si="40"/>
        <v>-10365.59</v>
      </c>
      <c r="U855" s="9">
        <f t="shared" si="41"/>
        <v>-1.2930625187898173</v>
      </c>
    </row>
    <row r="856" spans="1:22" outlineLevel="2">
      <c r="A856" t="s">
        <v>314</v>
      </c>
      <c r="B856" t="s">
        <v>315</v>
      </c>
      <c r="C856" t="s">
        <v>146</v>
      </c>
      <c r="D856" t="s">
        <v>147</v>
      </c>
      <c r="E856" s="4">
        <v>14114.21</v>
      </c>
      <c r="F856" s="4">
        <v>15107.94</v>
      </c>
      <c r="G856" s="4">
        <v>37482.600000000006</v>
      </c>
      <c r="H856" s="4">
        <v>16833.45</v>
      </c>
      <c r="I856" s="4">
        <v>15799.84</v>
      </c>
      <c r="J856" s="4">
        <v>17148.769999999997</v>
      </c>
      <c r="K856" s="4">
        <v>15580.52</v>
      </c>
      <c r="L856" s="4">
        <v>16049.37</v>
      </c>
      <c r="M856" s="4">
        <v>36130.36</v>
      </c>
      <c r="N856" s="4">
        <v>18936.63</v>
      </c>
      <c r="O856" s="4">
        <v>-18936.63</v>
      </c>
      <c r="P856" s="4">
        <v>0</v>
      </c>
      <c r="Q856" s="4">
        <v>0</v>
      </c>
      <c r="R856" s="4">
        <v>11716.44</v>
      </c>
      <c r="S856" s="8">
        <f t="shared" si="39"/>
        <v>8696.621666666666</v>
      </c>
      <c r="T856" s="8">
        <f t="shared" si="40"/>
        <v>3019.8183333333345</v>
      </c>
      <c r="U856" s="9">
        <f t="shared" si="41"/>
        <v>0.34724039392308104</v>
      </c>
    </row>
    <row r="857" spans="1:22" outlineLevel="2">
      <c r="A857" t="s">
        <v>314</v>
      </c>
      <c r="B857" t="s">
        <v>315</v>
      </c>
      <c r="C857" t="s">
        <v>150</v>
      </c>
      <c r="D857" t="s">
        <v>151</v>
      </c>
      <c r="E857" s="4">
        <v>0</v>
      </c>
      <c r="F857" s="4">
        <v>53868</v>
      </c>
      <c r="G857" s="4">
        <v>21473.600000000006</v>
      </c>
      <c r="H857" s="4">
        <v>64376.85</v>
      </c>
      <c r="I857" s="4">
        <v>67408.08</v>
      </c>
      <c r="J857" s="4">
        <v>34109.35</v>
      </c>
      <c r="K857" s="4">
        <v>42018.22</v>
      </c>
      <c r="L857" s="4">
        <v>36918.22</v>
      </c>
      <c r="M857" s="4">
        <v>36918.22</v>
      </c>
      <c r="N857" s="4">
        <v>36281.74</v>
      </c>
      <c r="O857" s="4">
        <v>-36281.74</v>
      </c>
      <c r="P857" s="4">
        <v>36281.74</v>
      </c>
      <c r="Q857" s="4">
        <v>0</v>
      </c>
      <c r="R857" s="4">
        <v>43759.9</v>
      </c>
      <c r="S857" s="8">
        <f t="shared" si="39"/>
        <v>18353.03</v>
      </c>
      <c r="T857" s="8">
        <f t="shared" si="40"/>
        <v>25406.870000000003</v>
      </c>
      <c r="U857" s="9">
        <f t="shared" si="41"/>
        <v>1.3843419860371833</v>
      </c>
      <c r="V857" t="s">
        <v>896</v>
      </c>
    </row>
    <row r="858" spans="1:22" outlineLevel="2">
      <c r="A858" t="s">
        <v>314</v>
      </c>
      <c r="B858" t="s">
        <v>315</v>
      </c>
      <c r="C858" t="s">
        <v>152</v>
      </c>
      <c r="D858" t="s">
        <v>153</v>
      </c>
      <c r="E858" s="4">
        <v>16106.449999999999</v>
      </c>
      <c r="F858" s="4">
        <v>13158.690000000002</v>
      </c>
      <c r="G858" s="4">
        <v>30419.349999999995</v>
      </c>
      <c r="H858" s="4">
        <v>17409.450000000004</v>
      </c>
      <c r="I858" s="4">
        <v>9909.9900000000016</v>
      </c>
      <c r="J858" s="4">
        <v>19309.629999999997</v>
      </c>
      <c r="K858" s="4">
        <v>12335.359999999999</v>
      </c>
      <c r="L858" s="4">
        <v>10502.16</v>
      </c>
      <c r="M858" s="4">
        <v>11166.460000000001</v>
      </c>
      <c r="N858" s="4">
        <v>16884.829999999998</v>
      </c>
      <c r="O858" s="4">
        <v>-16884.830000000002</v>
      </c>
      <c r="P858" s="4">
        <v>-8063.6399999999994</v>
      </c>
      <c r="Q858" s="4">
        <v>1.1368683772161603E-12</v>
      </c>
      <c r="R858" s="4">
        <v>29584.469999999998</v>
      </c>
      <c r="S858" s="8">
        <f t="shared" si="39"/>
        <v>2267.4966666666664</v>
      </c>
      <c r="T858" s="8">
        <f t="shared" si="40"/>
        <v>27316.973333333332</v>
      </c>
      <c r="U858" s="9">
        <f t="shared" si="41"/>
        <v>12.047194483196595</v>
      </c>
      <c r="V858" t="s">
        <v>896</v>
      </c>
    </row>
    <row r="859" spans="1:22" outlineLevel="2">
      <c r="A859" t="s">
        <v>314</v>
      </c>
      <c r="B859" t="s">
        <v>315</v>
      </c>
      <c r="C859" t="s">
        <v>154</v>
      </c>
      <c r="D859" t="s">
        <v>155</v>
      </c>
      <c r="E859" s="4">
        <v>4236.57</v>
      </c>
      <c r="F859" s="4">
        <v>348.07</v>
      </c>
      <c r="G859" s="4">
        <v>67.62</v>
      </c>
      <c r="H859" s="4">
        <v>0</v>
      </c>
      <c r="I859" s="4">
        <v>178.16</v>
      </c>
      <c r="J859" s="4">
        <v>279.74</v>
      </c>
      <c r="K859" s="4">
        <v>48.9</v>
      </c>
      <c r="L859" s="4">
        <v>366.9</v>
      </c>
      <c r="M859" s="4">
        <v>346.92</v>
      </c>
      <c r="N859" s="4">
        <v>19.98</v>
      </c>
      <c r="O859" s="4">
        <v>-19.98</v>
      </c>
      <c r="P859" s="4">
        <v>0</v>
      </c>
      <c r="Q859" s="4">
        <v>-1.7053025658242404E-13</v>
      </c>
      <c r="R859" s="4">
        <v>220.76</v>
      </c>
      <c r="S859" s="8">
        <f t="shared" si="39"/>
        <v>118.96999999999996</v>
      </c>
      <c r="T859" s="8">
        <f t="shared" si="40"/>
        <v>101.79000000000003</v>
      </c>
      <c r="U859" s="9">
        <f t="shared" si="41"/>
        <v>0.8555938471883674</v>
      </c>
    </row>
    <row r="860" spans="1:22" outlineLevel="2">
      <c r="A860" t="s">
        <v>314</v>
      </c>
      <c r="B860" t="s">
        <v>315</v>
      </c>
      <c r="C860" t="s">
        <v>33</v>
      </c>
      <c r="D860" t="s">
        <v>34</v>
      </c>
      <c r="E860" s="4">
        <v>0</v>
      </c>
      <c r="F860" s="4">
        <v>0</v>
      </c>
      <c r="G860" s="4">
        <v>0</v>
      </c>
      <c r="H860" s="4">
        <v>0</v>
      </c>
      <c r="I860" s="4">
        <v>0</v>
      </c>
      <c r="J860" s="4">
        <v>0</v>
      </c>
      <c r="K860" s="4">
        <v>361.35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S860" s="8">
        <f t="shared" si="39"/>
        <v>0</v>
      </c>
      <c r="T860" s="8">
        <f t="shared" si="40"/>
        <v>0</v>
      </c>
      <c r="U860" s="9" t="e">
        <f t="shared" si="41"/>
        <v>#DIV/0!</v>
      </c>
    </row>
    <row r="861" spans="1:22" outlineLevel="2">
      <c r="A861" t="s">
        <v>314</v>
      </c>
      <c r="B861" t="s">
        <v>315</v>
      </c>
      <c r="C861" t="s">
        <v>216</v>
      </c>
      <c r="D861" t="s">
        <v>217</v>
      </c>
      <c r="E861" s="4">
        <v>0</v>
      </c>
      <c r="F861" s="4">
        <v>7131.35</v>
      </c>
      <c r="G861" s="4">
        <v>-7131.35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S861" s="8">
        <f t="shared" si="39"/>
        <v>0</v>
      </c>
      <c r="T861" s="8">
        <f t="shared" si="40"/>
        <v>0</v>
      </c>
      <c r="U861" s="9" t="e">
        <f t="shared" si="41"/>
        <v>#DIV/0!</v>
      </c>
    </row>
    <row r="862" spans="1:22" outlineLevel="2">
      <c r="A862" t="s">
        <v>314</v>
      </c>
      <c r="B862" t="s">
        <v>315</v>
      </c>
      <c r="C862" t="s">
        <v>158</v>
      </c>
      <c r="D862" t="s">
        <v>159</v>
      </c>
      <c r="E862" s="4">
        <v>33333.33</v>
      </c>
      <c r="F862" s="4">
        <v>33333</v>
      </c>
      <c r="G862" s="4">
        <v>56946.529999999984</v>
      </c>
      <c r="H862" s="4">
        <v>34178.449999999997</v>
      </c>
      <c r="I862" s="4">
        <v>33333</v>
      </c>
      <c r="J862" s="4">
        <v>55491.139999999992</v>
      </c>
      <c r="K862" s="4">
        <v>33333</v>
      </c>
      <c r="L862" s="4">
        <v>33333</v>
      </c>
      <c r="M862" s="4">
        <v>64711.709999999992</v>
      </c>
      <c r="N862" s="4">
        <v>33333</v>
      </c>
      <c r="O862" s="4">
        <v>0</v>
      </c>
      <c r="P862" s="4">
        <v>130117.21</v>
      </c>
      <c r="Q862" s="4">
        <v>0</v>
      </c>
      <c r="S862" s="8">
        <f t="shared" si="39"/>
        <v>43582.486666666664</v>
      </c>
      <c r="T862" s="8">
        <f t="shared" si="40"/>
        <v>-43582.486666666664</v>
      </c>
      <c r="U862" s="9">
        <f t="shared" si="41"/>
        <v>-1</v>
      </c>
    </row>
    <row r="863" spans="1:22" outlineLevel="2">
      <c r="A863" t="s">
        <v>314</v>
      </c>
      <c r="B863" t="s">
        <v>315</v>
      </c>
      <c r="C863" t="s">
        <v>160</v>
      </c>
      <c r="D863" t="s">
        <v>161</v>
      </c>
      <c r="E863" s="4">
        <v>0</v>
      </c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1554.02</v>
      </c>
      <c r="N863" s="4">
        <v>0</v>
      </c>
      <c r="O863" s="4">
        <v>0</v>
      </c>
      <c r="P863" s="4">
        <v>0</v>
      </c>
      <c r="Q863" s="4">
        <v>0</v>
      </c>
      <c r="S863" s="8">
        <f t="shared" si="39"/>
        <v>259.00333333333333</v>
      </c>
      <c r="T863" s="8">
        <f t="shared" si="40"/>
        <v>-259.00333333333333</v>
      </c>
      <c r="U863" s="9">
        <f t="shared" si="41"/>
        <v>-1</v>
      </c>
    </row>
    <row r="864" spans="1:22" outlineLevel="2">
      <c r="A864" t="s">
        <v>314</v>
      </c>
      <c r="B864" t="s">
        <v>315</v>
      </c>
      <c r="C864" t="s">
        <v>47</v>
      </c>
      <c r="D864" t="s">
        <v>48</v>
      </c>
      <c r="E864" s="4">
        <v>1805.9</v>
      </c>
      <c r="F864" s="4">
        <v>1841.51</v>
      </c>
      <c r="G864" s="4">
        <v>1850.3000000000002</v>
      </c>
      <c r="H864" s="4">
        <v>1819.9</v>
      </c>
      <c r="I864" s="4">
        <v>1819.9</v>
      </c>
      <c r="J864" s="4">
        <v>1826.42</v>
      </c>
      <c r="K864" s="4">
        <v>1869.27</v>
      </c>
      <c r="L864" s="4">
        <v>1835.1100000000001</v>
      </c>
      <c r="M864" s="4">
        <v>1805.9</v>
      </c>
      <c r="N864" s="4">
        <v>1892.05</v>
      </c>
      <c r="O864" s="4">
        <v>-1892.0499999999997</v>
      </c>
      <c r="P864" s="4">
        <v>1.4210854715202004E-14</v>
      </c>
      <c r="Q864" s="4">
        <v>-1.1368683772161603E-13</v>
      </c>
      <c r="R864" s="4">
        <v>892.6400000000001</v>
      </c>
      <c r="S864" s="8">
        <f t="shared" si="39"/>
        <v>606.83500000000015</v>
      </c>
      <c r="T864" s="8">
        <f t="shared" si="40"/>
        <v>285.80499999999995</v>
      </c>
      <c r="U864" s="9">
        <f t="shared" si="41"/>
        <v>0.47097645982845399</v>
      </c>
    </row>
    <row r="865" spans="1:22" outlineLevel="2">
      <c r="A865" t="s">
        <v>314</v>
      </c>
      <c r="B865" t="s">
        <v>315</v>
      </c>
      <c r="C865" t="s">
        <v>49</v>
      </c>
      <c r="D865" t="s">
        <v>50</v>
      </c>
      <c r="E865" s="4">
        <v>0</v>
      </c>
      <c r="F865" s="4">
        <v>66.069999999999993</v>
      </c>
      <c r="G865" s="4">
        <v>39.82</v>
      </c>
      <c r="H865" s="4">
        <v>36.849999999999994</v>
      </c>
      <c r="I865" s="4">
        <v>36.849999999999994</v>
      </c>
      <c r="J865" s="4">
        <v>36.85</v>
      </c>
      <c r="K865" s="4">
        <v>530.55000000000007</v>
      </c>
      <c r="L865" s="4">
        <v>59.74</v>
      </c>
      <c r="M865" s="4">
        <v>0</v>
      </c>
      <c r="N865" s="4">
        <v>91.149999999999991</v>
      </c>
      <c r="O865" s="4">
        <v>-91.149999999999991</v>
      </c>
      <c r="P865" s="4">
        <v>1.609823385706477E-14</v>
      </c>
      <c r="Q865" s="4">
        <v>-6.6613381477509392E-16</v>
      </c>
      <c r="R865" s="4">
        <v>32.010000000000005</v>
      </c>
      <c r="S865" s="8">
        <f t="shared" si="39"/>
        <v>9.9566666666666688</v>
      </c>
      <c r="T865" s="8">
        <f t="shared" si="40"/>
        <v>22.053333333333335</v>
      </c>
      <c r="U865" s="9">
        <f t="shared" si="41"/>
        <v>2.2149313692668224</v>
      </c>
    </row>
    <row r="866" spans="1:22" outlineLevel="2">
      <c r="A866" t="s">
        <v>314</v>
      </c>
      <c r="B866" t="s">
        <v>315</v>
      </c>
      <c r="C866" t="s">
        <v>51</v>
      </c>
      <c r="D866" t="s">
        <v>52</v>
      </c>
      <c r="E866" s="4">
        <v>0</v>
      </c>
      <c r="F866" s="4">
        <v>0</v>
      </c>
      <c r="G866" s="4">
        <v>109.25</v>
      </c>
      <c r="H866" s="4">
        <v>0</v>
      </c>
      <c r="I866" s="4">
        <v>25</v>
      </c>
      <c r="J866" s="4">
        <v>0</v>
      </c>
      <c r="K866" s="4">
        <v>551.97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S866" s="8">
        <f t="shared" si="39"/>
        <v>0</v>
      </c>
      <c r="T866" s="8">
        <f t="shared" si="40"/>
        <v>0</v>
      </c>
      <c r="U866" s="9" t="e">
        <f t="shared" si="41"/>
        <v>#DIV/0!</v>
      </c>
    </row>
    <row r="867" spans="1:22" outlineLevel="2">
      <c r="A867" t="s">
        <v>314</v>
      </c>
      <c r="B867" t="s">
        <v>315</v>
      </c>
      <c r="C867" t="s">
        <v>164</v>
      </c>
      <c r="D867" t="s">
        <v>165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105</v>
      </c>
      <c r="M867" s="4">
        <v>140</v>
      </c>
      <c r="N867" s="4">
        <v>140</v>
      </c>
      <c r="O867" s="4">
        <v>-140</v>
      </c>
      <c r="P867" s="4">
        <v>0</v>
      </c>
      <c r="Q867" s="4">
        <v>0</v>
      </c>
      <c r="R867" s="4">
        <v>630</v>
      </c>
      <c r="S867" s="8">
        <f t="shared" si="39"/>
        <v>40.833333333333336</v>
      </c>
      <c r="T867" s="8">
        <f t="shared" si="40"/>
        <v>589.16666666666663</v>
      </c>
      <c r="U867" s="9">
        <f t="shared" si="41"/>
        <v>14.428571428571427</v>
      </c>
    </row>
    <row r="868" spans="1:22" outlineLevel="2">
      <c r="A868" t="s">
        <v>314</v>
      </c>
      <c r="B868" t="s">
        <v>315</v>
      </c>
      <c r="C868" t="s">
        <v>55</v>
      </c>
      <c r="D868" t="s">
        <v>56</v>
      </c>
      <c r="E868" s="4">
        <v>71.7</v>
      </c>
      <c r="F868" s="4">
        <v>141.75</v>
      </c>
      <c r="G868" s="4">
        <v>57.96</v>
      </c>
      <c r="H868" s="4">
        <v>162.88999999999999</v>
      </c>
      <c r="I868" s="4">
        <v>594.78</v>
      </c>
      <c r="J868" s="4">
        <v>216.74</v>
      </c>
      <c r="K868" s="4">
        <v>98.710000000000008</v>
      </c>
      <c r="L868" s="4">
        <v>443.93999999999994</v>
      </c>
      <c r="M868" s="4">
        <v>0</v>
      </c>
      <c r="N868" s="4">
        <v>27.5</v>
      </c>
      <c r="O868" s="4">
        <v>-27.5</v>
      </c>
      <c r="P868" s="4">
        <v>5.6843418860808015E-14</v>
      </c>
      <c r="Q868" s="4">
        <v>0</v>
      </c>
      <c r="R868" s="4">
        <v>6.24</v>
      </c>
      <c r="S868" s="8">
        <f t="shared" si="39"/>
        <v>73.989999999999995</v>
      </c>
      <c r="T868" s="8">
        <f t="shared" si="40"/>
        <v>-67.75</v>
      </c>
      <c r="U868" s="9">
        <f t="shared" si="41"/>
        <v>-0.91566427895661584</v>
      </c>
    </row>
    <row r="869" spans="1:22" outlineLevel="2">
      <c r="A869" t="s">
        <v>314</v>
      </c>
      <c r="B869" t="s">
        <v>315</v>
      </c>
      <c r="C869" t="s">
        <v>59</v>
      </c>
      <c r="D869" t="s">
        <v>60</v>
      </c>
      <c r="E869" s="4">
        <v>0</v>
      </c>
      <c r="F869" s="4">
        <v>0</v>
      </c>
      <c r="G869" s="4">
        <v>0</v>
      </c>
      <c r="H869" s="4">
        <v>1378.72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S869" s="8">
        <f t="shared" si="39"/>
        <v>0</v>
      </c>
      <c r="T869" s="8">
        <f t="shared" si="40"/>
        <v>0</v>
      </c>
      <c r="U869" s="9" t="e">
        <f t="shared" si="41"/>
        <v>#DIV/0!</v>
      </c>
    </row>
    <row r="870" spans="1:22" outlineLevel="2">
      <c r="A870" t="s">
        <v>314</v>
      </c>
      <c r="B870" t="s">
        <v>315</v>
      </c>
      <c r="C870" t="s">
        <v>274</v>
      </c>
      <c r="D870" t="s">
        <v>275</v>
      </c>
      <c r="E870" s="4">
        <v>106383.57999999999</v>
      </c>
      <c r="F870" s="4">
        <v>115388.22</v>
      </c>
      <c r="G870" s="4">
        <v>119232.56999999999</v>
      </c>
      <c r="H870" s="4">
        <v>120162.04000000001</v>
      </c>
      <c r="I870" s="4">
        <v>192898.24</v>
      </c>
      <c r="J870" s="4">
        <v>168122.06999999998</v>
      </c>
      <c r="K870" s="4">
        <v>50628.35</v>
      </c>
      <c r="L870" s="4">
        <v>39467.300000000003</v>
      </c>
      <c r="M870" s="4">
        <v>136774.77000000002</v>
      </c>
      <c r="N870" s="4">
        <v>79039.56</v>
      </c>
      <c r="O870" s="4">
        <v>-79039.560000000012</v>
      </c>
      <c r="P870" s="4">
        <v>2.9103830456733704E-11</v>
      </c>
      <c r="Q870" s="4">
        <v>4.0643044485477731E-12</v>
      </c>
      <c r="R870" s="4">
        <v>146422.34</v>
      </c>
      <c r="S870" s="8">
        <f t="shared" si="39"/>
        <v>29373.678333333341</v>
      </c>
      <c r="T870" s="8">
        <f t="shared" si="40"/>
        <v>117048.66166666665</v>
      </c>
      <c r="U870" s="9">
        <f t="shared" si="41"/>
        <v>3.9848145791751071</v>
      </c>
      <c r="V870" t="s">
        <v>896</v>
      </c>
    </row>
    <row r="871" spans="1:22" outlineLevel="2">
      <c r="A871" t="s">
        <v>314</v>
      </c>
      <c r="B871" t="s">
        <v>315</v>
      </c>
      <c r="C871" t="s">
        <v>63</v>
      </c>
      <c r="D871" t="s">
        <v>64</v>
      </c>
      <c r="E871" s="4">
        <v>52</v>
      </c>
      <c r="F871" s="4">
        <v>425.22999999999996</v>
      </c>
      <c r="G871" s="4">
        <v>52</v>
      </c>
      <c r="H871" s="4">
        <v>449.73</v>
      </c>
      <c r="I871" s="4">
        <v>236.81</v>
      </c>
      <c r="J871" s="4">
        <v>1691.84</v>
      </c>
      <c r="K871" s="4">
        <v>303.73</v>
      </c>
      <c r="L871" s="4">
        <v>1430.82</v>
      </c>
      <c r="M871" s="4">
        <v>27</v>
      </c>
      <c r="N871" s="4">
        <v>1354.52</v>
      </c>
      <c r="O871" s="4">
        <v>-1354.52</v>
      </c>
      <c r="P871" s="4">
        <v>-1.7763568394002505E-14</v>
      </c>
      <c r="Q871" s="4">
        <v>1.6342482922482304E-13</v>
      </c>
      <c r="R871" s="4">
        <v>106</v>
      </c>
      <c r="S871" s="8">
        <f t="shared" si="39"/>
        <v>242.97000000000006</v>
      </c>
      <c r="T871" s="8">
        <f t="shared" si="40"/>
        <v>-136.97000000000006</v>
      </c>
      <c r="U871" s="9">
        <f t="shared" si="41"/>
        <v>-0.56373214800181104</v>
      </c>
    </row>
    <row r="872" spans="1:22" outlineLevel="2">
      <c r="A872" t="s">
        <v>314</v>
      </c>
      <c r="B872" t="s">
        <v>315</v>
      </c>
      <c r="C872" t="s">
        <v>83</v>
      </c>
      <c r="D872" t="s">
        <v>84</v>
      </c>
      <c r="E872" s="4">
        <v>128.56</v>
      </c>
      <c r="F872" s="4">
        <v>45</v>
      </c>
      <c r="G872" s="4">
        <v>294.02</v>
      </c>
      <c r="H872" s="4">
        <v>45</v>
      </c>
      <c r="I872" s="4">
        <v>87.22</v>
      </c>
      <c r="J872" s="4">
        <v>241.93000000000004</v>
      </c>
      <c r="K872" s="4">
        <v>53.17</v>
      </c>
      <c r="L872" s="4">
        <v>181.25</v>
      </c>
      <c r="M872" s="4">
        <v>45</v>
      </c>
      <c r="N872" s="4">
        <v>131.21</v>
      </c>
      <c r="O872" s="4">
        <v>-131.20999999999998</v>
      </c>
      <c r="P872" s="4">
        <v>0</v>
      </c>
      <c r="Q872" s="4">
        <v>0</v>
      </c>
      <c r="R872" s="4">
        <v>186.43</v>
      </c>
      <c r="S872" s="8">
        <f t="shared" si="39"/>
        <v>37.708333333333343</v>
      </c>
      <c r="T872" s="8">
        <f t="shared" si="40"/>
        <v>148.72166666666666</v>
      </c>
      <c r="U872" s="9">
        <f t="shared" si="41"/>
        <v>3.9439999999999991</v>
      </c>
    </row>
    <row r="873" spans="1:22" outlineLevel="2">
      <c r="A873" t="s">
        <v>314</v>
      </c>
      <c r="B873" t="s">
        <v>315</v>
      </c>
      <c r="C873" t="s">
        <v>87</v>
      </c>
      <c r="D873" t="s">
        <v>88</v>
      </c>
      <c r="E873" s="4">
        <v>0</v>
      </c>
      <c r="F873" s="4">
        <v>3.46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>
        <v>2.8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S873" s="8">
        <f t="shared" si="39"/>
        <v>0.46666666666666662</v>
      </c>
      <c r="T873" s="8">
        <f t="shared" si="40"/>
        <v>-0.46666666666666662</v>
      </c>
      <c r="U873" s="9">
        <f t="shared" si="41"/>
        <v>-1</v>
      </c>
    </row>
    <row r="874" spans="1:22" outlineLevel="2">
      <c r="A874" t="s">
        <v>314</v>
      </c>
      <c r="B874" t="s">
        <v>315</v>
      </c>
      <c r="C874" t="s">
        <v>166</v>
      </c>
      <c r="D874" t="s">
        <v>167</v>
      </c>
      <c r="E874" s="4">
        <v>1590</v>
      </c>
      <c r="F874" s="4">
        <v>0</v>
      </c>
      <c r="G874" s="4">
        <v>0</v>
      </c>
      <c r="H874" s="4">
        <v>6300</v>
      </c>
      <c r="I874" s="4">
        <v>1782.21</v>
      </c>
      <c r="J874" s="4">
        <v>1550</v>
      </c>
      <c r="K874" s="4">
        <v>229.29999999999995</v>
      </c>
      <c r="L874" s="4">
        <v>0</v>
      </c>
      <c r="M874" s="4">
        <v>0</v>
      </c>
      <c r="N874" s="4">
        <v>6028.02</v>
      </c>
      <c r="O874" s="4">
        <v>-6028.02</v>
      </c>
      <c r="P874" s="4">
        <v>0</v>
      </c>
      <c r="Q874" s="4">
        <v>0</v>
      </c>
      <c r="R874" s="4">
        <v>2000</v>
      </c>
      <c r="S874" s="8">
        <f t="shared" si="39"/>
        <v>0</v>
      </c>
      <c r="T874" s="8">
        <f t="shared" si="40"/>
        <v>2000</v>
      </c>
      <c r="U874" s="9" t="e">
        <f t="shared" si="41"/>
        <v>#DIV/0!</v>
      </c>
      <c r="V874" t="s">
        <v>895</v>
      </c>
    </row>
    <row r="875" spans="1:22" outlineLevel="2">
      <c r="A875" t="s">
        <v>314</v>
      </c>
      <c r="B875" t="s">
        <v>315</v>
      </c>
      <c r="C875" t="s">
        <v>184</v>
      </c>
      <c r="D875" t="s">
        <v>185</v>
      </c>
      <c r="E875" s="4">
        <v>10503.75</v>
      </c>
      <c r="F875" s="4">
        <v>1191.74</v>
      </c>
      <c r="G875" s="4">
        <v>45452.19</v>
      </c>
      <c r="H875" s="4">
        <v>4506.25</v>
      </c>
      <c r="I875" s="4">
        <v>31932.32</v>
      </c>
      <c r="J875" s="4">
        <v>24084.210000000003</v>
      </c>
      <c r="K875" s="4">
        <v>9703.49</v>
      </c>
      <c r="L875" s="4">
        <v>19693.300000000003</v>
      </c>
      <c r="M875" s="4">
        <v>19716.79</v>
      </c>
      <c r="N875" s="4">
        <v>14362.71</v>
      </c>
      <c r="O875" s="4">
        <v>-14362.710000000001</v>
      </c>
      <c r="P875" s="4">
        <v>0</v>
      </c>
      <c r="Q875" s="4">
        <v>-5.6843418860808015E-13</v>
      </c>
      <c r="R875" s="4">
        <v>18281.719999999998</v>
      </c>
      <c r="S875" s="8">
        <f t="shared" si="39"/>
        <v>6568.3483333333343</v>
      </c>
      <c r="T875" s="8">
        <f t="shared" si="40"/>
        <v>11713.371666666662</v>
      </c>
      <c r="U875" s="9">
        <f t="shared" si="41"/>
        <v>1.7833054935931374</v>
      </c>
    </row>
    <row r="876" spans="1:22" outlineLevel="2">
      <c r="A876" t="s">
        <v>314</v>
      </c>
      <c r="B876" t="s">
        <v>315</v>
      </c>
      <c r="C876" t="s">
        <v>224</v>
      </c>
      <c r="D876" t="s">
        <v>225</v>
      </c>
      <c r="E876" s="4">
        <v>0</v>
      </c>
      <c r="F876" s="4">
        <v>0</v>
      </c>
      <c r="G876" s="4">
        <v>8250</v>
      </c>
      <c r="H876" s="4">
        <v>0</v>
      </c>
      <c r="I876" s="4">
        <v>6754.23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S876" s="8">
        <f t="shared" si="39"/>
        <v>0</v>
      </c>
      <c r="T876" s="8">
        <f t="shared" si="40"/>
        <v>0</v>
      </c>
      <c r="U876" s="9" t="e">
        <f t="shared" si="41"/>
        <v>#DIV/0!</v>
      </c>
    </row>
    <row r="877" spans="1:22" outlineLevel="2">
      <c r="A877" t="s">
        <v>314</v>
      </c>
      <c r="B877" t="s">
        <v>315</v>
      </c>
      <c r="C877" t="s">
        <v>168</v>
      </c>
      <c r="D877" t="s">
        <v>169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2494.6999999999998</v>
      </c>
      <c r="S877" s="8">
        <f t="shared" si="39"/>
        <v>0</v>
      </c>
      <c r="T877" s="8">
        <f t="shared" si="40"/>
        <v>2494.6999999999998</v>
      </c>
      <c r="U877" s="9" t="e">
        <f t="shared" si="41"/>
        <v>#DIV/0!</v>
      </c>
      <c r="V877" t="s">
        <v>895</v>
      </c>
    </row>
    <row r="878" spans="1:22" outlineLevel="2">
      <c r="A878" t="s">
        <v>314</v>
      </c>
      <c r="B878" t="s">
        <v>315</v>
      </c>
      <c r="C878" t="s">
        <v>101</v>
      </c>
      <c r="D878" t="s">
        <v>102</v>
      </c>
      <c r="E878" s="4">
        <v>43586.67</v>
      </c>
      <c r="F878" s="4">
        <v>95902.05</v>
      </c>
      <c r="G878" s="4">
        <v>32183.799999999996</v>
      </c>
      <c r="H878" s="4">
        <v>23611.19</v>
      </c>
      <c r="I878" s="4">
        <v>16146.529999999999</v>
      </c>
      <c r="J878" s="4">
        <v>41631.589999999997</v>
      </c>
      <c r="K878" s="4">
        <v>22106.27</v>
      </c>
      <c r="L878" s="4">
        <v>-45706.710000000006</v>
      </c>
      <c r="M878" s="4">
        <v>36727.249999999993</v>
      </c>
      <c r="N878" s="4">
        <v>18880.45</v>
      </c>
      <c r="O878" s="4">
        <v>-18880.45</v>
      </c>
      <c r="P878" s="4">
        <v>-1.1368683772161603E-13</v>
      </c>
      <c r="Q878" s="4">
        <v>0</v>
      </c>
      <c r="R878" s="4">
        <v>41770.089999999997</v>
      </c>
      <c r="S878" s="8">
        <f t="shared" si="39"/>
        <v>-1496.5766666666689</v>
      </c>
      <c r="T878" s="8">
        <f t="shared" si="40"/>
        <v>43266.666666666664</v>
      </c>
      <c r="U878" s="9">
        <f t="shared" si="41"/>
        <v>-28.910424457595401</v>
      </c>
      <c r="V878" t="s">
        <v>896</v>
      </c>
    </row>
    <row r="879" spans="1:22" outlineLevel="2">
      <c r="A879" t="s">
        <v>314</v>
      </c>
      <c r="B879" t="s">
        <v>315</v>
      </c>
      <c r="C879" t="s">
        <v>170</v>
      </c>
      <c r="D879" t="s">
        <v>171</v>
      </c>
      <c r="E879" s="4">
        <v>1395</v>
      </c>
      <c r="F879" s="4">
        <v>900</v>
      </c>
      <c r="G879" s="4">
        <v>900</v>
      </c>
      <c r="H879" s="4">
        <v>810</v>
      </c>
      <c r="I879" s="4">
        <v>720</v>
      </c>
      <c r="J879" s="4">
        <v>720</v>
      </c>
      <c r="K879" s="4">
        <v>765</v>
      </c>
      <c r="L879" s="4">
        <v>1215</v>
      </c>
      <c r="M879" s="4">
        <v>810</v>
      </c>
      <c r="N879" s="4">
        <v>810</v>
      </c>
      <c r="O879" s="4">
        <v>-810</v>
      </c>
      <c r="P879" s="4">
        <v>0</v>
      </c>
      <c r="Q879" s="4">
        <v>0</v>
      </c>
      <c r="S879" s="8">
        <f t="shared" si="39"/>
        <v>337.5</v>
      </c>
      <c r="T879" s="8">
        <f t="shared" si="40"/>
        <v>-337.5</v>
      </c>
      <c r="U879" s="9">
        <f t="shared" si="41"/>
        <v>-1</v>
      </c>
    </row>
    <row r="880" spans="1:22" outlineLevel="2">
      <c r="A880" t="s">
        <v>314</v>
      </c>
      <c r="B880" t="s">
        <v>315</v>
      </c>
      <c r="C880" t="s">
        <v>127</v>
      </c>
      <c r="D880" t="s">
        <v>120</v>
      </c>
      <c r="E880" s="4">
        <v>0</v>
      </c>
      <c r="F880" s="4">
        <v>0</v>
      </c>
      <c r="G880" s="4">
        <v>59.17</v>
      </c>
      <c r="H880" s="4">
        <v>20289.5</v>
      </c>
      <c r="I880" s="4">
        <v>0</v>
      </c>
      <c r="J880" s="4">
        <v>1.08</v>
      </c>
      <c r="K880" s="4">
        <v>20349</v>
      </c>
      <c r="L880" s="4">
        <v>187.75</v>
      </c>
      <c r="M880" s="4">
        <v>115.75</v>
      </c>
      <c r="N880" s="4">
        <v>0</v>
      </c>
      <c r="O880" s="4">
        <v>0</v>
      </c>
      <c r="P880" s="4">
        <v>0</v>
      </c>
      <c r="Q880" s="4">
        <v>0</v>
      </c>
      <c r="S880" s="8">
        <f t="shared" si="39"/>
        <v>50.583333333333336</v>
      </c>
      <c r="T880" s="8">
        <f t="shared" si="40"/>
        <v>-50.583333333333336</v>
      </c>
      <c r="U880" s="9">
        <f t="shared" si="41"/>
        <v>-1</v>
      </c>
    </row>
    <row r="881" spans="1:22" outlineLevel="2">
      <c r="A881" t="s">
        <v>314</v>
      </c>
      <c r="B881" t="s">
        <v>315</v>
      </c>
      <c r="C881" t="s">
        <v>190</v>
      </c>
      <c r="D881" t="s">
        <v>191</v>
      </c>
      <c r="E881" s="4">
        <v>0</v>
      </c>
      <c r="F881" s="4">
        <v>0</v>
      </c>
      <c r="G881" s="4">
        <v>0</v>
      </c>
      <c r="H881" s="4">
        <v>0</v>
      </c>
      <c r="I881" s="4">
        <v>40921.620000000003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S881" s="8">
        <f t="shared" si="39"/>
        <v>0</v>
      </c>
      <c r="T881" s="8">
        <f t="shared" si="40"/>
        <v>0</v>
      </c>
      <c r="U881" s="9" t="e">
        <f t="shared" si="41"/>
        <v>#DIV/0!</v>
      </c>
    </row>
    <row r="882" spans="1:22" outlineLevel="1">
      <c r="A882" s="1" t="s">
        <v>719</v>
      </c>
      <c r="E882" s="4">
        <f>SUBTOTAL(9,E849:E881)</f>
        <v>470383.95000000007</v>
      </c>
      <c r="F882" s="4">
        <f>SUBTOTAL(9,F849:F881)</f>
        <v>520937.41000000003</v>
      </c>
      <c r="G882" s="4">
        <f>SUBTOTAL(9,G849:G881)</f>
        <v>568353.56000000006</v>
      </c>
      <c r="H882" s="4">
        <f>SUBTOTAL(9,H849:H881)</f>
        <v>508066.32</v>
      </c>
      <c r="I882" s="4">
        <f>SUBTOTAL(9,I849:I881)</f>
        <v>630362.09</v>
      </c>
      <c r="J882" s="4">
        <f>SUBTOTAL(9,J849:J881)</f>
        <v>563877.1</v>
      </c>
      <c r="K882" s="4">
        <f>SUBTOTAL(9,K849:K881)</f>
        <v>436759.6399999999</v>
      </c>
      <c r="L882" s="4">
        <f>SUBTOTAL(9,L849:L881)</f>
        <v>336421.90999999992</v>
      </c>
      <c r="M882" s="4">
        <f>SUBTOTAL(9,M849:M881)</f>
        <v>583873.78</v>
      </c>
      <c r="N882" s="4">
        <f>SUBTOTAL(9,N849:N881)</f>
        <v>490699.49000000005</v>
      </c>
      <c r="O882" s="4">
        <f>SUBTOTAL(9,O849:O881)</f>
        <v>-457366.49000000011</v>
      </c>
      <c r="P882" s="4">
        <f>SUBTOTAL(9,P849:P881)</f>
        <v>158335.31</v>
      </c>
      <c r="Q882" s="4">
        <f>SUBTOTAL(9,Q849:Q881)</f>
        <v>8.3066886702454212E-13</v>
      </c>
      <c r="R882" s="4">
        <f>SUBTOTAL(9,R849:R881)</f>
        <v>425434.42999999993</v>
      </c>
      <c r="S882" s="8">
        <f t="shared" si="39"/>
        <v>185327.33333333328</v>
      </c>
      <c r="T882" s="8">
        <f t="shared" si="40"/>
        <v>240107.09666666665</v>
      </c>
      <c r="U882" s="9">
        <f t="shared" si="41"/>
        <v>1.2955838318506716</v>
      </c>
      <c r="V882" t="s">
        <v>896</v>
      </c>
    </row>
    <row r="883" spans="1:22" outlineLevel="2">
      <c r="A883" t="s">
        <v>316</v>
      </c>
      <c r="B883" t="s">
        <v>317</v>
      </c>
      <c r="C883" t="s">
        <v>111</v>
      </c>
      <c r="D883" t="s">
        <v>112</v>
      </c>
      <c r="E883" s="4">
        <v>0</v>
      </c>
      <c r="F883" s="4">
        <v>0</v>
      </c>
      <c r="G883" s="4">
        <v>0</v>
      </c>
      <c r="H883" s="4">
        <v>-10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S883" s="8">
        <f t="shared" si="39"/>
        <v>0</v>
      </c>
      <c r="T883" s="8">
        <f t="shared" si="40"/>
        <v>0</v>
      </c>
      <c r="U883" s="9" t="e">
        <f t="shared" si="41"/>
        <v>#DIV/0!</v>
      </c>
    </row>
    <row r="884" spans="1:22" outlineLevel="1">
      <c r="A884" s="1" t="s">
        <v>720</v>
      </c>
      <c r="E884" s="4">
        <f>SUBTOTAL(9,E883:E883)</f>
        <v>0</v>
      </c>
      <c r="F884" s="4">
        <f>SUBTOTAL(9,F883:F883)</f>
        <v>0</v>
      </c>
      <c r="G884" s="4">
        <f>SUBTOTAL(9,G883:G883)</f>
        <v>0</v>
      </c>
      <c r="H884" s="4">
        <f>SUBTOTAL(9,H883:H883)</f>
        <v>-10</v>
      </c>
      <c r="I884" s="4">
        <f>SUBTOTAL(9,I883:I883)</f>
        <v>0</v>
      </c>
      <c r="J884" s="4">
        <f>SUBTOTAL(9,J883:J883)</f>
        <v>0</v>
      </c>
      <c r="K884" s="4">
        <f>SUBTOTAL(9,K883:K883)</f>
        <v>0</v>
      </c>
      <c r="L884" s="4">
        <f>SUBTOTAL(9,L883:L883)</f>
        <v>0</v>
      </c>
      <c r="M884" s="4">
        <f>SUBTOTAL(9,M883:M883)</f>
        <v>0</v>
      </c>
      <c r="N884" s="4">
        <f>SUBTOTAL(9,N883:N883)</f>
        <v>0</v>
      </c>
      <c r="O884" s="4">
        <f>SUBTOTAL(9,O883:O883)</f>
        <v>0</v>
      </c>
      <c r="P884" s="4">
        <f>SUBTOTAL(9,P883:P883)</f>
        <v>0</v>
      </c>
      <c r="Q884" s="4">
        <f>SUBTOTAL(9,Q883:Q883)</f>
        <v>0</v>
      </c>
      <c r="R884" s="4">
        <f>SUBTOTAL(9,R883:R883)</f>
        <v>0</v>
      </c>
      <c r="S884" s="8">
        <f t="shared" si="39"/>
        <v>0</v>
      </c>
      <c r="T884" s="8">
        <f t="shared" si="40"/>
        <v>0</v>
      </c>
      <c r="U884" s="9" t="e">
        <f t="shared" si="41"/>
        <v>#DIV/0!</v>
      </c>
    </row>
    <row r="885" spans="1:22" outlineLevel="2">
      <c r="A885" t="s">
        <v>318</v>
      </c>
      <c r="B885" t="s">
        <v>319</v>
      </c>
      <c r="C885" t="s">
        <v>21</v>
      </c>
      <c r="D885" t="s">
        <v>22</v>
      </c>
      <c r="E885" s="4">
        <v>-1.4210854715202004E-14</v>
      </c>
      <c r="F885" s="4">
        <v>0</v>
      </c>
      <c r="G885" s="4">
        <v>2.8421709430404007E-14</v>
      </c>
      <c r="H885" s="4">
        <v>7.1054273576010019E-15</v>
      </c>
      <c r="I885" s="4">
        <v>5.6843418860808015E-14</v>
      </c>
      <c r="J885" s="4">
        <v>-2.8421709430404007E-14</v>
      </c>
      <c r="K885" s="4">
        <v>-3.907985046680551E-14</v>
      </c>
      <c r="L885" s="4">
        <v>-7.1054273576010019E-15</v>
      </c>
      <c r="M885" s="4">
        <v>1.7763568394002505E-15</v>
      </c>
      <c r="N885" s="4">
        <v>0</v>
      </c>
      <c r="O885" s="4">
        <v>0</v>
      </c>
      <c r="P885" s="4">
        <v>0</v>
      </c>
      <c r="Q885" s="4">
        <v>4.2632564145606011E-14</v>
      </c>
      <c r="R885" s="4">
        <v>90.52</v>
      </c>
      <c r="S885" s="8">
        <f t="shared" si="39"/>
        <v>6.2172489379008766E-15</v>
      </c>
      <c r="T885" s="8">
        <f t="shared" si="40"/>
        <v>90.52</v>
      </c>
      <c r="U885" s="9">
        <f t="shared" si="41"/>
        <v>1.4559494223913474E+16</v>
      </c>
      <c r="V885" t="s">
        <v>895</v>
      </c>
    </row>
    <row r="886" spans="1:22" outlineLevel="2">
      <c r="A886" t="s">
        <v>318</v>
      </c>
      <c r="B886" t="s">
        <v>319</v>
      </c>
      <c r="C886" t="s">
        <v>23</v>
      </c>
      <c r="D886" t="s">
        <v>24</v>
      </c>
      <c r="E886" s="4">
        <v>0</v>
      </c>
      <c r="F886" s="4">
        <v>0</v>
      </c>
      <c r="G886" s="4">
        <v>0</v>
      </c>
      <c r="H886" s="4">
        <v>0</v>
      </c>
      <c r="I886" s="4">
        <v>0</v>
      </c>
      <c r="J886" s="4">
        <v>-2.2737367544323206E-13</v>
      </c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S886" s="8">
        <f t="shared" si="39"/>
        <v>0</v>
      </c>
      <c r="T886" s="8">
        <f t="shared" si="40"/>
        <v>0</v>
      </c>
      <c r="U886" s="9" t="e">
        <f t="shared" si="41"/>
        <v>#DIV/0!</v>
      </c>
    </row>
    <row r="887" spans="1:22" outlineLevel="2">
      <c r="A887" t="s">
        <v>318</v>
      </c>
      <c r="B887" t="s">
        <v>319</v>
      </c>
      <c r="C887" t="s">
        <v>25</v>
      </c>
      <c r="D887" t="s">
        <v>26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5.6843418860808015E-14</v>
      </c>
      <c r="P887" s="4">
        <v>0</v>
      </c>
      <c r="Q887" s="4">
        <v>1.4210854715202004E-14</v>
      </c>
      <c r="S887" s="8">
        <f t="shared" si="39"/>
        <v>1.1842378929335004E-14</v>
      </c>
      <c r="T887" s="8">
        <f t="shared" si="40"/>
        <v>-1.1842378929335004E-14</v>
      </c>
      <c r="U887" s="9">
        <f t="shared" si="41"/>
        <v>-1</v>
      </c>
    </row>
    <row r="888" spans="1:22" outlineLevel="2">
      <c r="A888" t="s">
        <v>318</v>
      </c>
      <c r="B888" t="s">
        <v>319</v>
      </c>
      <c r="C888" t="s">
        <v>27</v>
      </c>
      <c r="D888" t="s">
        <v>28</v>
      </c>
      <c r="E888" s="4">
        <v>0</v>
      </c>
      <c r="F888" s="4">
        <v>0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1.1368683772161603E-13</v>
      </c>
      <c r="S888" s="8">
        <f t="shared" si="39"/>
        <v>1.8947806286936004E-14</v>
      </c>
      <c r="T888" s="8">
        <f t="shared" si="40"/>
        <v>-1.8947806286936004E-14</v>
      </c>
      <c r="U888" s="9">
        <f t="shared" si="41"/>
        <v>-1</v>
      </c>
    </row>
    <row r="889" spans="1:22" outlineLevel="2">
      <c r="A889" t="s">
        <v>318</v>
      </c>
      <c r="B889" t="s">
        <v>319</v>
      </c>
      <c r="C889" t="s">
        <v>136</v>
      </c>
      <c r="D889" t="s">
        <v>137</v>
      </c>
      <c r="E889" s="4">
        <v>5.8207660913467407E-11</v>
      </c>
      <c r="F889" s="4">
        <v>0</v>
      </c>
      <c r="G889" s="4">
        <v>0</v>
      </c>
      <c r="H889" s="4">
        <v>5.8207660913467407E-11</v>
      </c>
      <c r="I889" s="4">
        <v>0</v>
      </c>
      <c r="J889" s="4">
        <v>0</v>
      </c>
      <c r="K889" s="4">
        <v>-6.184563972055912E-11</v>
      </c>
      <c r="L889" s="4">
        <v>0</v>
      </c>
      <c r="M889" s="4">
        <v>2.5465851649641991E-11</v>
      </c>
      <c r="N889" s="4">
        <v>-5.8207660913467407E-11</v>
      </c>
      <c r="O889" s="4">
        <v>-1.1641532182693481E-10</v>
      </c>
      <c r="P889" s="4">
        <v>1.1641532182693481E-10</v>
      </c>
      <c r="Q889" s="4">
        <v>0</v>
      </c>
      <c r="R889" s="4">
        <v>496407.27</v>
      </c>
      <c r="S889" s="8">
        <f t="shared" si="39"/>
        <v>-5.4569682106375694E-12</v>
      </c>
      <c r="T889" s="8">
        <f t="shared" si="40"/>
        <v>496407.27</v>
      </c>
      <c r="U889" s="9">
        <f t="shared" si="41"/>
        <v>-9.096759424625672E+16</v>
      </c>
      <c r="V889" t="s">
        <v>895</v>
      </c>
    </row>
    <row r="890" spans="1:22" outlineLevel="2">
      <c r="A890" t="s">
        <v>318</v>
      </c>
      <c r="B890" t="s">
        <v>319</v>
      </c>
      <c r="C890" t="s">
        <v>138</v>
      </c>
      <c r="D890" t="s">
        <v>139</v>
      </c>
      <c r="E890" s="4">
        <v>-7.2759576141834259E-12</v>
      </c>
      <c r="F890" s="4">
        <v>0</v>
      </c>
      <c r="G890" s="4">
        <v>0</v>
      </c>
      <c r="H890" s="4">
        <v>3.637978807091713E-12</v>
      </c>
      <c r="I890" s="4">
        <v>0</v>
      </c>
      <c r="J890" s="4">
        <v>0</v>
      </c>
      <c r="K890" s="4">
        <v>-3.637978807091713E-12</v>
      </c>
      <c r="L890" s="4">
        <v>0</v>
      </c>
      <c r="M890" s="4">
        <v>0</v>
      </c>
      <c r="N890" s="4">
        <v>0</v>
      </c>
      <c r="O890" s="4">
        <v>3.637978807091713E-12</v>
      </c>
      <c r="P890" s="4">
        <v>-3.637978807091713E-12</v>
      </c>
      <c r="Q890" s="4">
        <v>2.7284841053187847E-12</v>
      </c>
      <c r="R890" s="4">
        <v>23478.550000000003</v>
      </c>
      <c r="S890" s="8">
        <f t="shared" si="39"/>
        <v>4.5474735088646412E-13</v>
      </c>
      <c r="T890" s="8">
        <f t="shared" si="40"/>
        <v>23478.550000000003</v>
      </c>
      <c r="U890" s="9">
        <f t="shared" si="41"/>
        <v>5.1629877456640416E+16</v>
      </c>
      <c r="V890" t="s">
        <v>895</v>
      </c>
    </row>
    <row r="891" spans="1:22" outlineLevel="2">
      <c r="A891" t="s">
        <v>318</v>
      </c>
      <c r="B891" t="s">
        <v>319</v>
      </c>
      <c r="C891" t="s">
        <v>29</v>
      </c>
      <c r="D891" t="s">
        <v>30</v>
      </c>
      <c r="E891" s="4">
        <v>0</v>
      </c>
      <c r="F891" s="4">
        <v>0</v>
      </c>
      <c r="G891" s="4">
        <v>0</v>
      </c>
      <c r="H891" s="4">
        <v>0</v>
      </c>
      <c r="I891" s="4">
        <v>0</v>
      </c>
      <c r="J891" s="4">
        <v>2.2737367544323206E-13</v>
      </c>
      <c r="K891" s="4">
        <v>-4.5474735088646412E-13</v>
      </c>
      <c r="L891" s="4">
        <v>0</v>
      </c>
      <c r="M891" s="4">
        <v>-2.2737367544323206E-13</v>
      </c>
      <c r="N891" s="4">
        <v>9.0949470177292824E-13</v>
      </c>
      <c r="O891" s="4">
        <v>0</v>
      </c>
      <c r="P891" s="4">
        <v>0</v>
      </c>
      <c r="Q891" s="4">
        <v>2.2737367544323206E-13</v>
      </c>
      <c r="R891" s="4">
        <v>5991.17</v>
      </c>
      <c r="S891" s="8">
        <f t="shared" si="39"/>
        <v>1.5158245029548803E-13</v>
      </c>
      <c r="T891" s="8">
        <f t="shared" si="40"/>
        <v>5991.17</v>
      </c>
      <c r="U891" s="9">
        <f t="shared" si="41"/>
        <v>3.9524166473896432E+16</v>
      </c>
      <c r="V891" t="s">
        <v>895</v>
      </c>
    </row>
    <row r="892" spans="1:22" outlineLevel="2">
      <c r="A892" t="s">
        <v>318</v>
      </c>
      <c r="B892" t="s">
        <v>319</v>
      </c>
      <c r="C892" t="s">
        <v>142</v>
      </c>
      <c r="D892" t="s">
        <v>143</v>
      </c>
      <c r="E892" s="4">
        <v>0</v>
      </c>
      <c r="F892" s="4">
        <v>0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0</v>
      </c>
      <c r="M892" s="4">
        <v>6000</v>
      </c>
      <c r="N892" s="4">
        <v>6000</v>
      </c>
      <c r="O892" s="4">
        <v>0</v>
      </c>
      <c r="P892" s="4">
        <v>0</v>
      </c>
      <c r="Q892" s="4">
        <v>2000</v>
      </c>
      <c r="S892" s="8">
        <f t="shared" si="39"/>
        <v>2333.3333333333335</v>
      </c>
      <c r="T892" s="8">
        <f t="shared" si="40"/>
        <v>-2333.3333333333335</v>
      </c>
      <c r="U892" s="9">
        <f t="shared" si="41"/>
        <v>-1</v>
      </c>
    </row>
    <row r="893" spans="1:22" outlineLevel="2">
      <c r="A893" t="s">
        <v>318</v>
      </c>
      <c r="B893" t="s">
        <v>319</v>
      </c>
      <c r="C893" t="s">
        <v>144</v>
      </c>
      <c r="D893" t="s">
        <v>145</v>
      </c>
      <c r="E893" s="4">
        <v>-4.5474735088646412E-13</v>
      </c>
      <c r="F893" s="4">
        <v>0</v>
      </c>
      <c r="G893" s="4">
        <v>3.637978807091713E-12</v>
      </c>
      <c r="H893" s="4">
        <v>3.637978807091713E-12</v>
      </c>
      <c r="I893" s="4">
        <v>0</v>
      </c>
      <c r="J893" s="4">
        <v>3.637978807091713E-12</v>
      </c>
      <c r="K893" s="4">
        <v>-2.0463630789890885E-12</v>
      </c>
      <c r="L893" s="4">
        <v>0</v>
      </c>
      <c r="M893" s="4">
        <v>0</v>
      </c>
      <c r="N893" s="4">
        <v>3.637978807091713E-12</v>
      </c>
      <c r="O893" s="4">
        <v>-3.637978807091713E-12</v>
      </c>
      <c r="P893" s="4">
        <v>0</v>
      </c>
      <c r="Q893" s="4">
        <v>1.8189894035458565E-12</v>
      </c>
      <c r="R893" s="4">
        <v>-25389.52</v>
      </c>
      <c r="S893" s="8">
        <f t="shared" si="39"/>
        <v>3.0316490059097606E-13</v>
      </c>
      <c r="T893" s="8">
        <f t="shared" si="40"/>
        <v>-25389.52</v>
      </c>
      <c r="U893" s="9">
        <f t="shared" si="41"/>
        <v>-8.3748217390953936E+16</v>
      </c>
      <c r="V893" t="s">
        <v>897</v>
      </c>
    </row>
    <row r="894" spans="1:22" outlineLevel="2">
      <c r="A894" t="s">
        <v>318</v>
      </c>
      <c r="B894" t="s">
        <v>319</v>
      </c>
      <c r="C894" t="s">
        <v>146</v>
      </c>
      <c r="D894" t="s">
        <v>147</v>
      </c>
      <c r="E894" s="4">
        <v>-3.637978807091713E-12</v>
      </c>
      <c r="F894" s="4">
        <v>0</v>
      </c>
      <c r="G894" s="4">
        <v>0</v>
      </c>
      <c r="H894" s="4">
        <v>-3.637978807091713E-12</v>
      </c>
      <c r="I894" s="4">
        <v>0</v>
      </c>
      <c r="J894" s="4">
        <v>0</v>
      </c>
      <c r="K894" s="4">
        <v>0</v>
      </c>
      <c r="L894" s="4">
        <v>-7.2759576141834259E-12</v>
      </c>
      <c r="M894" s="4">
        <v>0</v>
      </c>
      <c r="N894" s="4">
        <v>0</v>
      </c>
      <c r="O894" s="4">
        <v>0</v>
      </c>
      <c r="P894" s="4">
        <v>0</v>
      </c>
      <c r="Q894" s="4">
        <v>1.4551915228366852E-11</v>
      </c>
      <c r="R894" s="4">
        <v>45842.36</v>
      </c>
      <c r="S894" s="8">
        <f t="shared" si="39"/>
        <v>1.2126596023639042E-12</v>
      </c>
      <c r="T894" s="8">
        <f t="shared" si="40"/>
        <v>45842.36</v>
      </c>
      <c r="U894" s="9">
        <f t="shared" si="41"/>
        <v>3.7803155898520048E+16</v>
      </c>
      <c r="V894" t="s">
        <v>895</v>
      </c>
    </row>
    <row r="895" spans="1:22" outlineLevel="2">
      <c r="A895" t="s">
        <v>318</v>
      </c>
      <c r="B895" t="s">
        <v>319</v>
      </c>
      <c r="C895" t="s">
        <v>150</v>
      </c>
      <c r="D895" t="s">
        <v>151</v>
      </c>
      <c r="E895" s="4">
        <v>0</v>
      </c>
      <c r="F895" s="4">
        <v>0</v>
      </c>
      <c r="G895" s="4">
        <v>34338.459999999992</v>
      </c>
      <c r="H895" s="4">
        <v>94357.85</v>
      </c>
      <c r="I895" s="4">
        <v>40511.94</v>
      </c>
      <c r="J895" s="4">
        <v>53684.4</v>
      </c>
      <c r="K895" s="4">
        <v>26230.06</v>
      </c>
      <c r="L895" s="4">
        <v>26230.06</v>
      </c>
      <c r="M895" s="4">
        <v>53168.520000000004</v>
      </c>
      <c r="N895" s="4">
        <v>26865.38</v>
      </c>
      <c r="O895" s="4">
        <v>25265.38</v>
      </c>
      <c r="P895" s="4">
        <v>84249.99</v>
      </c>
      <c r="Q895" s="4">
        <v>200</v>
      </c>
      <c r="R895" s="4">
        <v>32872.959999999999</v>
      </c>
      <c r="S895" s="8">
        <f t="shared" si="39"/>
        <v>35996.555</v>
      </c>
      <c r="T895" s="8">
        <f t="shared" si="40"/>
        <v>-3123.5950000000012</v>
      </c>
      <c r="U895" s="9">
        <f t="shared" si="41"/>
        <v>-8.6774831647084036E-2</v>
      </c>
    </row>
    <row r="896" spans="1:22" outlineLevel="2">
      <c r="A896" t="s">
        <v>318</v>
      </c>
      <c r="B896" t="s">
        <v>319</v>
      </c>
      <c r="C896" t="s">
        <v>152</v>
      </c>
      <c r="D896" t="s">
        <v>153</v>
      </c>
      <c r="E896" s="4">
        <v>-8.1854523159563541E-12</v>
      </c>
      <c r="F896" s="4">
        <v>0</v>
      </c>
      <c r="G896" s="4">
        <v>0</v>
      </c>
      <c r="H896" s="4">
        <v>3.637978807091713E-12</v>
      </c>
      <c r="I896" s="4">
        <v>0</v>
      </c>
      <c r="J896" s="4">
        <v>0</v>
      </c>
      <c r="K896" s="4">
        <v>-2.7284841053187847E-12</v>
      </c>
      <c r="L896" s="4">
        <v>0</v>
      </c>
      <c r="M896" s="4">
        <v>1.0913936421275139E-11</v>
      </c>
      <c r="N896" s="4">
        <v>-7.2759576141834259E-12</v>
      </c>
      <c r="O896" s="4">
        <v>0</v>
      </c>
      <c r="P896" s="4">
        <v>0</v>
      </c>
      <c r="Q896" s="4">
        <v>-3.637978807091713E-12</v>
      </c>
      <c r="R896" s="4">
        <v>38594.830000000009</v>
      </c>
      <c r="S896" s="8">
        <f t="shared" si="39"/>
        <v>0</v>
      </c>
      <c r="T896" s="8">
        <f t="shared" si="40"/>
        <v>38594.830000000009</v>
      </c>
      <c r="U896" s="9" t="e">
        <f t="shared" si="41"/>
        <v>#DIV/0!</v>
      </c>
      <c r="V896" t="s">
        <v>895</v>
      </c>
    </row>
    <row r="897" spans="1:22" outlineLevel="2">
      <c r="A897" t="s">
        <v>318</v>
      </c>
      <c r="B897" t="s">
        <v>319</v>
      </c>
      <c r="C897" t="s">
        <v>154</v>
      </c>
      <c r="D897" t="s">
        <v>155</v>
      </c>
      <c r="E897" s="4">
        <v>-1.7621459846850485E-12</v>
      </c>
      <c r="F897" s="4">
        <v>2.2737367544323206E-13</v>
      </c>
      <c r="G897" s="4">
        <v>0</v>
      </c>
      <c r="H897" s="4">
        <v>0</v>
      </c>
      <c r="I897" s="4">
        <v>0</v>
      </c>
      <c r="J897" s="4">
        <v>0</v>
      </c>
      <c r="K897" s="4">
        <v>5.6843418860808015E-14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-1.3642420526593924E-12</v>
      </c>
      <c r="R897" s="4">
        <v>414.26000000000005</v>
      </c>
      <c r="S897" s="8">
        <f t="shared" si="39"/>
        <v>-2.2737367544323206E-13</v>
      </c>
      <c r="T897" s="8">
        <f t="shared" si="40"/>
        <v>414.26000000000028</v>
      </c>
      <c r="U897" s="9">
        <f t="shared" si="41"/>
        <v>-1821934747689944.3</v>
      </c>
      <c r="V897" t="s">
        <v>895</v>
      </c>
    </row>
    <row r="898" spans="1:22" outlineLevel="2">
      <c r="A898" t="s">
        <v>318</v>
      </c>
      <c r="B898" t="s">
        <v>319</v>
      </c>
      <c r="C898" t="s">
        <v>304</v>
      </c>
      <c r="D898" t="s">
        <v>305</v>
      </c>
      <c r="E898" s="4">
        <v>0</v>
      </c>
      <c r="F898" s="4">
        <v>0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75</v>
      </c>
      <c r="S898" s="8">
        <f t="shared" si="39"/>
        <v>0</v>
      </c>
      <c r="T898" s="8">
        <f t="shared" si="40"/>
        <v>75</v>
      </c>
      <c r="U898" s="9" t="e">
        <f t="shared" si="41"/>
        <v>#DIV/0!</v>
      </c>
      <c r="V898" t="s">
        <v>895</v>
      </c>
    </row>
    <row r="899" spans="1:22" outlineLevel="2">
      <c r="A899" t="s">
        <v>318</v>
      </c>
      <c r="B899" t="s">
        <v>319</v>
      </c>
      <c r="C899" t="s">
        <v>180</v>
      </c>
      <c r="D899" t="s">
        <v>181</v>
      </c>
      <c r="E899" s="4">
        <v>0</v>
      </c>
      <c r="F899" s="4">
        <v>0</v>
      </c>
      <c r="G899" s="4">
        <v>0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175</v>
      </c>
      <c r="S899" s="8">
        <f t="shared" ref="S899:S962" si="42">AVERAGE(L899:Q899)</f>
        <v>0</v>
      </c>
      <c r="T899" s="8">
        <f t="shared" ref="T899:T962" si="43">R899-S899</f>
        <v>175</v>
      </c>
      <c r="U899" s="9" t="e">
        <f t="shared" ref="U899:U962" si="44">(R899-S899)/S899</f>
        <v>#DIV/0!</v>
      </c>
      <c r="V899" t="s">
        <v>895</v>
      </c>
    </row>
    <row r="900" spans="1:22" outlineLevel="2">
      <c r="A900" t="s">
        <v>318</v>
      </c>
      <c r="B900" t="s">
        <v>319</v>
      </c>
      <c r="C900" t="s">
        <v>158</v>
      </c>
      <c r="D900" t="s">
        <v>159</v>
      </c>
      <c r="E900" s="4">
        <v>0</v>
      </c>
      <c r="F900" s="4">
        <v>0</v>
      </c>
      <c r="G900" s="4">
        <v>28409.8</v>
      </c>
      <c r="H900" s="4">
        <v>712.91000000000008</v>
      </c>
      <c r="I900" s="4">
        <v>0</v>
      </c>
      <c r="J900" s="4">
        <v>17330.66</v>
      </c>
      <c r="K900" s="4">
        <v>0</v>
      </c>
      <c r="L900" s="4">
        <v>0</v>
      </c>
      <c r="M900" s="4">
        <v>19562.73</v>
      </c>
      <c r="N900" s="4">
        <v>0</v>
      </c>
      <c r="O900" s="4">
        <v>0</v>
      </c>
      <c r="P900" s="4">
        <v>12582.059999999998</v>
      </c>
      <c r="Q900" s="4">
        <v>0</v>
      </c>
      <c r="S900" s="8">
        <f t="shared" si="42"/>
        <v>5357.4649999999992</v>
      </c>
      <c r="T900" s="8">
        <f t="shared" si="43"/>
        <v>-5357.4649999999992</v>
      </c>
      <c r="U900" s="9">
        <f t="shared" si="44"/>
        <v>-1</v>
      </c>
    </row>
    <row r="901" spans="1:22" outlineLevel="2">
      <c r="A901" t="s">
        <v>318</v>
      </c>
      <c r="B901" t="s">
        <v>319</v>
      </c>
      <c r="C901" t="s">
        <v>160</v>
      </c>
      <c r="D901" t="s">
        <v>161</v>
      </c>
      <c r="E901" s="4">
        <v>0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4756.58</v>
      </c>
      <c r="N901" s="4">
        <v>0</v>
      </c>
      <c r="O901" s="4">
        <v>0</v>
      </c>
      <c r="P901" s="4">
        <v>1972.87</v>
      </c>
      <c r="Q901" s="4">
        <v>0</v>
      </c>
      <c r="S901" s="8">
        <f t="shared" si="42"/>
        <v>1121.575</v>
      </c>
      <c r="T901" s="8">
        <f t="shared" si="43"/>
        <v>-1121.575</v>
      </c>
      <c r="U901" s="9">
        <f t="shared" si="44"/>
        <v>-1</v>
      </c>
    </row>
    <row r="902" spans="1:22" outlineLevel="2">
      <c r="A902" t="s">
        <v>318</v>
      </c>
      <c r="B902" t="s">
        <v>319</v>
      </c>
      <c r="C902" t="s">
        <v>47</v>
      </c>
      <c r="D902" t="s">
        <v>48</v>
      </c>
      <c r="E902" s="4">
        <v>0</v>
      </c>
      <c r="F902" s="4">
        <v>21.69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>
        <v>-21.69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S902" s="8">
        <f t="shared" si="42"/>
        <v>-3.6150000000000002</v>
      </c>
      <c r="T902" s="8">
        <f t="shared" si="43"/>
        <v>3.6150000000000002</v>
      </c>
      <c r="U902" s="9">
        <f t="shared" si="44"/>
        <v>-1</v>
      </c>
    </row>
    <row r="903" spans="1:22" outlineLevel="2">
      <c r="A903" t="s">
        <v>318</v>
      </c>
      <c r="B903" t="s">
        <v>319</v>
      </c>
      <c r="C903" t="s">
        <v>49</v>
      </c>
      <c r="D903" t="s">
        <v>50</v>
      </c>
      <c r="E903" s="4">
        <v>0</v>
      </c>
      <c r="F903" s="4">
        <v>185.95</v>
      </c>
      <c r="G903" s="4">
        <v>105.39</v>
      </c>
      <c r="H903" s="4">
        <v>103.83</v>
      </c>
      <c r="I903" s="4">
        <v>103.83</v>
      </c>
      <c r="J903" s="4">
        <v>103.83</v>
      </c>
      <c r="K903" s="4">
        <v>639.09</v>
      </c>
      <c r="L903" s="4">
        <v>-499.00000000000006</v>
      </c>
      <c r="M903" s="4">
        <v>0</v>
      </c>
      <c r="N903" s="4">
        <v>208.42</v>
      </c>
      <c r="O903" s="4">
        <v>103.02</v>
      </c>
      <c r="P903" s="4">
        <v>105.29</v>
      </c>
      <c r="Q903" s="4">
        <v>103.02000000000001</v>
      </c>
      <c r="R903" s="4">
        <v>104.58</v>
      </c>
      <c r="S903" s="8">
        <f t="shared" si="42"/>
        <v>3.4583333333333264</v>
      </c>
      <c r="T903" s="8">
        <f t="shared" si="43"/>
        <v>101.12166666666667</v>
      </c>
      <c r="U903" s="9">
        <f t="shared" si="44"/>
        <v>29.240000000000059</v>
      </c>
    </row>
    <row r="904" spans="1:22" outlineLevel="2">
      <c r="A904" t="s">
        <v>318</v>
      </c>
      <c r="B904" t="s">
        <v>319</v>
      </c>
      <c r="C904" t="s">
        <v>51</v>
      </c>
      <c r="D904" t="s">
        <v>52</v>
      </c>
      <c r="E904" s="4">
        <v>0</v>
      </c>
      <c r="F904" s="4">
        <v>0</v>
      </c>
      <c r="G904" s="4">
        <v>99.5</v>
      </c>
      <c r="H904" s="4">
        <v>95.41</v>
      </c>
      <c r="I904" s="4">
        <v>0</v>
      </c>
      <c r="J904" s="4">
        <v>0</v>
      </c>
      <c r="K904" s="4">
        <v>0</v>
      </c>
      <c r="L904" s="4">
        <v>-0.91999999999998749</v>
      </c>
      <c r="M904" s="4">
        <v>0</v>
      </c>
      <c r="N904" s="4">
        <v>0</v>
      </c>
      <c r="O904" s="4">
        <v>47</v>
      </c>
      <c r="P904" s="4">
        <v>15</v>
      </c>
      <c r="Q904" s="4">
        <v>40</v>
      </c>
      <c r="R904" s="4">
        <v>99.5</v>
      </c>
      <c r="S904" s="8">
        <f t="shared" si="42"/>
        <v>16.846666666666668</v>
      </c>
      <c r="T904" s="8">
        <f t="shared" si="43"/>
        <v>82.653333333333336</v>
      </c>
      <c r="U904" s="9">
        <f t="shared" si="44"/>
        <v>4.9062129006727346</v>
      </c>
    </row>
    <row r="905" spans="1:22" outlineLevel="2">
      <c r="A905" t="s">
        <v>318</v>
      </c>
      <c r="B905" t="s">
        <v>319</v>
      </c>
      <c r="C905" t="s">
        <v>164</v>
      </c>
      <c r="D905" t="s">
        <v>165</v>
      </c>
      <c r="E905" s="4">
        <v>0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350</v>
      </c>
      <c r="S905" s="8">
        <f t="shared" si="42"/>
        <v>0</v>
      </c>
      <c r="T905" s="8">
        <f t="shared" si="43"/>
        <v>350</v>
      </c>
      <c r="U905" s="9" t="e">
        <f t="shared" si="44"/>
        <v>#DIV/0!</v>
      </c>
      <c r="V905" t="s">
        <v>895</v>
      </c>
    </row>
    <row r="906" spans="1:22" outlineLevel="2">
      <c r="A906" t="s">
        <v>318</v>
      </c>
      <c r="B906" t="s">
        <v>319</v>
      </c>
      <c r="C906" t="s">
        <v>53</v>
      </c>
      <c r="D906" t="s">
        <v>54</v>
      </c>
      <c r="E906" s="4">
        <v>0</v>
      </c>
      <c r="F906" s="4">
        <v>0</v>
      </c>
      <c r="G906" s="4">
        <v>0</v>
      </c>
      <c r="H906" s="4">
        <v>0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S906" s="8">
        <f t="shared" si="42"/>
        <v>0</v>
      </c>
      <c r="T906" s="8">
        <f t="shared" si="43"/>
        <v>0</v>
      </c>
      <c r="U906" s="9" t="e">
        <f t="shared" si="44"/>
        <v>#DIV/0!</v>
      </c>
    </row>
    <row r="907" spans="1:22" outlineLevel="2">
      <c r="A907" t="s">
        <v>318</v>
      </c>
      <c r="B907" t="s">
        <v>319</v>
      </c>
      <c r="C907" t="s">
        <v>55</v>
      </c>
      <c r="D907" t="s">
        <v>56</v>
      </c>
      <c r="E907" s="4">
        <v>0</v>
      </c>
      <c r="F907" s="4">
        <v>147.99</v>
      </c>
      <c r="G907" s="4">
        <v>0</v>
      </c>
      <c r="H907" s="4">
        <v>30.35</v>
      </c>
      <c r="I907" s="4">
        <v>227.76</v>
      </c>
      <c r="J907" s="4">
        <v>0</v>
      </c>
      <c r="K907" s="4">
        <v>184.37</v>
      </c>
      <c r="L907" s="4">
        <v>-279.47000000000003</v>
      </c>
      <c r="M907" s="4">
        <v>0</v>
      </c>
      <c r="N907" s="4">
        <v>11.7</v>
      </c>
      <c r="O907" s="4">
        <v>17.600000000000001</v>
      </c>
      <c r="P907" s="4">
        <v>13</v>
      </c>
      <c r="Q907" s="4">
        <v>63.4</v>
      </c>
      <c r="S907" s="8">
        <f t="shared" si="42"/>
        <v>-28.961666666666673</v>
      </c>
      <c r="T907" s="8">
        <f t="shared" si="43"/>
        <v>28.961666666666673</v>
      </c>
      <c r="U907" s="9">
        <f t="shared" si="44"/>
        <v>-1</v>
      </c>
    </row>
    <row r="908" spans="1:22" outlineLevel="2">
      <c r="A908" t="s">
        <v>318</v>
      </c>
      <c r="B908" t="s">
        <v>319</v>
      </c>
      <c r="C908" t="s">
        <v>63</v>
      </c>
      <c r="D908" t="s">
        <v>64</v>
      </c>
      <c r="E908" s="4">
        <v>0</v>
      </c>
      <c r="F908" s="4">
        <v>0</v>
      </c>
      <c r="G908" s="4">
        <v>17</v>
      </c>
      <c r="H908" s="4">
        <v>108.36</v>
      </c>
      <c r="I908" s="4">
        <v>0</v>
      </c>
      <c r="J908" s="4">
        <v>0</v>
      </c>
      <c r="K908" s="4">
        <v>150.66</v>
      </c>
      <c r="L908" s="4">
        <v>-125.36</v>
      </c>
      <c r="M908" s="4">
        <v>0</v>
      </c>
      <c r="N908" s="4">
        <v>0</v>
      </c>
      <c r="O908" s="4">
        <v>14.28</v>
      </c>
      <c r="P908" s="4">
        <v>3044</v>
      </c>
      <c r="Q908" s="4">
        <v>1892.1699999999998</v>
      </c>
      <c r="R908" s="4">
        <v>464.79</v>
      </c>
      <c r="S908" s="8">
        <f t="shared" si="42"/>
        <v>804.18166666666673</v>
      </c>
      <c r="T908" s="8">
        <f t="shared" si="43"/>
        <v>-339.39166666666671</v>
      </c>
      <c r="U908" s="9">
        <f t="shared" si="44"/>
        <v>-0.42203357864827395</v>
      </c>
    </row>
    <row r="909" spans="1:22" outlineLevel="2">
      <c r="A909" t="s">
        <v>318</v>
      </c>
      <c r="B909" t="s">
        <v>319</v>
      </c>
      <c r="C909" t="s">
        <v>65</v>
      </c>
      <c r="D909" t="s">
        <v>66</v>
      </c>
      <c r="E909" s="4">
        <v>3599.8600000000006</v>
      </c>
      <c r="F909" s="4">
        <v>5479.4500000000007</v>
      </c>
      <c r="G909" s="4">
        <v>204.91</v>
      </c>
      <c r="H909" s="4">
        <v>2921.3900000000003</v>
      </c>
      <c r="I909" s="4">
        <v>3415.66</v>
      </c>
      <c r="J909" s="4">
        <v>734.83</v>
      </c>
      <c r="K909" s="4">
        <v>0</v>
      </c>
      <c r="L909" s="4">
        <v>-16200.260000000002</v>
      </c>
      <c r="M909" s="4">
        <v>1504.3700000000001</v>
      </c>
      <c r="N909" s="4">
        <v>422.85</v>
      </c>
      <c r="O909" s="4">
        <v>552.47</v>
      </c>
      <c r="P909" s="4">
        <v>0</v>
      </c>
      <c r="Q909" s="4">
        <v>2711.62</v>
      </c>
      <c r="S909" s="8">
        <f t="shared" si="42"/>
        <v>-1834.825</v>
      </c>
      <c r="T909" s="8">
        <f t="shared" si="43"/>
        <v>1834.825</v>
      </c>
      <c r="U909" s="9">
        <f t="shared" si="44"/>
        <v>-1</v>
      </c>
    </row>
    <row r="910" spans="1:22" outlineLevel="2">
      <c r="A910" t="s">
        <v>318</v>
      </c>
      <c r="B910" t="s">
        <v>319</v>
      </c>
      <c r="C910" t="s">
        <v>75</v>
      </c>
      <c r="D910" t="s">
        <v>76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>
        <v>570.70000000000005</v>
      </c>
      <c r="K910" s="4">
        <v>0</v>
      </c>
      <c r="L910" s="4">
        <v>-570.70000000000005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S910" s="8">
        <f t="shared" si="42"/>
        <v>-95.116666666666674</v>
      </c>
      <c r="T910" s="8">
        <f t="shared" si="43"/>
        <v>95.116666666666674</v>
      </c>
      <c r="U910" s="9">
        <f t="shared" si="44"/>
        <v>-1</v>
      </c>
    </row>
    <row r="911" spans="1:22" outlineLevel="2">
      <c r="A911" t="s">
        <v>318</v>
      </c>
      <c r="B911" t="s">
        <v>319</v>
      </c>
      <c r="C911" t="s">
        <v>83</v>
      </c>
      <c r="D911" t="s">
        <v>84</v>
      </c>
      <c r="E911" s="4">
        <v>0</v>
      </c>
      <c r="F911" s="4">
        <v>0</v>
      </c>
      <c r="G911" s="4">
        <v>0</v>
      </c>
      <c r="H911" s="4">
        <v>0</v>
      </c>
      <c r="I911" s="4">
        <v>28.37</v>
      </c>
      <c r="J911" s="4">
        <v>0</v>
      </c>
      <c r="K911" s="4">
        <v>0</v>
      </c>
      <c r="L911" s="4">
        <v>-28.37</v>
      </c>
      <c r="M911" s="4">
        <v>0</v>
      </c>
      <c r="N911" s="4">
        <v>333.36</v>
      </c>
      <c r="O911" s="4">
        <v>0</v>
      </c>
      <c r="P911" s="4">
        <v>0</v>
      </c>
      <c r="Q911" s="4">
        <v>0</v>
      </c>
      <c r="S911" s="8">
        <f t="shared" si="42"/>
        <v>50.831666666666671</v>
      </c>
      <c r="T911" s="8">
        <f t="shared" si="43"/>
        <v>-50.831666666666671</v>
      </c>
      <c r="U911" s="9">
        <f t="shared" si="44"/>
        <v>-1</v>
      </c>
    </row>
    <row r="912" spans="1:22" outlineLevel="2">
      <c r="A912" t="s">
        <v>318</v>
      </c>
      <c r="B912" t="s">
        <v>319</v>
      </c>
      <c r="C912" t="s">
        <v>87</v>
      </c>
      <c r="D912" t="s">
        <v>88</v>
      </c>
      <c r="E912" s="4">
        <v>19.96</v>
      </c>
      <c r="F912" s="4">
        <v>160.06</v>
      </c>
      <c r="G912" s="4">
        <v>28.22</v>
      </c>
      <c r="H912" s="4">
        <v>0</v>
      </c>
      <c r="I912" s="4">
        <v>324</v>
      </c>
      <c r="J912" s="4">
        <v>411.89</v>
      </c>
      <c r="K912" s="4">
        <v>0</v>
      </c>
      <c r="L912" s="4">
        <v>-944.13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S912" s="8">
        <f t="shared" si="42"/>
        <v>-157.35499999999999</v>
      </c>
      <c r="T912" s="8">
        <f t="shared" si="43"/>
        <v>157.35499999999999</v>
      </c>
      <c r="U912" s="9">
        <f t="shared" si="44"/>
        <v>-1</v>
      </c>
    </row>
    <row r="913" spans="1:22" outlineLevel="2">
      <c r="A913" t="s">
        <v>318</v>
      </c>
      <c r="B913" t="s">
        <v>319</v>
      </c>
      <c r="C913" t="s">
        <v>166</v>
      </c>
      <c r="D913" t="s">
        <v>167</v>
      </c>
      <c r="E913" s="4">
        <v>0</v>
      </c>
      <c r="F913" s="4">
        <v>0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116</v>
      </c>
      <c r="S913" s="8">
        <f t="shared" si="42"/>
        <v>0</v>
      </c>
      <c r="T913" s="8">
        <f t="shared" si="43"/>
        <v>116</v>
      </c>
      <c r="U913" s="9" t="e">
        <f t="shared" si="44"/>
        <v>#DIV/0!</v>
      </c>
      <c r="V913" t="s">
        <v>895</v>
      </c>
    </row>
    <row r="914" spans="1:22" outlineLevel="2">
      <c r="A914" t="s">
        <v>318</v>
      </c>
      <c r="B914" t="s">
        <v>319</v>
      </c>
      <c r="C914" t="s">
        <v>93</v>
      </c>
      <c r="D914" t="s">
        <v>94</v>
      </c>
      <c r="E914" s="4">
        <v>0</v>
      </c>
      <c r="F914" s="4">
        <v>0</v>
      </c>
      <c r="G914" s="4">
        <v>27.91</v>
      </c>
      <c r="H914" s="4">
        <v>0</v>
      </c>
      <c r="I914" s="4">
        <v>0</v>
      </c>
      <c r="J914" s="4">
        <v>0</v>
      </c>
      <c r="K914" s="4">
        <v>0</v>
      </c>
      <c r="L914" s="4">
        <v>-27.91</v>
      </c>
      <c r="M914" s="4">
        <v>0</v>
      </c>
      <c r="N914" s="4">
        <v>0</v>
      </c>
      <c r="O914" s="4">
        <v>0</v>
      </c>
      <c r="P914" s="4">
        <v>0</v>
      </c>
      <c r="Q914" s="4">
        <v>1641.46</v>
      </c>
      <c r="R914" s="4">
        <v>463.57</v>
      </c>
      <c r="S914" s="8">
        <f t="shared" si="42"/>
        <v>268.92500000000001</v>
      </c>
      <c r="T914" s="8">
        <f t="shared" si="43"/>
        <v>194.64499999999998</v>
      </c>
      <c r="U914" s="9">
        <f t="shared" si="44"/>
        <v>0.72378916054662068</v>
      </c>
    </row>
    <row r="915" spans="1:22" outlineLevel="2">
      <c r="A915" t="s">
        <v>318</v>
      </c>
      <c r="B915" t="s">
        <v>319</v>
      </c>
      <c r="C915" t="s">
        <v>170</v>
      </c>
      <c r="D915" t="s">
        <v>171</v>
      </c>
      <c r="E915" s="4">
        <v>0</v>
      </c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S915" s="8">
        <f t="shared" si="42"/>
        <v>0</v>
      </c>
      <c r="T915" s="8">
        <f t="shared" si="43"/>
        <v>0</v>
      </c>
      <c r="U915" s="9" t="e">
        <f t="shared" si="44"/>
        <v>#DIV/0!</v>
      </c>
    </row>
    <row r="916" spans="1:22" outlineLevel="2">
      <c r="A916" t="s">
        <v>318</v>
      </c>
      <c r="B916" t="s">
        <v>319</v>
      </c>
      <c r="C916" t="s">
        <v>127</v>
      </c>
      <c r="D916" t="s">
        <v>120</v>
      </c>
      <c r="E916" s="4">
        <v>0</v>
      </c>
      <c r="F916" s="4">
        <v>0</v>
      </c>
      <c r="G916" s="4">
        <v>0</v>
      </c>
      <c r="H916" s="4">
        <v>1650.71</v>
      </c>
      <c r="I916" s="4">
        <v>2282.16</v>
      </c>
      <c r="J916" s="4">
        <v>1796.2199999999998</v>
      </c>
      <c r="K916" s="4">
        <v>0</v>
      </c>
      <c r="L916" s="4">
        <v>-5729.09</v>
      </c>
      <c r="M916" s="4">
        <v>45.99</v>
      </c>
      <c r="N916" s="4">
        <v>464.15</v>
      </c>
      <c r="O916" s="4">
        <v>444.46</v>
      </c>
      <c r="P916" s="4">
        <v>0</v>
      </c>
      <c r="Q916" s="4">
        <v>34.24</v>
      </c>
      <c r="S916" s="8">
        <f t="shared" si="42"/>
        <v>-790.04166666666686</v>
      </c>
      <c r="T916" s="8">
        <f t="shared" si="43"/>
        <v>790.04166666666686</v>
      </c>
      <c r="U916" s="9">
        <f t="shared" si="44"/>
        <v>-1</v>
      </c>
    </row>
    <row r="917" spans="1:22" outlineLevel="2">
      <c r="A917" t="s">
        <v>318</v>
      </c>
      <c r="B917" t="s">
        <v>319</v>
      </c>
      <c r="C917" t="s">
        <v>190</v>
      </c>
      <c r="D917" t="s">
        <v>191</v>
      </c>
      <c r="E917" s="4">
        <v>0</v>
      </c>
      <c r="F917" s="4">
        <v>0</v>
      </c>
      <c r="G917" s="4">
        <v>0</v>
      </c>
      <c r="H917" s="4">
        <v>304992.90000000002</v>
      </c>
      <c r="I917" s="4">
        <v>1722.4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S917" s="8">
        <f t="shared" si="42"/>
        <v>0</v>
      </c>
      <c r="T917" s="8">
        <f t="shared" si="43"/>
        <v>0</v>
      </c>
      <c r="U917" s="9" t="e">
        <f t="shared" si="44"/>
        <v>#DIV/0!</v>
      </c>
    </row>
    <row r="918" spans="1:22" outlineLevel="2">
      <c r="A918" t="s">
        <v>318</v>
      </c>
      <c r="B918" t="s">
        <v>319</v>
      </c>
      <c r="C918" t="s">
        <v>238</v>
      </c>
      <c r="D918" t="s">
        <v>239</v>
      </c>
      <c r="E918" s="4">
        <v>0</v>
      </c>
      <c r="F918" s="4">
        <v>42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42</v>
      </c>
      <c r="S918" s="8">
        <f t="shared" si="42"/>
        <v>7</v>
      </c>
      <c r="T918" s="8">
        <f t="shared" si="43"/>
        <v>-7</v>
      </c>
      <c r="U918" s="9">
        <f t="shared" si="44"/>
        <v>-1</v>
      </c>
    </row>
    <row r="919" spans="1:22" outlineLevel="1">
      <c r="A919" s="1" t="s">
        <v>721</v>
      </c>
      <c r="E919" s="4">
        <f>SUBTOTAL(9,E885:E918)</f>
        <v>3619.8200000000375</v>
      </c>
      <c r="F919" s="4">
        <f>SUBTOTAL(9,F885:F918)</f>
        <v>6037.1400000000012</v>
      </c>
      <c r="G919" s="4">
        <f>SUBTOTAL(9,G885:G918)</f>
        <v>63231.19</v>
      </c>
      <c r="H919" s="4">
        <f>SUBTOTAL(9,H885:H918)</f>
        <v>404973.71000000008</v>
      </c>
      <c r="I919" s="4">
        <f>SUBTOTAL(9,I885:I918)</f>
        <v>48616.12</v>
      </c>
      <c r="J919" s="4">
        <f>SUBTOTAL(9,J885:J918)</f>
        <v>74632.53</v>
      </c>
      <c r="K919" s="4">
        <f>SUBTOTAL(9,K885:K918)</f>
        <v>27204.179999999928</v>
      </c>
      <c r="L919" s="4">
        <f>SUBTOTAL(9,L885:L918)</f>
        <v>1803.1599999999917</v>
      </c>
      <c r="M919" s="4">
        <f>SUBTOTAL(9,M885:M918)</f>
        <v>85038.190000000046</v>
      </c>
      <c r="N919" s="4">
        <f>SUBTOTAL(9,N885:N918)</f>
        <v>34305.859999999935</v>
      </c>
      <c r="O919" s="4">
        <f>SUBTOTAL(9,O885:O918)</f>
        <v>26444.209999999883</v>
      </c>
      <c r="P919" s="4">
        <f>SUBTOTAL(9,P885:P918)</f>
        <v>101982.21000000011</v>
      </c>
      <c r="Q919" s="4">
        <f>SUBTOTAL(9,Q885:Q918)</f>
        <v>8727.9100000000144</v>
      </c>
      <c r="R919" s="4">
        <f>SUBTOTAL(9,R885:R918)</f>
        <v>620150.83999999985</v>
      </c>
      <c r="S919" s="8">
        <f t="shared" si="42"/>
        <v>43050.256666666661</v>
      </c>
      <c r="T919" s="8">
        <f t="shared" si="43"/>
        <v>577100.58333333314</v>
      </c>
      <c r="U919" s="9">
        <f t="shared" si="44"/>
        <v>13.405276251934074</v>
      </c>
      <c r="V919" t="s">
        <v>897</v>
      </c>
    </row>
    <row r="920" spans="1:22" outlineLevel="2">
      <c r="A920" t="s">
        <v>320</v>
      </c>
      <c r="B920" t="s">
        <v>321</v>
      </c>
      <c r="C920" t="s">
        <v>83</v>
      </c>
      <c r="D920" t="s">
        <v>84</v>
      </c>
      <c r="E920" s="4">
        <v>0</v>
      </c>
      <c r="F920" s="4">
        <v>0</v>
      </c>
      <c r="G920" s="4">
        <v>0</v>
      </c>
      <c r="H920" s="4">
        <v>-6.7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S920" s="8">
        <f t="shared" si="42"/>
        <v>0</v>
      </c>
      <c r="T920" s="8">
        <f t="shared" si="43"/>
        <v>0</v>
      </c>
      <c r="U920" s="9" t="e">
        <f t="shared" si="44"/>
        <v>#DIV/0!</v>
      </c>
    </row>
    <row r="921" spans="1:22" outlineLevel="2">
      <c r="A921" t="s">
        <v>320</v>
      </c>
      <c r="B921" t="s">
        <v>321</v>
      </c>
      <c r="C921" t="s">
        <v>87</v>
      </c>
      <c r="D921" t="s">
        <v>88</v>
      </c>
      <c r="E921" s="4">
        <v>0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S921" s="8">
        <f t="shared" si="42"/>
        <v>0</v>
      </c>
      <c r="T921" s="8">
        <f t="shared" si="43"/>
        <v>0</v>
      </c>
      <c r="U921" s="9" t="e">
        <f t="shared" si="44"/>
        <v>#DIV/0!</v>
      </c>
    </row>
    <row r="922" spans="1:22" outlineLevel="2">
      <c r="A922" t="s">
        <v>320</v>
      </c>
      <c r="B922" t="s">
        <v>321</v>
      </c>
      <c r="C922" t="s">
        <v>89</v>
      </c>
      <c r="D922" t="s">
        <v>90</v>
      </c>
      <c r="E922" s="4">
        <v>0</v>
      </c>
      <c r="F922" s="4">
        <v>0</v>
      </c>
      <c r="G922" s="4">
        <v>0</v>
      </c>
      <c r="H922" s="4">
        <v>-70.52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8212.5</v>
      </c>
      <c r="P922" s="4">
        <v>-8212.5</v>
      </c>
      <c r="Q922" s="4">
        <v>0</v>
      </c>
      <c r="S922" s="8">
        <f t="shared" si="42"/>
        <v>0</v>
      </c>
      <c r="T922" s="8">
        <f t="shared" si="43"/>
        <v>0</v>
      </c>
      <c r="U922" s="9" t="e">
        <f t="shared" si="44"/>
        <v>#DIV/0!</v>
      </c>
    </row>
    <row r="923" spans="1:22" outlineLevel="1">
      <c r="A923" s="1" t="s">
        <v>722</v>
      </c>
      <c r="E923" s="4">
        <f>SUBTOTAL(9,E920:E922)</f>
        <v>0</v>
      </c>
      <c r="F923" s="4">
        <f>SUBTOTAL(9,F920:F922)</f>
        <v>0</v>
      </c>
      <c r="G923" s="4">
        <f>SUBTOTAL(9,G920:G922)</f>
        <v>0</v>
      </c>
      <c r="H923" s="4">
        <f>SUBTOTAL(9,H920:H922)</f>
        <v>-77.22</v>
      </c>
      <c r="I923" s="4">
        <f>SUBTOTAL(9,I920:I922)</f>
        <v>0</v>
      </c>
      <c r="J923" s="4">
        <f>SUBTOTAL(9,J920:J922)</f>
        <v>0</v>
      </c>
      <c r="K923" s="4">
        <f>SUBTOTAL(9,K920:K922)</f>
        <v>0</v>
      </c>
      <c r="L923" s="4">
        <f>SUBTOTAL(9,L920:L922)</f>
        <v>0</v>
      </c>
      <c r="M923" s="4">
        <f>SUBTOTAL(9,M920:M922)</f>
        <v>0</v>
      </c>
      <c r="N923" s="4">
        <f>SUBTOTAL(9,N920:N922)</f>
        <v>0</v>
      </c>
      <c r="O923" s="4">
        <f>SUBTOTAL(9,O920:O922)</f>
        <v>8212.5</v>
      </c>
      <c r="P923" s="4">
        <f>SUBTOTAL(9,P920:P922)</f>
        <v>-8212.5</v>
      </c>
      <c r="Q923" s="4">
        <f>SUBTOTAL(9,Q920:Q922)</f>
        <v>0</v>
      </c>
      <c r="R923" s="4">
        <f>SUBTOTAL(9,R920:R922)</f>
        <v>0</v>
      </c>
      <c r="S923" s="8">
        <f t="shared" si="42"/>
        <v>0</v>
      </c>
      <c r="T923" s="8">
        <f t="shared" si="43"/>
        <v>0</v>
      </c>
      <c r="U923" s="9" t="e">
        <f t="shared" si="44"/>
        <v>#DIV/0!</v>
      </c>
    </row>
    <row r="924" spans="1:22" outlineLevel="2">
      <c r="A924" t="s">
        <v>322</v>
      </c>
      <c r="B924" t="s">
        <v>323</v>
      </c>
      <c r="C924" t="s">
        <v>140</v>
      </c>
      <c r="D924" t="s">
        <v>141</v>
      </c>
      <c r="E924" s="4">
        <v>0</v>
      </c>
      <c r="F924" s="4">
        <v>0</v>
      </c>
      <c r="G924" s="4">
        <v>18180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-18180</v>
      </c>
      <c r="S924" s="8">
        <f t="shared" si="42"/>
        <v>-3030</v>
      </c>
      <c r="T924" s="8">
        <f t="shared" si="43"/>
        <v>3030</v>
      </c>
      <c r="U924" s="9">
        <f t="shared" si="44"/>
        <v>-1</v>
      </c>
    </row>
    <row r="925" spans="1:22" outlineLevel="2">
      <c r="A925" t="s">
        <v>322</v>
      </c>
      <c r="B925" t="s">
        <v>323</v>
      </c>
      <c r="C925" t="s">
        <v>37</v>
      </c>
      <c r="D925" t="s">
        <v>38</v>
      </c>
      <c r="E925" s="4">
        <v>0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2717.08</v>
      </c>
      <c r="O925" s="4">
        <v>0</v>
      </c>
      <c r="P925" s="4">
        <v>0</v>
      </c>
      <c r="Q925" s="4">
        <v>0</v>
      </c>
      <c r="S925" s="8">
        <f t="shared" si="42"/>
        <v>452.84666666666664</v>
      </c>
      <c r="T925" s="8">
        <f t="shared" si="43"/>
        <v>-452.84666666666664</v>
      </c>
      <c r="U925" s="9">
        <f t="shared" si="44"/>
        <v>-1</v>
      </c>
    </row>
    <row r="926" spans="1:22" outlineLevel="2">
      <c r="A926" t="s">
        <v>322</v>
      </c>
      <c r="B926" t="s">
        <v>323</v>
      </c>
      <c r="C926" t="s">
        <v>111</v>
      </c>
      <c r="D926" t="s">
        <v>112</v>
      </c>
      <c r="E926" s="4">
        <v>0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-16065.36</v>
      </c>
      <c r="O926" s="4">
        <v>0</v>
      </c>
      <c r="P926" s="4">
        <v>0</v>
      </c>
      <c r="Q926" s="4">
        <v>0</v>
      </c>
      <c r="S926" s="8">
        <f t="shared" si="42"/>
        <v>-2677.56</v>
      </c>
      <c r="T926" s="8">
        <f t="shared" si="43"/>
        <v>2677.56</v>
      </c>
      <c r="U926" s="9">
        <f t="shared" si="44"/>
        <v>-1</v>
      </c>
    </row>
    <row r="927" spans="1:22" outlineLevel="1">
      <c r="A927" s="1" t="s">
        <v>723</v>
      </c>
      <c r="E927" s="4">
        <f>SUBTOTAL(9,E924:E926)</f>
        <v>0</v>
      </c>
      <c r="F927" s="4">
        <f>SUBTOTAL(9,F924:F926)</f>
        <v>0</v>
      </c>
      <c r="G927" s="4">
        <f>SUBTOTAL(9,G924:G926)</f>
        <v>18180</v>
      </c>
      <c r="H927" s="4">
        <f>SUBTOTAL(9,H924:H926)</f>
        <v>0</v>
      </c>
      <c r="I927" s="4">
        <f>SUBTOTAL(9,I924:I926)</f>
        <v>0</v>
      </c>
      <c r="J927" s="4">
        <f>SUBTOTAL(9,J924:J926)</f>
        <v>0</v>
      </c>
      <c r="K927" s="4">
        <f>SUBTOTAL(9,K924:K926)</f>
        <v>0</v>
      </c>
      <c r="L927" s="4">
        <f>SUBTOTAL(9,L924:L926)</f>
        <v>0</v>
      </c>
      <c r="M927" s="4">
        <f>SUBTOTAL(9,M924:M926)</f>
        <v>0</v>
      </c>
      <c r="N927" s="4">
        <f>SUBTOTAL(9,N924:N926)</f>
        <v>-13348.28</v>
      </c>
      <c r="O927" s="4">
        <f>SUBTOTAL(9,O924:O926)</f>
        <v>0</v>
      </c>
      <c r="P927" s="4">
        <f>SUBTOTAL(9,P924:P926)</f>
        <v>0</v>
      </c>
      <c r="Q927" s="4">
        <f>SUBTOTAL(9,Q924:Q926)</f>
        <v>-18180</v>
      </c>
      <c r="R927" s="4">
        <f>SUBTOTAL(9,R924:R926)</f>
        <v>0</v>
      </c>
      <c r="S927" s="8">
        <f t="shared" si="42"/>
        <v>-5254.7133333333331</v>
      </c>
      <c r="T927" s="8">
        <f t="shared" si="43"/>
        <v>5254.7133333333331</v>
      </c>
      <c r="U927" s="9">
        <f t="shared" si="44"/>
        <v>-1</v>
      </c>
    </row>
    <row r="928" spans="1:22" outlineLevel="2">
      <c r="A928" t="s">
        <v>324</v>
      </c>
      <c r="B928" t="s">
        <v>325</v>
      </c>
      <c r="C928" t="s">
        <v>21</v>
      </c>
      <c r="D928" t="s">
        <v>22</v>
      </c>
      <c r="E928" s="4">
        <v>20.7</v>
      </c>
      <c r="F928" s="4">
        <v>0</v>
      </c>
      <c r="G928" s="4">
        <v>0</v>
      </c>
      <c r="H928" s="4">
        <v>0</v>
      </c>
      <c r="I928" s="4">
        <v>0</v>
      </c>
      <c r="J928" s="4">
        <v>1624.78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S928" s="8">
        <f t="shared" si="42"/>
        <v>0</v>
      </c>
      <c r="T928" s="8">
        <f t="shared" si="43"/>
        <v>0</v>
      </c>
      <c r="U928" s="9" t="e">
        <f t="shared" si="44"/>
        <v>#DIV/0!</v>
      </c>
    </row>
    <row r="929" spans="1:22" outlineLevel="2">
      <c r="A929" t="s">
        <v>324</v>
      </c>
      <c r="B929" t="s">
        <v>325</v>
      </c>
      <c r="C929" t="s">
        <v>23</v>
      </c>
      <c r="D929" t="s">
        <v>24</v>
      </c>
      <c r="E929" s="4">
        <v>616.36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S929" s="8">
        <f t="shared" si="42"/>
        <v>0</v>
      </c>
      <c r="T929" s="8">
        <f t="shared" si="43"/>
        <v>0</v>
      </c>
      <c r="U929" s="9" t="e">
        <f t="shared" si="44"/>
        <v>#DIV/0!</v>
      </c>
    </row>
    <row r="930" spans="1:22" outlineLevel="2">
      <c r="A930" t="s">
        <v>324</v>
      </c>
      <c r="B930" t="s">
        <v>325</v>
      </c>
      <c r="C930" t="s">
        <v>89</v>
      </c>
      <c r="D930" t="s">
        <v>90</v>
      </c>
      <c r="E930" s="4">
        <v>5940.6</v>
      </c>
      <c r="F930" s="4">
        <v>0</v>
      </c>
      <c r="G930" s="4">
        <v>5906.46</v>
      </c>
      <c r="H930" s="4">
        <v>5906.23</v>
      </c>
      <c r="I930" s="4">
        <v>5906.46</v>
      </c>
      <c r="J930" s="4">
        <v>0</v>
      </c>
      <c r="K930" s="4">
        <v>0</v>
      </c>
      <c r="L930" s="4">
        <v>29532.3</v>
      </c>
      <c r="M930" s="4">
        <v>0</v>
      </c>
      <c r="N930" s="4">
        <v>0</v>
      </c>
      <c r="O930" s="4">
        <v>0</v>
      </c>
      <c r="P930" s="4">
        <v>15257.469999999998</v>
      </c>
      <c r="Q930" s="4">
        <v>0</v>
      </c>
      <c r="S930" s="8">
        <f t="shared" si="42"/>
        <v>7464.9616666666661</v>
      </c>
      <c r="T930" s="8">
        <f t="shared" si="43"/>
        <v>-7464.9616666666661</v>
      </c>
      <c r="U930" s="9">
        <f t="shared" si="44"/>
        <v>-1</v>
      </c>
    </row>
    <row r="931" spans="1:22" outlineLevel="2">
      <c r="A931" t="s">
        <v>324</v>
      </c>
      <c r="B931" t="s">
        <v>325</v>
      </c>
      <c r="C931" t="s">
        <v>168</v>
      </c>
      <c r="D931" t="s">
        <v>169</v>
      </c>
      <c r="E931" s="4">
        <v>0</v>
      </c>
      <c r="F931" s="4">
        <v>0</v>
      </c>
      <c r="G931" s="4">
        <v>0</v>
      </c>
      <c r="H931" s="4">
        <v>297524</v>
      </c>
      <c r="I931" s="4">
        <v>762456.3</v>
      </c>
      <c r="J931" s="4">
        <v>59499.15</v>
      </c>
      <c r="K931" s="4">
        <v>737.5</v>
      </c>
      <c r="L931" s="4">
        <v>61858.95</v>
      </c>
      <c r="M931" s="4">
        <v>-19033.45</v>
      </c>
      <c r="N931" s="4">
        <v>11829</v>
      </c>
      <c r="O931" s="4">
        <v>8066.05</v>
      </c>
      <c r="P931" s="4">
        <v>43306.25</v>
      </c>
      <c r="Q931" s="4">
        <v>-4058.0300000000007</v>
      </c>
      <c r="R931" s="4">
        <v>415911.52</v>
      </c>
      <c r="S931" s="8">
        <f t="shared" si="42"/>
        <v>16994.795000000002</v>
      </c>
      <c r="T931" s="8">
        <f t="shared" si="43"/>
        <v>398916.72500000003</v>
      </c>
      <c r="U931" s="9">
        <f t="shared" si="44"/>
        <v>23.472876548378487</v>
      </c>
      <c r="V931" t="s">
        <v>896</v>
      </c>
    </row>
    <row r="932" spans="1:22" outlineLevel="2">
      <c r="A932" t="s">
        <v>324</v>
      </c>
      <c r="B932" t="s">
        <v>325</v>
      </c>
      <c r="C932" t="s">
        <v>99</v>
      </c>
      <c r="D932" t="s">
        <v>100</v>
      </c>
      <c r="E932" s="4">
        <v>0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6563.1299999999992</v>
      </c>
      <c r="Q932" s="4">
        <v>0</v>
      </c>
      <c r="R932" s="4">
        <v>13422.550000000001</v>
      </c>
      <c r="S932" s="8">
        <f t="shared" si="42"/>
        <v>1093.8549999999998</v>
      </c>
      <c r="T932" s="8">
        <f t="shared" si="43"/>
        <v>12328.695000000002</v>
      </c>
      <c r="U932" s="9">
        <f t="shared" si="44"/>
        <v>11.270867710985463</v>
      </c>
    </row>
    <row r="933" spans="1:22" outlineLevel="2">
      <c r="A933" t="s">
        <v>324</v>
      </c>
      <c r="B933" t="s">
        <v>325</v>
      </c>
      <c r="C933" t="s">
        <v>101</v>
      </c>
      <c r="D933" t="s">
        <v>102</v>
      </c>
      <c r="E933" s="4">
        <v>-98242</v>
      </c>
      <c r="F933" s="4">
        <v>215511.21000000002</v>
      </c>
      <c r="G933" s="4">
        <v>-11114.199999999988</v>
      </c>
      <c r="H933" s="4">
        <v>-209380.58000000002</v>
      </c>
      <c r="I933" s="4">
        <v>69127.649999999994</v>
      </c>
      <c r="J933" s="4">
        <v>0</v>
      </c>
      <c r="K933" s="4">
        <v>0</v>
      </c>
      <c r="L933" s="4">
        <v>114831</v>
      </c>
      <c r="M933" s="4">
        <v>135276</v>
      </c>
      <c r="N933" s="4">
        <v>60025</v>
      </c>
      <c r="O933" s="4">
        <v>11050.6</v>
      </c>
      <c r="P933" s="4">
        <v>116504.42</v>
      </c>
      <c r="Q933" s="4">
        <v>0</v>
      </c>
      <c r="R933" s="4">
        <v>55829</v>
      </c>
      <c r="S933" s="8">
        <f t="shared" si="42"/>
        <v>72947.836666666655</v>
      </c>
      <c r="T933" s="8">
        <f t="shared" si="43"/>
        <v>-17118.836666666655</v>
      </c>
      <c r="U933" s="9">
        <f t="shared" si="44"/>
        <v>-0.23467230076870899</v>
      </c>
      <c r="V933" t="s">
        <v>896</v>
      </c>
    </row>
    <row r="934" spans="1:22" outlineLevel="2">
      <c r="A934" t="s">
        <v>324</v>
      </c>
      <c r="B934" t="s">
        <v>325</v>
      </c>
      <c r="C934" t="s">
        <v>105</v>
      </c>
      <c r="D934" t="s">
        <v>106</v>
      </c>
      <c r="E934" s="4">
        <v>0</v>
      </c>
      <c r="F934" s="4">
        <v>0</v>
      </c>
      <c r="G934" s="4">
        <v>0</v>
      </c>
      <c r="H934" s="4">
        <v>0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-128468.81</v>
      </c>
      <c r="Q934" s="4">
        <v>0</v>
      </c>
      <c r="S934" s="8">
        <f t="shared" si="42"/>
        <v>-21411.468333333334</v>
      </c>
      <c r="T934" s="8">
        <f t="shared" si="43"/>
        <v>21411.468333333334</v>
      </c>
      <c r="U934" s="9">
        <f t="shared" si="44"/>
        <v>-1</v>
      </c>
    </row>
    <row r="935" spans="1:22" outlineLevel="2">
      <c r="A935" t="s">
        <v>324</v>
      </c>
      <c r="B935" t="s">
        <v>325</v>
      </c>
      <c r="C935" t="s">
        <v>111</v>
      </c>
      <c r="D935" t="s">
        <v>112</v>
      </c>
      <c r="E935" s="4">
        <v>8754.42</v>
      </c>
      <c r="F935" s="4">
        <v>0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S935" s="8">
        <f t="shared" si="42"/>
        <v>0</v>
      </c>
      <c r="T935" s="8">
        <f t="shared" si="43"/>
        <v>0</v>
      </c>
      <c r="U935" s="9" t="e">
        <f t="shared" si="44"/>
        <v>#DIV/0!</v>
      </c>
    </row>
    <row r="936" spans="1:22" outlineLevel="2">
      <c r="A936" t="s">
        <v>324</v>
      </c>
      <c r="B936" t="s">
        <v>325</v>
      </c>
      <c r="C936" t="s">
        <v>190</v>
      </c>
      <c r="D936" t="s">
        <v>191</v>
      </c>
      <c r="E936" s="4">
        <v>0</v>
      </c>
      <c r="F936" s="4">
        <v>0</v>
      </c>
      <c r="G936" s="4">
        <v>0</v>
      </c>
      <c r="H936" s="4">
        <v>55712.47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S936" s="8">
        <f t="shared" si="42"/>
        <v>0</v>
      </c>
      <c r="T936" s="8">
        <f t="shared" si="43"/>
        <v>0</v>
      </c>
      <c r="U936" s="9" t="e">
        <f t="shared" si="44"/>
        <v>#DIV/0!</v>
      </c>
    </row>
    <row r="937" spans="1:22" outlineLevel="1">
      <c r="A937" s="1" t="s">
        <v>724</v>
      </c>
      <c r="E937" s="4">
        <f>SUBTOTAL(9,E928:E936)</f>
        <v>-82909.919999999998</v>
      </c>
      <c r="F937" s="4">
        <f>SUBTOTAL(9,F928:F936)</f>
        <v>215511.21000000002</v>
      </c>
      <c r="G937" s="4">
        <f>SUBTOTAL(9,G928:G936)</f>
        <v>-5207.739999999988</v>
      </c>
      <c r="H937" s="4">
        <f>SUBTOTAL(9,H928:H936)</f>
        <v>149762.11999999997</v>
      </c>
      <c r="I937" s="4">
        <f>SUBTOTAL(9,I928:I936)</f>
        <v>837490.41</v>
      </c>
      <c r="J937" s="4">
        <f>SUBTOTAL(9,J928:J936)</f>
        <v>61123.93</v>
      </c>
      <c r="K937" s="4">
        <f>SUBTOTAL(9,K928:K936)</f>
        <v>737.5</v>
      </c>
      <c r="L937" s="4">
        <f>SUBTOTAL(9,L928:L936)</f>
        <v>206222.25</v>
      </c>
      <c r="M937" s="4">
        <f>SUBTOTAL(9,M928:M936)</f>
        <v>116242.55</v>
      </c>
      <c r="N937" s="4">
        <f>SUBTOTAL(9,N928:N936)</f>
        <v>71854</v>
      </c>
      <c r="O937" s="4">
        <f>SUBTOTAL(9,O928:O936)</f>
        <v>19116.650000000001</v>
      </c>
      <c r="P937" s="4">
        <f>SUBTOTAL(9,P928:P936)</f>
        <v>53162.459999999992</v>
      </c>
      <c r="Q937" s="4">
        <f>SUBTOTAL(9,Q928:Q936)</f>
        <v>-4058.0300000000007</v>
      </c>
      <c r="R937" s="4">
        <f>SUBTOTAL(9,R928:R936)</f>
        <v>485163.07</v>
      </c>
      <c r="S937" s="8">
        <f t="shared" si="42"/>
        <v>77089.98</v>
      </c>
      <c r="T937" s="8">
        <f t="shared" si="43"/>
        <v>408073.09</v>
      </c>
      <c r="U937" s="9">
        <f t="shared" si="44"/>
        <v>5.293464727841414</v>
      </c>
      <c r="V937" t="s">
        <v>896</v>
      </c>
    </row>
    <row r="938" spans="1:22" outlineLevel="2">
      <c r="A938" t="s">
        <v>326</v>
      </c>
      <c r="B938" t="s">
        <v>327</v>
      </c>
      <c r="C938" t="s">
        <v>89</v>
      </c>
      <c r="D938" t="s">
        <v>90</v>
      </c>
      <c r="E938" s="4">
        <v>-20081.050000000003</v>
      </c>
      <c r="F938" s="4">
        <v>0</v>
      </c>
      <c r="G938" s="4">
        <v>18809</v>
      </c>
      <c r="H938" s="4">
        <v>0</v>
      </c>
      <c r="I938" s="4">
        <v>0</v>
      </c>
      <c r="J938" s="4">
        <v>18809</v>
      </c>
      <c r="K938" s="4">
        <v>-1695.6599999999999</v>
      </c>
      <c r="L938" s="4">
        <v>0</v>
      </c>
      <c r="M938" s="4">
        <v>27661.65</v>
      </c>
      <c r="N938" s="4">
        <v>0</v>
      </c>
      <c r="O938" s="4">
        <v>0</v>
      </c>
      <c r="P938" s="4">
        <v>0</v>
      </c>
      <c r="Q938" s="4">
        <v>0</v>
      </c>
      <c r="R938" s="4">
        <v>1264.82</v>
      </c>
      <c r="S938" s="8">
        <f t="shared" si="42"/>
        <v>4610.2750000000005</v>
      </c>
      <c r="T938" s="8">
        <f t="shared" si="43"/>
        <v>-3345.4550000000008</v>
      </c>
      <c r="U938" s="9">
        <f t="shared" si="44"/>
        <v>-0.72565194050246473</v>
      </c>
    </row>
    <row r="939" spans="1:22" outlineLevel="2">
      <c r="A939" t="s">
        <v>326</v>
      </c>
      <c r="B939" t="s">
        <v>327</v>
      </c>
      <c r="C939" t="s">
        <v>99</v>
      </c>
      <c r="D939" t="s">
        <v>100</v>
      </c>
      <c r="E939" s="4">
        <v>15295</v>
      </c>
      <c r="F939" s="4">
        <v>15295</v>
      </c>
      <c r="G939" s="4">
        <v>17723.810000000001</v>
      </c>
      <c r="H939" s="4">
        <v>15295</v>
      </c>
      <c r="I939" s="4">
        <v>15295</v>
      </c>
      <c r="J939" s="4">
        <v>15295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S939" s="8">
        <f t="shared" si="42"/>
        <v>0</v>
      </c>
      <c r="T939" s="8">
        <f t="shared" si="43"/>
        <v>0</v>
      </c>
      <c r="U939" s="9" t="e">
        <f t="shared" si="44"/>
        <v>#DIV/0!</v>
      </c>
    </row>
    <row r="940" spans="1:22" outlineLevel="2">
      <c r="A940" t="s">
        <v>326</v>
      </c>
      <c r="B940" t="s">
        <v>327</v>
      </c>
      <c r="C940" t="s">
        <v>101</v>
      </c>
      <c r="D940" t="s">
        <v>102</v>
      </c>
      <c r="E940" s="4">
        <v>-12032</v>
      </c>
      <c r="F940" s="4">
        <v>-13248</v>
      </c>
      <c r="G940" s="4">
        <v>0</v>
      </c>
      <c r="H940" s="4">
        <v>-1722.24</v>
      </c>
      <c r="I940" s="4">
        <v>819.38</v>
      </c>
      <c r="J940" s="4">
        <v>-200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S940" s="8">
        <f t="shared" si="42"/>
        <v>0</v>
      </c>
      <c r="T940" s="8">
        <f t="shared" si="43"/>
        <v>0</v>
      </c>
      <c r="U940" s="9" t="e">
        <f t="shared" si="44"/>
        <v>#DIV/0!</v>
      </c>
    </row>
    <row r="941" spans="1:22" outlineLevel="2">
      <c r="A941" t="s">
        <v>326</v>
      </c>
      <c r="B941" t="s">
        <v>327</v>
      </c>
      <c r="C941" t="s">
        <v>103</v>
      </c>
      <c r="D941" t="s">
        <v>104</v>
      </c>
      <c r="E941" s="4">
        <v>1740</v>
      </c>
      <c r="F941" s="4">
        <v>0</v>
      </c>
      <c r="G941" s="4">
        <v>3000</v>
      </c>
      <c r="H941" s="4">
        <v>0</v>
      </c>
      <c r="I941" s="4">
        <v>0</v>
      </c>
      <c r="J941" s="4">
        <v>0</v>
      </c>
      <c r="K941" s="4">
        <v>1097.9100000000001</v>
      </c>
      <c r="L941" s="4">
        <v>0</v>
      </c>
      <c r="M941" s="4">
        <v>-920</v>
      </c>
      <c r="N941" s="4">
        <v>0</v>
      </c>
      <c r="O941" s="4">
        <v>920</v>
      </c>
      <c r="P941" s="4">
        <v>0</v>
      </c>
      <c r="Q941" s="4">
        <v>-1097.9100000000001</v>
      </c>
      <c r="S941" s="8">
        <f t="shared" si="42"/>
        <v>-182.98500000000001</v>
      </c>
      <c r="T941" s="8">
        <f t="shared" si="43"/>
        <v>182.98500000000001</v>
      </c>
      <c r="U941" s="9">
        <f t="shared" si="44"/>
        <v>-1</v>
      </c>
    </row>
    <row r="942" spans="1:22" outlineLevel="2">
      <c r="A942" t="s">
        <v>326</v>
      </c>
      <c r="B942" t="s">
        <v>327</v>
      </c>
      <c r="C942" t="s">
        <v>111</v>
      </c>
      <c r="D942" t="s">
        <v>112</v>
      </c>
      <c r="E942" s="4">
        <v>0</v>
      </c>
      <c r="F942" s="4">
        <v>0</v>
      </c>
      <c r="G942" s="4">
        <v>83008</v>
      </c>
      <c r="H942" s="4">
        <v>42168</v>
      </c>
      <c r="I942" s="4">
        <v>0</v>
      </c>
      <c r="J942" s="4">
        <v>0</v>
      </c>
      <c r="K942" s="4">
        <v>0</v>
      </c>
      <c r="L942" s="4">
        <v>0</v>
      </c>
      <c r="M942" s="4">
        <v>11759.8</v>
      </c>
      <c r="N942" s="4">
        <v>10335</v>
      </c>
      <c r="O942" s="4">
        <v>0</v>
      </c>
      <c r="P942" s="4">
        <v>2340</v>
      </c>
      <c r="Q942" s="4">
        <v>0</v>
      </c>
      <c r="R942" s="4">
        <v>5376</v>
      </c>
      <c r="S942" s="8">
        <f t="shared" si="42"/>
        <v>4072.4666666666667</v>
      </c>
      <c r="T942" s="8">
        <f t="shared" si="43"/>
        <v>1303.5333333333333</v>
      </c>
      <c r="U942" s="9">
        <f t="shared" si="44"/>
        <v>0.32008446969076887</v>
      </c>
    </row>
    <row r="943" spans="1:22" outlineLevel="1">
      <c r="A943" s="1" t="s">
        <v>725</v>
      </c>
      <c r="E943" s="4">
        <f>SUBTOTAL(9,E938:E942)</f>
        <v>-15078.050000000003</v>
      </c>
      <c r="F943" s="4">
        <f>SUBTOTAL(9,F938:F942)</f>
        <v>2047</v>
      </c>
      <c r="G943" s="4">
        <f>SUBTOTAL(9,G938:G942)</f>
        <v>122540.81</v>
      </c>
      <c r="H943" s="4">
        <f>SUBTOTAL(9,H938:H942)</f>
        <v>55740.76</v>
      </c>
      <c r="I943" s="4">
        <f>SUBTOTAL(9,I938:I942)</f>
        <v>16114.38</v>
      </c>
      <c r="J943" s="4">
        <f>SUBTOTAL(9,J938:J942)</f>
        <v>33904</v>
      </c>
      <c r="K943" s="4">
        <f>SUBTOTAL(9,K938:K942)</f>
        <v>-597.74999999999977</v>
      </c>
      <c r="L943" s="4">
        <f>SUBTOTAL(9,L938:L942)</f>
        <v>0</v>
      </c>
      <c r="M943" s="4">
        <f>SUBTOTAL(9,M938:M942)</f>
        <v>38501.449999999997</v>
      </c>
      <c r="N943" s="4">
        <f>SUBTOTAL(9,N938:N942)</f>
        <v>10335</v>
      </c>
      <c r="O943" s="4">
        <f>SUBTOTAL(9,O938:O942)</f>
        <v>920</v>
      </c>
      <c r="P943" s="4">
        <f>SUBTOTAL(9,P938:P942)</f>
        <v>2340</v>
      </c>
      <c r="Q943" s="4">
        <f>SUBTOTAL(9,Q938:Q942)</f>
        <v>-1097.9100000000001</v>
      </c>
      <c r="R943" s="4">
        <f>SUBTOTAL(9,R938:R942)</f>
        <v>6640.82</v>
      </c>
      <c r="S943" s="8">
        <f t="shared" si="42"/>
        <v>8499.7566666666662</v>
      </c>
      <c r="T943" s="8">
        <f t="shared" si="43"/>
        <v>-1858.9366666666665</v>
      </c>
      <c r="U943" s="9">
        <f t="shared" si="44"/>
        <v>-0.21870469233040787</v>
      </c>
    </row>
    <row r="944" spans="1:22" outlineLevel="2">
      <c r="A944" t="s">
        <v>328</v>
      </c>
      <c r="B944" t="s">
        <v>329</v>
      </c>
      <c r="C944" t="s">
        <v>21</v>
      </c>
      <c r="D944" t="s">
        <v>22</v>
      </c>
      <c r="E944" s="4">
        <v>0</v>
      </c>
      <c r="F944" s="4">
        <v>0</v>
      </c>
      <c r="G944" s="4">
        <v>0</v>
      </c>
      <c r="H944" s="4">
        <v>0</v>
      </c>
      <c r="I944" s="4">
        <v>0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14.08</v>
      </c>
      <c r="S944" s="8">
        <f t="shared" si="42"/>
        <v>0</v>
      </c>
      <c r="T944" s="8">
        <f t="shared" si="43"/>
        <v>14.08</v>
      </c>
      <c r="U944" s="9" t="e">
        <f t="shared" si="44"/>
        <v>#DIV/0!</v>
      </c>
      <c r="V944" t="s">
        <v>895</v>
      </c>
    </row>
    <row r="945" spans="1:22" outlineLevel="2">
      <c r="A945" t="s">
        <v>328</v>
      </c>
      <c r="B945" t="s">
        <v>329</v>
      </c>
      <c r="C945" t="s">
        <v>23</v>
      </c>
      <c r="D945" t="s">
        <v>24</v>
      </c>
      <c r="E945" s="4">
        <v>0</v>
      </c>
      <c r="F945" s="4">
        <v>0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260.11</v>
      </c>
      <c r="S945" s="8">
        <f t="shared" si="42"/>
        <v>0</v>
      </c>
      <c r="T945" s="8">
        <f t="shared" si="43"/>
        <v>260.11</v>
      </c>
      <c r="U945" s="9" t="e">
        <f t="shared" si="44"/>
        <v>#DIV/0!</v>
      </c>
      <c r="V945" t="s">
        <v>895</v>
      </c>
    </row>
    <row r="946" spans="1:22" outlineLevel="2">
      <c r="A946" t="s">
        <v>328</v>
      </c>
      <c r="B946" t="s">
        <v>329</v>
      </c>
      <c r="C946" t="s">
        <v>25</v>
      </c>
      <c r="D946" t="s">
        <v>26</v>
      </c>
      <c r="E946" s="4">
        <v>0</v>
      </c>
      <c r="F946" s="4">
        <v>0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403.4</v>
      </c>
      <c r="S946" s="8">
        <f t="shared" si="42"/>
        <v>0</v>
      </c>
      <c r="T946" s="8">
        <f t="shared" si="43"/>
        <v>403.4</v>
      </c>
      <c r="U946" s="9" t="e">
        <f t="shared" si="44"/>
        <v>#DIV/0!</v>
      </c>
      <c r="V946" t="s">
        <v>895</v>
      </c>
    </row>
    <row r="947" spans="1:22" outlineLevel="2">
      <c r="A947" t="s">
        <v>328</v>
      </c>
      <c r="B947" t="s">
        <v>329</v>
      </c>
      <c r="C947" t="s">
        <v>27</v>
      </c>
      <c r="D947" t="s">
        <v>28</v>
      </c>
      <c r="E947" s="4">
        <v>0</v>
      </c>
      <c r="F947" s="4">
        <v>0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2221.1999999999998</v>
      </c>
      <c r="S947" s="8">
        <f t="shared" si="42"/>
        <v>0</v>
      </c>
      <c r="T947" s="8">
        <f t="shared" si="43"/>
        <v>2221.1999999999998</v>
      </c>
      <c r="U947" s="9" t="e">
        <f t="shared" si="44"/>
        <v>#DIV/0!</v>
      </c>
      <c r="V947" t="s">
        <v>895</v>
      </c>
    </row>
    <row r="948" spans="1:22" outlineLevel="2">
      <c r="A948" t="s">
        <v>328</v>
      </c>
      <c r="B948" t="s">
        <v>329</v>
      </c>
      <c r="C948" t="s">
        <v>33</v>
      </c>
      <c r="D948" t="s">
        <v>34</v>
      </c>
      <c r="E948" s="4">
        <v>0</v>
      </c>
      <c r="F948" s="4">
        <v>15000</v>
      </c>
      <c r="G948" s="4">
        <v>-15000</v>
      </c>
      <c r="H948" s="4">
        <v>15000</v>
      </c>
      <c r="I948" s="4">
        <v>0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20000</v>
      </c>
      <c r="S948" s="8">
        <f t="shared" si="42"/>
        <v>3333.3333333333335</v>
      </c>
      <c r="T948" s="8">
        <f t="shared" si="43"/>
        <v>-3333.3333333333335</v>
      </c>
      <c r="U948" s="9">
        <f t="shared" si="44"/>
        <v>-1</v>
      </c>
    </row>
    <row r="949" spans="1:22" outlineLevel="2">
      <c r="A949" t="s">
        <v>328</v>
      </c>
      <c r="B949" t="s">
        <v>329</v>
      </c>
      <c r="C949" t="s">
        <v>89</v>
      </c>
      <c r="D949" t="s">
        <v>90</v>
      </c>
      <c r="E949" s="4">
        <v>0</v>
      </c>
      <c r="F949" s="4">
        <v>0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14302.1</v>
      </c>
      <c r="N949" s="4">
        <v>0</v>
      </c>
      <c r="O949" s="4">
        <v>0</v>
      </c>
      <c r="P949" s="4">
        <v>0</v>
      </c>
      <c r="Q949" s="4">
        <v>0</v>
      </c>
      <c r="S949" s="8">
        <f t="shared" si="42"/>
        <v>2383.6833333333334</v>
      </c>
      <c r="T949" s="8">
        <f t="shared" si="43"/>
        <v>-2383.6833333333334</v>
      </c>
      <c r="U949" s="9">
        <f t="shared" si="44"/>
        <v>-1</v>
      </c>
    </row>
    <row r="950" spans="1:22" outlineLevel="2">
      <c r="A950" t="s">
        <v>328</v>
      </c>
      <c r="B950" t="s">
        <v>329</v>
      </c>
      <c r="C950" t="s">
        <v>99</v>
      </c>
      <c r="D950" t="s">
        <v>100</v>
      </c>
      <c r="E950" s="4">
        <v>0</v>
      </c>
      <c r="F950" s="4">
        <v>0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4">
        <v>0</v>
      </c>
      <c r="M950" s="4">
        <v>11046.15</v>
      </c>
      <c r="N950" s="4">
        <v>0</v>
      </c>
      <c r="O950" s="4">
        <v>15250</v>
      </c>
      <c r="P950" s="4">
        <v>18953.849999999999</v>
      </c>
      <c r="Q950" s="4">
        <v>0</v>
      </c>
      <c r="S950" s="8">
        <f t="shared" si="42"/>
        <v>7541.666666666667</v>
      </c>
      <c r="T950" s="8">
        <f t="shared" si="43"/>
        <v>-7541.666666666667</v>
      </c>
      <c r="U950" s="9">
        <f t="shared" si="44"/>
        <v>-1</v>
      </c>
    </row>
    <row r="951" spans="1:22" outlineLevel="2">
      <c r="A951" t="s">
        <v>328</v>
      </c>
      <c r="B951" t="s">
        <v>329</v>
      </c>
      <c r="C951" t="s">
        <v>103</v>
      </c>
      <c r="D951" t="s">
        <v>104</v>
      </c>
      <c r="E951" s="4">
        <v>4000</v>
      </c>
      <c r="F951" s="4">
        <v>9976</v>
      </c>
      <c r="G951" s="4">
        <v>960</v>
      </c>
      <c r="H951" s="4">
        <v>3913</v>
      </c>
      <c r="I951" s="4">
        <v>0</v>
      </c>
      <c r="J951" s="4">
        <v>0</v>
      </c>
      <c r="K951" s="4">
        <v>1193</v>
      </c>
      <c r="L951" s="4">
        <v>0</v>
      </c>
      <c r="M951" s="4">
        <v>0</v>
      </c>
      <c r="N951" s="4">
        <v>-1</v>
      </c>
      <c r="O951" s="4">
        <v>0</v>
      </c>
      <c r="P951" s="4">
        <v>0</v>
      </c>
      <c r="Q951" s="4">
        <v>0</v>
      </c>
      <c r="S951" s="8">
        <f t="shared" si="42"/>
        <v>-0.16666666666666666</v>
      </c>
      <c r="T951" s="8">
        <f t="shared" si="43"/>
        <v>0.16666666666666666</v>
      </c>
      <c r="U951" s="9">
        <f t="shared" si="44"/>
        <v>-1</v>
      </c>
    </row>
    <row r="952" spans="1:22" outlineLevel="2">
      <c r="A952" t="s">
        <v>328</v>
      </c>
      <c r="B952" t="s">
        <v>329</v>
      </c>
      <c r="C952" t="s">
        <v>127</v>
      </c>
      <c r="D952" t="s">
        <v>120</v>
      </c>
      <c r="E952" s="4">
        <v>0</v>
      </c>
      <c r="F952" s="4">
        <v>0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195392</v>
      </c>
      <c r="Q952" s="4">
        <v>0</v>
      </c>
      <c r="R952" s="4">
        <v>14000</v>
      </c>
      <c r="S952" s="8">
        <f t="shared" si="42"/>
        <v>32565.333333333332</v>
      </c>
      <c r="T952" s="8">
        <f t="shared" si="43"/>
        <v>-18565.333333333332</v>
      </c>
      <c r="U952" s="9">
        <f t="shared" si="44"/>
        <v>-0.57009498853586638</v>
      </c>
    </row>
    <row r="953" spans="1:22" outlineLevel="1">
      <c r="A953" s="1" t="s">
        <v>726</v>
      </c>
      <c r="E953" s="4">
        <f>SUBTOTAL(9,E944:E952)</f>
        <v>4000</v>
      </c>
      <c r="F953" s="4">
        <f>SUBTOTAL(9,F944:F952)</f>
        <v>24976</v>
      </c>
      <c r="G953" s="4">
        <f>SUBTOTAL(9,G944:G952)</f>
        <v>-14040</v>
      </c>
      <c r="H953" s="4">
        <f>SUBTOTAL(9,H944:H952)</f>
        <v>18913</v>
      </c>
      <c r="I953" s="4">
        <f>SUBTOTAL(9,I944:I952)</f>
        <v>0</v>
      </c>
      <c r="J953" s="4">
        <f>SUBTOTAL(9,J944:J952)</f>
        <v>0</v>
      </c>
      <c r="K953" s="4">
        <f>SUBTOTAL(9,K944:K952)</f>
        <v>1193</v>
      </c>
      <c r="L953" s="4">
        <f>SUBTOTAL(9,L944:L952)</f>
        <v>0</v>
      </c>
      <c r="M953" s="4">
        <f>SUBTOTAL(9,M944:M952)</f>
        <v>25348.25</v>
      </c>
      <c r="N953" s="4">
        <f>SUBTOTAL(9,N944:N952)</f>
        <v>-1</v>
      </c>
      <c r="O953" s="4">
        <f>SUBTOTAL(9,O944:O952)</f>
        <v>15250</v>
      </c>
      <c r="P953" s="4">
        <f>SUBTOTAL(9,P944:P952)</f>
        <v>214345.85</v>
      </c>
      <c r="Q953" s="4">
        <f>SUBTOTAL(9,Q944:Q952)</f>
        <v>20000</v>
      </c>
      <c r="R953" s="4">
        <f>SUBTOTAL(9,R944:R952)</f>
        <v>16898.79</v>
      </c>
      <c r="S953" s="8">
        <f t="shared" si="42"/>
        <v>45823.85</v>
      </c>
      <c r="T953" s="8">
        <f t="shared" si="43"/>
        <v>-28925.059999999998</v>
      </c>
      <c r="U953" s="9">
        <f t="shared" si="44"/>
        <v>-0.63122282392247697</v>
      </c>
    </row>
    <row r="954" spans="1:22" outlineLevel="2">
      <c r="A954" t="s">
        <v>330</v>
      </c>
      <c r="B954" t="s">
        <v>331</v>
      </c>
      <c r="C954" t="s">
        <v>21</v>
      </c>
      <c r="D954" t="s">
        <v>22</v>
      </c>
      <c r="E954" s="4">
        <v>189.57</v>
      </c>
      <c r="F954" s="4">
        <v>1072.02</v>
      </c>
      <c r="G954" s="4">
        <v>325.83</v>
      </c>
      <c r="H954" s="4">
        <v>354.13</v>
      </c>
      <c r="I954" s="4">
        <v>1147.4799999999998</v>
      </c>
      <c r="J954" s="4">
        <v>0</v>
      </c>
      <c r="K954" s="4">
        <v>2361.23</v>
      </c>
      <c r="L954" s="4">
        <v>8175.5899999999992</v>
      </c>
      <c r="M954" s="4">
        <v>282.66000000000003</v>
      </c>
      <c r="N954" s="4">
        <v>6126.5</v>
      </c>
      <c r="O954" s="4">
        <v>10516.669999999998</v>
      </c>
      <c r="P954" s="4">
        <v>-16643.169999999998</v>
      </c>
      <c r="Q954" s="4">
        <v>1.4210854715202004E-13</v>
      </c>
      <c r="S954" s="8">
        <f t="shared" si="42"/>
        <v>1409.7083333333333</v>
      </c>
      <c r="T954" s="8">
        <f t="shared" si="43"/>
        <v>-1409.7083333333333</v>
      </c>
      <c r="U954" s="9">
        <f t="shared" si="44"/>
        <v>-1</v>
      </c>
    </row>
    <row r="955" spans="1:22" outlineLevel="2">
      <c r="A955" t="s">
        <v>330</v>
      </c>
      <c r="B955" t="s">
        <v>331</v>
      </c>
      <c r="C955" t="s">
        <v>23</v>
      </c>
      <c r="D955" t="s">
        <v>24</v>
      </c>
      <c r="E955" s="4">
        <v>0</v>
      </c>
      <c r="F955" s="4">
        <v>760.15000000000009</v>
      </c>
      <c r="G955" s="4">
        <v>1534.8799999999999</v>
      </c>
      <c r="H955" s="4">
        <v>121.2</v>
      </c>
      <c r="I955" s="4">
        <v>920.4799999999999</v>
      </c>
      <c r="J955" s="4">
        <v>0</v>
      </c>
      <c r="K955" s="4">
        <v>0</v>
      </c>
      <c r="L955" s="4">
        <v>10680.960000000003</v>
      </c>
      <c r="M955" s="4">
        <v>23.45</v>
      </c>
      <c r="N955" s="4">
        <v>1094.0999999999999</v>
      </c>
      <c r="O955" s="4">
        <v>80.69</v>
      </c>
      <c r="P955" s="4">
        <v>-1174.79</v>
      </c>
      <c r="Q955" s="4">
        <v>-4.2632564145606011E-14</v>
      </c>
      <c r="S955" s="8">
        <f t="shared" si="42"/>
        <v>1784.0683333333338</v>
      </c>
      <c r="T955" s="8">
        <f t="shared" si="43"/>
        <v>-1784.0683333333338</v>
      </c>
      <c r="U955" s="9">
        <f t="shared" si="44"/>
        <v>-1</v>
      </c>
    </row>
    <row r="956" spans="1:22" outlineLevel="2">
      <c r="A956" t="s">
        <v>330</v>
      </c>
      <c r="B956" t="s">
        <v>331</v>
      </c>
      <c r="C956" t="s">
        <v>25</v>
      </c>
      <c r="D956" t="s">
        <v>26</v>
      </c>
      <c r="E956" s="4">
        <v>0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398.79999999999995</v>
      </c>
      <c r="N956" s="4">
        <v>450.13</v>
      </c>
      <c r="O956" s="4">
        <v>383.22</v>
      </c>
      <c r="P956" s="4">
        <v>-833.35</v>
      </c>
      <c r="Q956" s="4">
        <v>0</v>
      </c>
      <c r="S956" s="8">
        <f t="shared" si="42"/>
        <v>66.466666666666683</v>
      </c>
      <c r="T956" s="8">
        <f t="shared" si="43"/>
        <v>-66.466666666666683</v>
      </c>
      <c r="U956" s="9">
        <f t="shared" si="44"/>
        <v>-1</v>
      </c>
    </row>
    <row r="957" spans="1:22" outlineLevel="2">
      <c r="A957" t="s">
        <v>330</v>
      </c>
      <c r="B957" t="s">
        <v>331</v>
      </c>
      <c r="C957" t="s">
        <v>27</v>
      </c>
      <c r="D957" t="s">
        <v>28</v>
      </c>
      <c r="E957" s="4">
        <v>0</v>
      </c>
      <c r="F957" s="4">
        <v>0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256.60000000000002</v>
      </c>
      <c r="N957" s="4">
        <v>1847.0500000000002</v>
      </c>
      <c r="O957" s="4">
        <v>722.95</v>
      </c>
      <c r="P957" s="4">
        <v>-2570</v>
      </c>
      <c r="Q957" s="4">
        <v>0</v>
      </c>
      <c r="S957" s="8">
        <f t="shared" si="42"/>
        <v>42.76666666666673</v>
      </c>
      <c r="T957" s="8">
        <f t="shared" si="43"/>
        <v>-42.76666666666673</v>
      </c>
      <c r="U957" s="9">
        <f t="shared" si="44"/>
        <v>-1</v>
      </c>
    </row>
    <row r="958" spans="1:22" outlineLevel="2">
      <c r="A958" t="s">
        <v>330</v>
      </c>
      <c r="B958" t="s">
        <v>331</v>
      </c>
      <c r="C958" t="s">
        <v>136</v>
      </c>
      <c r="D958" t="s">
        <v>137</v>
      </c>
      <c r="E958" s="4">
        <v>0</v>
      </c>
      <c r="F958" s="4">
        <v>0</v>
      </c>
      <c r="G958" s="4">
        <v>0</v>
      </c>
      <c r="H958" s="4">
        <v>0</v>
      </c>
      <c r="I958" s="4">
        <v>0</v>
      </c>
      <c r="J958" s="4">
        <v>0</v>
      </c>
      <c r="K958" s="4">
        <v>0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S958" s="8">
        <f t="shared" si="42"/>
        <v>0</v>
      </c>
      <c r="T958" s="8">
        <f t="shared" si="43"/>
        <v>0</v>
      </c>
      <c r="U958" s="9" t="e">
        <f t="shared" si="44"/>
        <v>#DIV/0!</v>
      </c>
    </row>
    <row r="959" spans="1:22" outlineLevel="2">
      <c r="A959" t="s">
        <v>330</v>
      </c>
      <c r="B959" t="s">
        <v>331</v>
      </c>
      <c r="C959" t="s">
        <v>144</v>
      </c>
      <c r="D959" t="s">
        <v>145</v>
      </c>
      <c r="E959" s="4">
        <v>0</v>
      </c>
      <c r="F959" s="4">
        <v>0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S959" s="8">
        <f t="shared" si="42"/>
        <v>0</v>
      </c>
      <c r="T959" s="8">
        <f t="shared" si="43"/>
        <v>0</v>
      </c>
      <c r="U959" s="9" t="e">
        <f t="shared" si="44"/>
        <v>#DIV/0!</v>
      </c>
    </row>
    <row r="960" spans="1:22" outlineLevel="2">
      <c r="A960" t="s">
        <v>330</v>
      </c>
      <c r="B960" t="s">
        <v>331</v>
      </c>
      <c r="C960" t="s">
        <v>146</v>
      </c>
      <c r="D960" t="s">
        <v>147</v>
      </c>
      <c r="E960" s="4">
        <v>0</v>
      </c>
      <c r="F960" s="4">
        <v>0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S960" s="8">
        <f t="shared" si="42"/>
        <v>0</v>
      </c>
      <c r="T960" s="8">
        <f t="shared" si="43"/>
        <v>0</v>
      </c>
      <c r="U960" s="9" t="e">
        <f t="shared" si="44"/>
        <v>#DIV/0!</v>
      </c>
    </row>
    <row r="961" spans="1:21" outlineLevel="2">
      <c r="A961" t="s">
        <v>330</v>
      </c>
      <c r="B961" t="s">
        <v>331</v>
      </c>
      <c r="C961" t="s">
        <v>152</v>
      </c>
      <c r="D961" t="s">
        <v>153</v>
      </c>
      <c r="E961" s="4">
        <v>0</v>
      </c>
      <c r="F961" s="4">
        <v>0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S961" s="8">
        <f t="shared" si="42"/>
        <v>0</v>
      </c>
      <c r="T961" s="8">
        <f t="shared" si="43"/>
        <v>0</v>
      </c>
      <c r="U961" s="9" t="e">
        <f t="shared" si="44"/>
        <v>#DIV/0!</v>
      </c>
    </row>
    <row r="962" spans="1:21" outlineLevel="2">
      <c r="A962" t="s">
        <v>330</v>
      </c>
      <c r="B962" t="s">
        <v>331</v>
      </c>
      <c r="C962" t="s">
        <v>154</v>
      </c>
      <c r="D962" t="s">
        <v>155</v>
      </c>
      <c r="E962" s="4">
        <v>0</v>
      </c>
      <c r="F962" s="4">
        <v>0</v>
      </c>
      <c r="G962" s="4">
        <v>0</v>
      </c>
      <c r="H962" s="4">
        <v>0</v>
      </c>
      <c r="I962" s="4">
        <v>0</v>
      </c>
      <c r="J962" s="4">
        <v>0</v>
      </c>
      <c r="K962" s="4">
        <v>0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S962" s="8">
        <f t="shared" si="42"/>
        <v>0</v>
      </c>
      <c r="T962" s="8">
        <f t="shared" si="43"/>
        <v>0</v>
      </c>
      <c r="U962" s="9" t="e">
        <f t="shared" si="44"/>
        <v>#DIV/0!</v>
      </c>
    </row>
    <row r="963" spans="1:21" outlineLevel="2">
      <c r="A963" t="s">
        <v>330</v>
      </c>
      <c r="B963" t="s">
        <v>331</v>
      </c>
      <c r="C963" t="s">
        <v>164</v>
      </c>
      <c r="D963" t="s">
        <v>165</v>
      </c>
      <c r="E963" s="4">
        <v>0</v>
      </c>
      <c r="F963" s="4">
        <v>0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S963" s="8">
        <f t="shared" ref="S963:S1026" si="45">AVERAGE(L963:Q963)</f>
        <v>0</v>
      </c>
      <c r="T963" s="8">
        <f t="shared" ref="T963:T1026" si="46">R963-S963</f>
        <v>0</v>
      </c>
      <c r="U963" s="9" t="e">
        <f t="shared" ref="U963:U1026" si="47">(R963-S963)/S963</f>
        <v>#DIV/0!</v>
      </c>
    </row>
    <row r="964" spans="1:21" outlineLevel="2">
      <c r="A964" t="s">
        <v>330</v>
      </c>
      <c r="B964" t="s">
        <v>331</v>
      </c>
      <c r="C964" t="s">
        <v>101</v>
      </c>
      <c r="D964" t="s">
        <v>102</v>
      </c>
      <c r="E964" s="4">
        <v>0</v>
      </c>
      <c r="F964" s="4">
        <v>0</v>
      </c>
      <c r="G964" s="4">
        <v>53750</v>
      </c>
      <c r="H964" s="4">
        <v>0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S964" s="8">
        <f t="shared" si="45"/>
        <v>0</v>
      </c>
      <c r="T964" s="8">
        <f t="shared" si="46"/>
        <v>0</v>
      </c>
      <c r="U964" s="9" t="e">
        <f t="shared" si="47"/>
        <v>#DIV/0!</v>
      </c>
    </row>
    <row r="965" spans="1:21" outlineLevel="2">
      <c r="A965" t="s">
        <v>330</v>
      </c>
      <c r="B965" t="s">
        <v>331</v>
      </c>
      <c r="C965" t="s">
        <v>127</v>
      </c>
      <c r="D965" t="s">
        <v>120</v>
      </c>
      <c r="E965" s="4">
        <v>0</v>
      </c>
      <c r="F965" s="4">
        <v>0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>
        <v>345.36</v>
      </c>
      <c r="M965" s="4">
        <v>30.25</v>
      </c>
      <c r="N965" s="4">
        <v>81.14</v>
      </c>
      <c r="O965" s="4">
        <v>359.76</v>
      </c>
      <c r="P965" s="4">
        <v>-440.9</v>
      </c>
      <c r="Q965" s="4">
        <v>0</v>
      </c>
      <c r="S965" s="8">
        <f t="shared" si="45"/>
        <v>62.601666666666667</v>
      </c>
      <c r="T965" s="8">
        <f t="shared" si="46"/>
        <v>-62.601666666666667</v>
      </c>
      <c r="U965" s="9">
        <f t="shared" si="47"/>
        <v>-1</v>
      </c>
    </row>
    <row r="966" spans="1:21" outlineLevel="1">
      <c r="A966" s="1" t="s">
        <v>727</v>
      </c>
      <c r="E966" s="4">
        <f>SUBTOTAL(9,E954:E965)</f>
        <v>189.57</v>
      </c>
      <c r="F966" s="4">
        <f>SUBTOTAL(9,F954:F965)</f>
        <v>1832.17</v>
      </c>
      <c r="G966" s="4">
        <f>SUBTOTAL(9,G954:G965)</f>
        <v>55610.71</v>
      </c>
      <c r="H966" s="4">
        <f>SUBTOTAL(9,H954:H965)</f>
        <v>475.33</v>
      </c>
      <c r="I966" s="4">
        <f>SUBTOTAL(9,I954:I965)</f>
        <v>2067.9599999999996</v>
      </c>
      <c r="J966" s="4">
        <f>SUBTOTAL(9,J954:J965)</f>
        <v>0</v>
      </c>
      <c r="K966" s="4">
        <f>SUBTOTAL(9,K954:K965)</f>
        <v>2361.23</v>
      </c>
      <c r="L966" s="4">
        <f>SUBTOTAL(9,L954:L965)</f>
        <v>19201.910000000003</v>
      </c>
      <c r="M966" s="4">
        <f>SUBTOTAL(9,M954:M965)</f>
        <v>991.76</v>
      </c>
      <c r="N966" s="4">
        <f>SUBTOTAL(9,N954:N965)</f>
        <v>9598.92</v>
      </c>
      <c r="O966" s="4">
        <f>SUBTOTAL(9,O954:O965)</f>
        <v>12063.289999999999</v>
      </c>
      <c r="P966" s="4">
        <f>SUBTOTAL(9,P954:P965)</f>
        <v>-21662.21</v>
      </c>
      <c r="Q966" s="4">
        <f>SUBTOTAL(9,Q954:Q965)</f>
        <v>9.9475983006414026E-14</v>
      </c>
      <c r="R966" s="4">
        <f>SUBTOTAL(9,R954:R965)</f>
        <v>0</v>
      </c>
      <c r="S966" s="8">
        <f t="shared" si="45"/>
        <v>3365.6116666666676</v>
      </c>
      <c r="T966" s="8">
        <f t="shared" si="46"/>
        <v>-3365.6116666666676</v>
      </c>
      <c r="U966" s="9">
        <f t="shared" si="47"/>
        <v>-1</v>
      </c>
    </row>
    <row r="967" spans="1:21" outlineLevel="2">
      <c r="A967" t="s">
        <v>332</v>
      </c>
      <c r="B967" t="s">
        <v>333</v>
      </c>
      <c r="C967" t="s">
        <v>21</v>
      </c>
      <c r="D967" t="s">
        <v>22</v>
      </c>
      <c r="E967" s="4">
        <v>0</v>
      </c>
      <c r="F967" s="4">
        <v>0</v>
      </c>
      <c r="G967" s="4">
        <v>0</v>
      </c>
      <c r="H967" s="4">
        <v>599.35</v>
      </c>
      <c r="I967" s="4">
        <v>0</v>
      </c>
      <c r="J967" s="4">
        <v>40.46</v>
      </c>
      <c r="K967" s="4">
        <v>0</v>
      </c>
      <c r="L967" s="4">
        <v>387.00000000000006</v>
      </c>
      <c r="M967" s="4">
        <v>0</v>
      </c>
      <c r="N967" s="4">
        <v>105.68</v>
      </c>
      <c r="O967" s="4">
        <v>114.39</v>
      </c>
      <c r="P967" s="4">
        <v>662.68</v>
      </c>
      <c r="Q967" s="4">
        <v>0</v>
      </c>
      <c r="R967" s="4">
        <v>216.13</v>
      </c>
      <c r="S967" s="8">
        <f t="shared" si="45"/>
        <v>211.625</v>
      </c>
      <c r="T967" s="8">
        <f t="shared" si="46"/>
        <v>4.5049999999999955</v>
      </c>
      <c r="U967" s="9">
        <f t="shared" si="47"/>
        <v>2.1287655050206713E-2</v>
      </c>
    </row>
    <row r="968" spans="1:21" outlineLevel="2">
      <c r="A968" t="s">
        <v>332</v>
      </c>
      <c r="B968" t="s">
        <v>333</v>
      </c>
      <c r="C968" t="s">
        <v>23</v>
      </c>
      <c r="D968" t="s">
        <v>24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9016.9000000000015</v>
      </c>
      <c r="Q968" s="4">
        <v>0</v>
      </c>
      <c r="S968" s="8">
        <f t="shared" si="45"/>
        <v>1502.8166666666668</v>
      </c>
      <c r="T968" s="8">
        <f t="shared" si="46"/>
        <v>-1502.8166666666668</v>
      </c>
      <c r="U968" s="9">
        <f t="shared" si="47"/>
        <v>-1</v>
      </c>
    </row>
    <row r="969" spans="1:21" outlineLevel="2">
      <c r="A969" t="s">
        <v>332</v>
      </c>
      <c r="B969" t="s">
        <v>333</v>
      </c>
      <c r="C969" t="s">
        <v>25</v>
      </c>
      <c r="D969" t="s">
        <v>26</v>
      </c>
      <c r="E969" s="4">
        <v>0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  <c r="O969" s="4">
        <v>685.3</v>
      </c>
      <c r="P969" s="4">
        <v>0</v>
      </c>
      <c r="Q969" s="4">
        <v>0</v>
      </c>
      <c r="S969" s="8">
        <f t="shared" si="45"/>
        <v>114.21666666666665</v>
      </c>
      <c r="T969" s="8">
        <f t="shared" si="46"/>
        <v>-114.21666666666665</v>
      </c>
      <c r="U969" s="9">
        <f t="shared" si="47"/>
        <v>-1</v>
      </c>
    </row>
    <row r="970" spans="1:21" outlineLevel="2">
      <c r="A970" t="s">
        <v>332</v>
      </c>
      <c r="B970" t="s">
        <v>333</v>
      </c>
      <c r="C970" t="s">
        <v>274</v>
      </c>
      <c r="D970" t="s">
        <v>275</v>
      </c>
      <c r="E970" s="4">
        <v>0</v>
      </c>
      <c r="F970" s="4">
        <v>0</v>
      </c>
      <c r="G970" s="4">
        <v>0</v>
      </c>
      <c r="H970" s="4">
        <v>0</v>
      </c>
      <c r="I970" s="4">
        <v>29</v>
      </c>
      <c r="J970" s="4">
        <v>0</v>
      </c>
      <c r="K970" s="4">
        <v>0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S970" s="8">
        <f t="shared" si="45"/>
        <v>0</v>
      </c>
      <c r="T970" s="8">
        <f t="shared" si="46"/>
        <v>0</v>
      </c>
      <c r="U970" s="9" t="e">
        <f t="shared" si="47"/>
        <v>#DIV/0!</v>
      </c>
    </row>
    <row r="971" spans="1:21" outlineLevel="2">
      <c r="A971" t="s">
        <v>332</v>
      </c>
      <c r="B971" t="s">
        <v>333</v>
      </c>
      <c r="C971" t="s">
        <v>196</v>
      </c>
      <c r="D971" t="s">
        <v>197</v>
      </c>
      <c r="E971" s="4">
        <v>4946.2700000000004</v>
      </c>
      <c r="F971" s="4">
        <v>0</v>
      </c>
      <c r="G971" s="4">
        <v>0</v>
      </c>
      <c r="H971" s="4">
        <v>0</v>
      </c>
      <c r="I971" s="4">
        <v>20814.490000000002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S971" s="8">
        <f t="shared" si="45"/>
        <v>0</v>
      </c>
      <c r="T971" s="8">
        <f t="shared" si="46"/>
        <v>0</v>
      </c>
      <c r="U971" s="9" t="e">
        <f t="shared" si="47"/>
        <v>#DIV/0!</v>
      </c>
    </row>
    <row r="972" spans="1:21" outlineLevel="2">
      <c r="A972" t="s">
        <v>332</v>
      </c>
      <c r="B972" t="s">
        <v>333</v>
      </c>
      <c r="C972" t="s">
        <v>83</v>
      </c>
      <c r="D972" t="s">
        <v>84</v>
      </c>
      <c r="E972" s="4">
        <v>0</v>
      </c>
      <c r="F972" s="4">
        <v>0</v>
      </c>
      <c r="G972" s="4">
        <v>0</v>
      </c>
      <c r="H972" s="4">
        <v>0</v>
      </c>
      <c r="I972" s="4">
        <v>260.77</v>
      </c>
      <c r="J972" s="4">
        <v>0</v>
      </c>
      <c r="K972" s="4">
        <v>225.57999999999998</v>
      </c>
      <c r="L972" s="4">
        <v>94.03</v>
      </c>
      <c r="M972" s="4">
        <v>0</v>
      </c>
      <c r="N972" s="4">
        <v>0</v>
      </c>
      <c r="O972" s="4">
        <v>132</v>
      </c>
      <c r="P972" s="4">
        <v>3271.2300000000009</v>
      </c>
      <c r="Q972" s="4">
        <v>1207.26</v>
      </c>
      <c r="S972" s="8">
        <f t="shared" si="45"/>
        <v>784.08666666666693</v>
      </c>
      <c r="T972" s="8">
        <f t="shared" si="46"/>
        <v>-784.08666666666693</v>
      </c>
      <c r="U972" s="9">
        <f t="shared" si="47"/>
        <v>-1</v>
      </c>
    </row>
    <row r="973" spans="1:21" outlineLevel="2">
      <c r="A973" t="s">
        <v>332</v>
      </c>
      <c r="B973" t="s">
        <v>333</v>
      </c>
      <c r="C973" t="s">
        <v>87</v>
      </c>
      <c r="D973" t="s">
        <v>88</v>
      </c>
      <c r="E973" s="4">
        <v>0</v>
      </c>
      <c r="F973" s="4">
        <v>0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2413.34</v>
      </c>
      <c r="O973" s="4">
        <v>0</v>
      </c>
      <c r="P973" s="4">
        <v>0</v>
      </c>
      <c r="Q973" s="4">
        <v>0</v>
      </c>
      <c r="S973" s="8">
        <f t="shared" si="45"/>
        <v>402.22333333333336</v>
      </c>
      <c r="T973" s="8">
        <f t="shared" si="46"/>
        <v>-402.22333333333336</v>
      </c>
      <c r="U973" s="9">
        <f t="shared" si="47"/>
        <v>-1</v>
      </c>
    </row>
    <row r="974" spans="1:21" outlineLevel="2">
      <c r="A974" t="s">
        <v>332</v>
      </c>
      <c r="B974" t="s">
        <v>333</v>
      </c>
      <c r="C974" t="s">
        <v>93</v>
      </c>
      <c r="D974" t="s">
        <v>94</v>
      </c>
      <c r="E974" s="4">
        <v>0</v>
      </c>
      <c r="F974" s="4">
        <v>0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  <c r="L974" s="4">
        <v>0</v>
      </c>
      <c r="M974" s="4">
        <v>0</v>
      </c>
      <c r="N974" s="4">
        <v>0</v>
      </c>
      <c r="O974" s="4">
        <v>13057.01</v>
      </c>
      <c r="P974" s="4">
        <v>13842.750000000002</v>
      </c>
      <c r="Q974" s="4">
        <v>0</v>
      </c>
      <c r="S974" s="8">
        <f t="shared" si="45"/>
        <v>4483.293333333334</v>
      </c>
      <c r="T974" s="8">
        <f t="shared" si="46"/>
        <v>-4483.293333333334</v>
      </c>
      <c r="U974" s="9">
        <f t="shared" si="47"/>
        <v>-1</v>
      </c>
    </row>
    <row r="975" spans="1:21" outlineLevel="2">
      <c r="A975" t="s">
        <v>332</v>
      </c>
      <c r="B975" t="s">
        <v>333</v>
      </c>
      <c r="C975" t="s">
        <v>184</v>
      </c>
      <c r="D975" t="s">
        <v>185</v>
      </c>
      <c r="E975" s="4">
        <v>356.69</v>
      </c>
      <c r="F975" s="4">
        <v>80.52</v>
      </c>
      <c r="G975" s="4">
        <v>12100.97</v>
      </c>
      <c r="H975" s="4">
        <v>4934.2</v>
      </c>
      <c r="I975" s="4">
        <v>669.64</v>
      </c>
      <c r="J975" s="4">
        <v>0</v>
      </c>
      <c r="K975" s="4">
        <v>0</v>
      </c>
      <c r="L975" s="4">
        <v>798.59</v>
      </c>
      <c r="M975" s="4">
        <v>915.61999999999989</v>
      </c>
      <c r="N975" s="4">
        <v>998.75</v>
      </c>
      <c r="O975" s="4">
        <v>-44.519999999999527</v>
      </c>
      <c r="P975" s="4">
        <v>0</v>
      </c>
      <c r="Q975" s="4">
        <v>0</v>
      </c>
      <c r="R975" s="4">
        <v>750</v>
      </c>
      <c r="S975" s="8">
        <f t="shared" si="45"/>
        <v>444.74000000000007</v>
      </c>
      <c r="T975" s="8">
        <f t="shared" si="46"/>
        <v>305.25999999999993</v>
      </c>
      <c r="U975" s="9">
        <f t="shared" si="47"/>
        <v>0.68637855825875771</v>
      </c>
    </row>
    <row r="976" spans="1:21" outlineLevel="2">
      <c r="A976" t="s">
        <v>332</v>
      </c>
      <c r="B976" t="s">
        <v>333</v>
      </c>
      <c r="C976" t="s">
        <v>224</v>
      </c>
      <c r="D976" t="s">
        <v>225</v>
      </c>
      <c r="E976" s="4">
        <v>0</v>
      </c>
      <c r="F976" s="4">
        <v>0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0</v>
      </c>
      <c r="O976" s="4">
        <v>0</v>
      </c>
      <c r="P976" s="4">
        <v>34365.550000000003</v>
      </c>
      <c r="Q976" s="4">
        <v>0</v>
      </c>
      <c r="S976" s="8">
        <f t="shared" si="45"/>
        <v>5727.5916666666672</v>
      </c>
      <c r="T976" s="8">
        <f t="shared" si="46"/>
        <v>-5727.5916666666672</v>
      </c>
      <c r="U976" s="9">
        <f t="shared" si="47"/>
        <v>-1</v>
      </c>
    </row>
    <row r="977" spans="1:22" outlineLevel="2">
      <c r="A977" t="s">
        <v>332</v>
      </c>
      <c r="B977" t="s">
        <v>333</v>
      </c>
      <c r="C977" t="s">
        <v>101</v>
      </c>
      <c r="D977" t="s">
        <v>102</v>
      </c>
      <c r="E977" s="4">
        <v>2165.63</v>
      </c>
      <c r="F977" s="4">
        <v>2165.630000000001</v>
      </c>
      <c r="G977" s="4">
        <v>2165.63</v>
      </c>
      <c r="H977" s="4">
        <v>22987.5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S977" s="8">
        <f t="shared" si="45"/>
        <v>0</v>
      </c>
      <c r="T977" s="8">
        <f t="shared" si="46"/>
        <v>0</v>
      </c>
      <c r="U977" s="9" t="e">
        <f t="shared" si="47"/>
        <v>#DIV/0!</v>
      </c>
    </row>
    <row r="978" spans="1:22" outlineLevel="2">
      <c r="A978" t="s">
        <v>332</v>
      </c>
      <c r="B978" t="s">
        <v>333</v>
      </c>
      <c r="C978" t="s">
        <v>127</v>
      </c>
      <c r="D978" t="s">
        <v>120</v>
      </c>
      <c r="E978" s="4">
        <v>5</v>
      </c>
      <c r="F978" s="4">
        <v>0</v>
      </c>
      <c r="G978" s="4">
        <v>0</v>
      </c>
      <c r="H978" s="4">
        <v>0</v>
      </c>
      <c r="I978" s="4">
        <v>113.95</v>
      </c>
      <c r="J978" s="4">
        <v>2275.6900000000005</v>
      </c>
      <c r="K978" s="4">
        <v>171.25</v>
      </c>
      <c r="L978" s="4">
        <v>126.38</v>
      </c>
      <c r="M978" s="4">
        <v>0</v>
      </c>
      <c r="N978" s="4">
        <v>364.68</v>
      </c>
      <c r="O978" s="4">
        <v>0</v>
      </c>
      <c r="P978" s="4">
        <v>5493.82</v>
      </c>
      <c r="Q978" s="4">
        <v>3551.2900000000004</v>
      </c>
      <c r="S978" s="8">
        <f t="shared" si="45"/>
        <v>1589.3616666666667</v>
      </c>
      <c r="T978" s="8">
        <f t="shared" si="46"/>
        <v>-1589.3616666666667</v>
      </c>
      <c r="U978" s="9">
        <f t="shared" si="47"/>
        <v>-1</v>
      </c>
    </row>
    <row r="979" spans="1:22" outlineLevel="1">
      <c r="A979" s="1" t="s">
        <v>728</v>
      </c>
      <c r="E979" s="4">
        <f>SUBTOTAL(9,E967:E978)</f>
        <v>7473.59</v>
      </c>
      <c r="F979" s="4">
        <f>SUBTOTAL(9,F967:F978)</f>
        <v>2246.150000000001</v>
      </c>
      <c r="G979" s="4">
        <f>SUBTOTAL(9,G967:G978)</f>
        <v>14266.599999999999</v>
      </c>
      <c r="H979" s="4">
        <f>SUBTOTAL(9,H967:H978)</f>
        <v>28521.05</v>
      </c>
      <c r="I979" s="4">
        <f>SUBTOTAL(9,I967:I978)</f>
        <v>21887.850000000002</v>
      </c>
      <c r="J979" s="4">
        <f>SUBTOTAL(9,J967:J978)</f>
        <v>2316.1500000000005</v>
      </c>
      <c r="K979" s="4">
        <f>SUBTOTAL(9,K967:K978)</f>
        <v>396.83</v>
      </c>
      <c r="L979" s="4">
        <f>SUBTOTAL(9,L967:L978)</f>
        <v>1406</v>
      </c>
      <c r="M979" s="4">
        <f>SUBTOTAL(9,M967:M978)</f>
        <v>915.61999999999989</v>
      </c>
      <c r="N979" s="4">
        <f>SUBTOTAL(9,N967:N978)</f>
        <v>3882.45</v>
      </c>
      <c r="O979" s="4">
        <f>SUBTOTAL(9,O967:O978)</f>
        <v>13944.18</v>
      </c>
      <c r="P979" s="4">
        <f>SUBTOTAL(9,P967:P978)</f>
        <v>66652.930000000008</v>
      </c>
      <c r="Q979" s="4">
        <f>SUBTOTAL(9,Q967:Q978)</f>
        <v>4758.55</v>
      </c>
      <c r="R979" s="4">
        <f>SUBTOTAL(9,R967:R978)</f>
        <v>966.13</v>
      </c>
      <c r="S979" s="8">
        <f t="shared" si="45"/>
        <v>15259.955000000002</v>
      </c>
      <c r="T979" s="8">
        <f t="shared" si="46"/>
        <v>-14293.825000000003</v>
      </c>
      <c r="U979" s="9">
        <f t="shared" si="47"/>
        <v>-0.93668854200421958</v>
      </c>
    </row>
    <row r="980" spans="1:22" outlineLevel="2">
      <c r="A980" t="s">
        <v>334</v>
      </c>
      <c r="B980" t="s">
        <v>335</v>
      </c>
      <c r="C980" t="s">
        <v>21</v>
      </c>
      <c r="D980" t="s">
        <v>22</v>
      </c>
      <c r="E980" s="4">
        <v>0</v>
      </c>
      <c r="F980" s="4">
        <v>0</v>
      </c>
      <c r="G980" s="4">
        <v>0</v>
      </c>
      <c r="H980" s="4">
        <v>0</v>
      </c>
      <c r="I980" s="4">
        <v>488.1</v>
      </c>
      <c r="J980" s="4">
        <v>0</v>
      </c>
      <c r="K980" s="4">
        <v>0</v>
      </c>
      <c r="L980" s="4">
        <v>39.44</v>
      </c>
      <c r="M980" s="4">
        <v>0</v>
      </c>
      <c r="N980" s="4">
        <v>419.85</v>
      </c>
      <c r="O980" s="4">
        <v>44.730000000000004</v>
      </c>
      <c r="P980" s="4">
        <v>0</v>
      </c>
      <c r="Q980" s="4">
        <v>0</v>
      </c>
      <c r="S980" s="8">
        <f t="shared" si="45"/>
        <v>84.003333333333345</v>
      </c>
      <c r="T980" s="8">
        <f t="shared" si="46"/>
        <v>-84.003333333333345</v>
      </c>
      <c r="U980" s="9">
        <f t="shared" si="47"/>
        <v>-1</v>
      </c>
    </row>
    <row r="981" spans="1:22" outlineLevel="2">
      <c r="A981" t="s">
        <v>334</v>
      </c>
      <c r="B981" t="s">
        <v>335</v>
      </c>
      <c r="C981" t="s">
        <v>23</v>
      </c>
      <c r="D981" t="s">
        <v>24</v>
      </c>
      <c r="E981" s="4">
        <v>0</v>
      </c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10125.89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243.62</v>
      </c>
      <c r="S981" s="8">
        <f t="shared" si="45"/>
        <v>1687.6483333333333</v>
      </c>
      <c r="T981" s="8">
        <f t="shared" si="46"/>
        <v>-1444.0283333333332</v>
      </c>
      <c r="U981" s="9">
        <f t="shared" si="47"/>
        <v>-0.85564528155055997</v>
      </c>
    </row>
    <row r="982" spans="1:22" outlineLevel="2">
      <c r="A982" t="s">
        <v>334</v>
      </c>
      <c r="B982" t="s">
        <v>335</v>
      </c>
      <c r="C982" t="s">
        <v>25</v>
      </c>
      <c r="D982" t="s">
        <v>26</v>
      </c>
      <c r="E982" s="4">
        <v>0</v>
      </c>
      <c r="F982" s="4">
        <v>0</v>
      </c>
      <c r="G982" s="4">
        <v>0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850.06</v>
      </c>
      <c r="S982" s="8">
        <f t="shared" si="45"/>
        <v>0</v>
      </c>
      <c r="T982" s="8">
        <f t="shared" si="46"/>
        <v>850.06</v>
      </c>
      <c r="U982" s="9" t="e">
        <f t="shared" si="47"/>
        <v>#DIV/0!</v>
      </c>
      <c r="V982" t="s">
        <v>895</v>
      </c>
    </row>
    <row r="983" spans="1:22" outlineLevel="2">
      <c r="A983" t="s">
        <v>334</v>
      </c>
      <c r="B983" t="s">
        <v>335</v>
      </c>
      <c r="C983" t="s">
        <v>27</v>
      </c>
      <c r="D983" t="s">
        <v>28</v>
      </c>
      <c r="E983" s="4">
        <v>0</v>
      </c>
      <c r="F983" s="4">
        <v>67341.929999999993</v>
      </c>
      <c r="G983" s="4">
        <v>0</v>
      </c>
      <c r="H983" s="4">
        <v>80806.899999999994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4">
        <v>26.310000000000002</v>
      </c>
      <c r="O983" s="4">
        <v>8</v>
      </c>
      <c r="P983" s="4">
        <v>0</v>
      </c>
      <c r="Q983" s="4">
        <v>0</v>
      </c>
      <c r="R983" s="4">
        <v>-42322.850000000006</v>
      </c>
      <c r="S983" s="8">
        <f t="shared" si="45"/>
        <v>5.7183333333333337</v>
      </c>
      <c r="T983" s="8">
        <f t="shared" si="46"/>
        <v>-42328.568333333336</v>
      </c>
      <c r="U983" s="9">
        <f t="shared" si="47"/>
        <v>-7402.2561935295835</v>
      </c>
      <c r="V983" t="s">
        <v>897</v>
      </c>
    </row>
    <row r="984" spans="1:22" outlineLevel="2">
      <c r="A984" t="s">
        <v>334</v>
      </c>
      <c r="B984" t="s">
        <v>335</v>
      </c>
      <c r="C984" t="s">
        <v>136</v>
      </c>
      <c r="D984" t="s">
        <v>137</v>
      </c>
      <c r="E984" s="4">
        <v>0</v>
      </c>
      <c r="F984" s="4">
        <v>0</v>
      </c>
      <c r="G984" s="4">
        <v>0</v>
      </c>
      <c r="H984" s="4">
        <v>0</v>
      </c>
      <c r="I984" s="4">
        <v>16828.59</v>
      </c>
      <c r="J984" s="4">
        <v>-16828.59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S984" s="8">
        <f t="shared" si="45"/>
        <v>0</v>
      </c>
      <c r="T984" s="8">
        <f t="shared" si="46"/>
        <v>0</v>
      </c>
      <c r="U984" s="9" t="e">
        <f t="shared" si="47"/>
        <v>#DIV/0!</v>
      </c>
    </row>
    <row r="985" spans="1:22" outlineLevel="2">
      <c r="A985" t="s">
        <v>334</v>
      </c>
      <c r="B985" t="s">
        <v>335</v>
      </c>
      <c r="C985" t="s">
        <v>146</v>
      </c>
      <c r="D985" t="s">
        <v>147</v>
      </c>
      <c r="E985" s="4">
        <v>0</v>
      </c>
      <c r="F985" s="4">
        <v>0</v>
      </c>
      <c r="G985" s="4">
        <v>0</v>
      </c>
      <c r="H985" s="4">
        <v>0</v>
      </c>
      <c r="I985" s="4">
        <v>1682.85</v>
      </c>
      <c r="J985" s="4">
        <v>-1682.85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S985" s="8">
        <f t="shared" si="45"/>
        <v>0</v>
      </c>
      <c r="T985" s="8">
        <f t="shared" si="46"/>
        <v>0</v>
      </c>
      <c r="U985" s="9" t="e">
        <f t="shared" si="47"/>
        <v>#DIV/0!</v>
      </c>
    </row>
    <row r="986" spans="1:22" outlineLevel="2">
      <c r="A986" t="s">
        <v>334</v>
      </c>
      <c r="B986" t="s">
        <v>335</v>
      </c>
      <c r="C986" t="s">
        <v>152</v>
      </c>
      <c r="D986" t="s">
        <v>153</v>
      </c>
      <c r="E986" s="4">
        <v>0</v>
      </c>
      <c r="F986" s="4">
        <v>0</v>
      </c>
      <c r="G986" s="4">
        <v>0</v>
      </c>
      <c r="H986" s="4">
        <v>0</v>
      </c>
      <c r="I986" s="4">
        <v>1227.22</v>
      </c>
      <c r="J986" s="4">
        <v>-1227.22</v>
      </c>
      <c r="K986" s="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S986" s="8">
        <f t="shared" si="45"/>
        <v>0</v>
      </c>
      <c r="T986" s="8">
        <f t="shared" si="46"/>
        <v>0</v>
      </c>
      <c r="U986" s="9" t="e">
        <f t="shared" si="47"/>
        <v>#DIV/0!</v>
      </c>
    </row>
    <row r="987" spans="1:22" outlineLevel="2">
      <c r="A987" t="s">
        <v>334</v>
      </c>
      <c r="B987" t="s">
        <v>335</v>
      </c>
      <c r="C987" t="s">
        <v>33</v>
      </c>
      <c r="D987" t="s">
        <v>34</v>
      </c>
      <c r="E987" s="4">
        <v>0</v>
      </c>
      <c r="F987" s="4">
        <v>0</v>
      </c>
      <c r="G987" s="4">
        <v>0</v>
      </c>
      <c r="H987" s="4">
        <v>0</v>
      </c>
      <c r="I987" s="4">
        <v>0</v>
      </c>
      <c r="J987" s="4">
        <v>0</v>
      </c>
      <c r="K987" s="4">
        <v>0</v>
      </c>
      <c r="L987" s="4">
        <v>0</v>
      </c>
      <c r="M987" s="4">
        <v>86200</v>
      </c>
      <c r="N987" s="4">
        <v>0</v>
      </c>
      <c r="O987" s="4">
        <v>0</v>
      </c>
      <c r="P987" s="4">
        <v>0</v>
      </c>
      <c r="Q987" s="4">
        <v>0</v>
      </c>
      <c r="S987" s="8">
        <f t="shared" si="45"/>
        <v>14366.666666666666</v>
      </c>
      <c r="T987" s="8">
        <f t="shared" si="46"/>
        <v>-14366.666666666666</v>
      </c>
      <c r="U987" s="9">
        <f t="shared" si="47"/>
        <v>-1</v>
      </c>
    </row>
    <row r="988" spans="1:22" outlineLevel="2">
      <c r="A988" t="s">
        <v>334</v>
      </c>
      <c r="B988" t="s">
        <v>335</v>
      </c>
      <c r="C988" t="s">
        <v>55</v>
      </c>
      <c r="D988" t="s">
        <v>56</v>
      </c>
      <c r="E988" s="4">
        <v>9490.27</v>
      </c>
      <c r="F988" s="4">
        <v>0</v>
      </c>
      <c r="G988" s="4">
        <v>0</v>
      </c>
      <c r="H988" s="4">
        <v>0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S988" s="8">
        <f t="shared" si="45"/>
        <v>0</v>
      </c>
      <c r="T988" s="8">
        <f t="shared" si="46"/>
        <v>0</v>
      </c>
      <c r="U988" s="9" t="e">
        <f t="shared" si="47"/>
        <v>#DIV/0!</v>
      </c>
    </row>
    <row r="989" spans="1:22" outlineLevel="2">
      <c r="A989" t="s">
        <v>334</v>
      </c>
      <c r="B989" t="s">
        <v>335</v>
      </c>
      <c r="C989" t="s">
        <v>89</v>
      </c>
      <c r="D989" t="s">
        <v>90</v>
      </c>
      <c r="E989" s="4">
        <v>0</v>
      </c>
      <c r="F989" s="4">
        <v>0</v>
      </c>
      <c r="G989" s="4">
        <v>30000</v>
      </c>
      <c r="H989" s="4">
        <v>14000</v>
      </c>
      <c r="I989" s="4">
        <v>229896.88</v>
      </c>
      <c r="J989" s="4">
        <v>0</v>
      </c>
      <c r="K989" s="4">
        <v>20000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S989" s="8">
        <f t="shared" si="45"/>
        <v>0</v>
      </c>
      <c r="T989" s="8">
        <f t="shared" si="46"/>
        <v>0</v>
      </c>
      <c r="U989" s="9" t="e">
        <f t="shared" si="47"/>
        <v>#DIV/0!</v>
      </c>
    </row>
    <row r="990" spans="1:22" outlineLevel="2">
      <c r="A990" t="s">
        <v>334</v>
      </c>
      <c r="B990" t="s">
        <v>335</v>
      </c>
      <c r="C990" t="s">
        <v>101</v>
      </c>
      <c r="D990" t="s">
        <v>102</v>
      </c>
      <c r="E990" s="4">
        <v>221533.34</v>
      </c>
      <c r="F990" s="4">
        <v>133969.54</v>
      </c>
      <c r="G990" s="4">
        <v>221532</v>
      </c>
      <c r="H990" s="4">
        <v>120074.76000000001</v>
      </c>
      <c r="I990" s="4">
        <v>97672.68</v>
      </c>
      <c r="J990" s="4">
        <v>103009</v>
      </c>
      <c r="K990" s="4">
        <v>774713.1100000001</v>
      </c>
      <c r="L990" s="4">
        <v>782920.82000000007</v>
      </c>
      <c r="M990" s="4">
        <v>610769.16</v>
      </c>
      <c r="N990" s="4">
        <v>688316.32</v>
      </c>
      <c r="O990" s="4">
        <v>688350.17</v>
      </c>
      <c r="P990" s="4">
        <v>774515.4600000002</v>
      </c>
      <c r="Q990" s="4">
        <v>1081958.19</v>
      </c>
      <c r="R990" s="4">
        <v>1073553.8699999999</v>
      </c>
      <c r="S990" s="8">
        <f t="shared" si="45"/>
        <v>771138.35333333316</v>
      </c>
      <c r="T990" s="8">
        <f t="shared" si="46"/>
        <v>302415.51666666672</v>
      </c>
      <c r="U990" s="9">
        <f t="shared" si="47"/>
        <v>0.39216765105696183</v>
      </c>
      <c r="V990" t="s">
        <v>896</v>
      </c>
    </row>
    <row r="991" spans="1:22" outlineLevel="2">
      <c r="A991" t="s">
        <v>334</v>
      </c>
      <c r="B991" t="s">
        <v>335</v>
      </c>
      <c r="C991" t="s">
        <v>103</v>
      </c>
      <c r="D991" t="s">
        <v>104</v>
      </c>
      <c r="E991" s="4">
        <v>0</v>
      </c>
      <c r="F991" s="4">
        <v>0</v>
      </c>
      <c r="G991" s="4">
        <v>13760</v>
      </c>
      <c r="H991" s="4">
        <v>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S991" s="8">
        <f t="shared" si="45"/>
        <v>0</v>
      </c>
      <c r="T991" s="8">
        <f t="shared" si="46"/>
        <v>0</v>
      </c>
      <c r="U991" s="9" t="e">
        <f t="shared" si="47"/>
        <v>#DIV/0!</v>
      </c>
    </row>
    <row r="992" spans="1:22" outlineLevel="2">
      <c r="A992" t="s">
        <v>334</v>
      </c>
      <c r="B992" t="s">
        <v>335</v>
      </c>
      <c r="C992" t="s">
        <v>111</v>
      </c>
      <c r="D992" t="s">
        <v>112</v>
      </c>
      <c r="E992" s="4">
        <v>0</v>
      </c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4">
        <v>0</v>
      </c>
      <c r="L992" s="4">
        <v>1300</v>
      </c>
      <c r="M992" s="4">
        <v>0</v>
      </c>
      <c r="N992" s="4">
        <v>0</v>
      </c>
      <c r="O992" s="4">
        <v>4402.8999999999996</v>
      </c>
      <c r="P992" s="4">
        <v>0</v>
      </c>
      <c r="Q992" s="4">
        <v>0</v>
      </c>
      <c r="S992" s="8">
        <f t="shared" si="45"/>
        <v>950.48333333333323</v>
      </c>
      <c r="T992" s="8">
        <f t="shared" si="46"/>
        <v>-950.48333333333323</v>
      </c>
      <c r="U992" s="9">
        <f t="shared" si="47"/>
        <v>-1</v>
      </c>
    </row>
    <row r="993" spans="1:22" outlineLevel="2">
      <c r="A993" t="s">
        <v>334</v>
      </c>
      <c r="B993" t="s">
        <v>335</v>
      </c>
      <c r="C993" t="s">
        <v>117</v>
      </c>
      <c r="D993" t="s">
        <v>118</v>
      </c>
      <c r="E993" s="4">
        <v>0</v>
      </c>
      <c r="F993" s="4">
        <v>0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54472.5</v>
      </c>
      <c r="N993" s="4">
        <v>40828.5</v>
      </c>
      <c r="O993" s="4">
        <v>28269</v>
      </c>
      <c r="P993" s="4">
        <v>32886</v>
      </c>
      <c r="Q993" s="4">
        <v>34474.5</v>
      </c>
      <c r="R993" s="4">
        <v>26640</v>
      </c>
      <c r="S993" s="8">
        <f t="shared" si="45"/>
        <v>31821.75</v>
      </c>
      <c r="T993" s="8">
        <f t="shared" si="46"/>
        <v>-5181.75</v>
      </c>
      <c r="U993" s="9">
        <f t="shared" si="47"/>
        <v>-0.16283673902283816</v>
      </c>
      <c r="V993" t="s">
        <v>896</v>
      </c>
    </row>
    <row r="994" spans="1:22" outlineLevel="2">
      <c r="A994" t="s">
        <v>334</v>
      </c>
      <c r="B994" t="s">
        <v>335</v>
      </c>
      <c r="C994" t="s">
        <v>170</v>
      </c>
      <c r="D994" t="s">
        <v>171</v>
      </c>
      <c r="E994" s="4">
        <v>0</v>
      </c>
      <c r="F994" s="4">
        <v>0</v>
      </c>
      <c r="G994" s="4">
        <v>0</v>
      </c>
      <c r="H994" s="4">
        <v>0</v>
      </c>
      <c r="I994" s="4">
        <v>90</v>
      </c>
      <c r="J994" s="4">
        <v>-90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S994" s="8">
        <f t="shared" si="45"/>
        <v>0</v>
      </c>
      <c r="T994" s="8">
        <f t="shared" si="46"/>
        <v>0</v>
      </c>
      <c r="U994" s="9" t="e">
        <f t="shared" si="47"/>
        <v>#DIV/0!</v>
      </c>
    </row>
    <row r="995" spans="1:22" outlineLevel="2">
      <c r="A995" t="s">
        <v>334</v>
      </c>
      <c r="B995" t="s">
        <v>335</v>
      </c>
      <c r="C995" t="s">
        <v>127</v>
      </c>
      <c r="D995" t="s">
        <v>120</v>
      </c>
      <c r="E995" s="4">
        <v>0</v>
      </c>
      <c r="F995" s="4">
        <v>0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4">
        <v>68.19</v>
      </c>
      <c r="P995" s="4">
        <v>0</v>
      </c>
      <c r="Q995" s="4">
        <v>0</v>
      </c>
      <c r="S995" s="8">
        <f t="shared" si="45"/>
        <v>11.365</v>
      </c>
      <c r="T995" s="8">
        <f t="shared" si="46"/>
        <v>-11.365</v>
      </c>
      <c r="U995" s="9">
        <f t="shared" si="47"/>
        <v>-1</v>
      </c>
    </row>
    <row r="996" spans="1:22" outlineLevel="2">
      <c r="A996" t="s">
        <v>334</v>
      </c>
      <c r="B996" t="s">
        <v>335</v>
      </c>
      <c r="C996" t="s">
        <v>190</v>
      </c>
      <c r="D996" t="s">
        <v>191</v>
      </c>
      <c r="E996" s="4">
        <v>15041.5</v>
      </c>
      <c r="F996" s="4">
        <v>15225.5</v>
      </c>
      <c r="G996" s="4">
        <v>70903.23000000001</v>
      </c>
      <c r="H996" s="4">
        <v>6082531.3500000006</v>
      </c>
      <c r="I996" s="4">
        <v>-522745.91000000027</v>
      </c>
      <c r="J996" s="4">
        <v>4852885.8100000005</v>
      </c>
      <c r="K996" s="4">
        <v>36371.990000000013</v>
      </c>
      <c r="L996" s="4">
        <v>68929.90000000046</v>
      </c>
      <c r="M996" s="4">
        <v>18771.469999999477</v>
      </c>
      <c r="N996" s="4">
        <v>19796.090000000004</v>
      </c>
      <c r="O996" s="4">
        <v>20317.120000000035</v>
      </c>
      <c r="P996" s="4">
        <v>49392.759999999995</v>
      </c>
      <c r="Q996" s="4">
        <v>-1</v>
      </c>
      <c r="S996" s="8">
        <f t="shared" si="45"/>
        <v>29534.389999999996</v>
      </c>
      <c r="T996" s="8">
        <f t="shared" si="46"/>
        <v>-29534.389999999996</v>
      </c>
      <c r="U996" s="9">
        <f t="shared" si="47"/>
        <v>-1</v>
      </c>
    </row>
    <row r="997" spans="1:22" outlineLevel="1">
      <c r="A997" s="1" t="s">
        <v>729</v>
      </c>
      <c r="E997" s="4">
        <f>SUBTOTAL(9,E980:E996)</f>
        <v>246065.11</v>
      </c>
      <c r="F997" s="4">
        <f>SUBTOTAL(9,F980:F996)</f>
        <v>216536.97</v>
      </c>
      <c r="G997" s="4">
        <f>SUBTOTAL(9,G980:G996)</f>
        <v>336195.23</v>
      </c>
      <c r="H997" s="4">
        <f>SUBTOTAL(9,H980:H996)</f>
        <v>6297413.0100000007</v>
      </c>
      <c r="I997" s="4">
        <f>SUBTOTAL(9,I980:I996)</f>
        <v>-174859.59000000026</v>
      </c>
      <c r="J997" s="4">
        <f>SUBTOTAL(9,J980:J996)</f>
        <v>4936066.1500000004</v>
      </c>
      <c r="K997" s="4">
        <f>SUBTOTAL(9,K980:K996)</f>
        <v>831085.10000000009</v>
      </c>
      <c r="L997" s="4">
        <f>SUBTOTAL(9,L980:L996)</f>
        <v>863316.05000000051</v>
      </c>
      <c r="M997" s="4">
        <f>SUBTOTAL(9,M980:M996)</f>
        <v>770213.12999999954</v>
      </c>
      <c r="N997" s="4">
        <f>SUBTOTAL(9,N980:N996)</f>
        <v>749387.07</v>
      </c>
      <c r="O997" s="4">
        <f>SUBTOTAL(9,O980:O996)</f>
        <v>741460.11</v>
      </c>
      <c r="P997" s="4">
        <f>SUBTOTAL(9,P980:P996)</f>
        <v>856794.2200000002</v>
      </c>
      <c r="Q997" s="4">
        <f>SUBTOTAL(9,Q980:Q996)</f>
        <v>1116431.69</v>
      </c>
      <c r="R997" s="4">
        <f>SUBTOTAL(9,R980:R996)</f>
        <v>1058964.6999999997</v>
      </c>
      <c r="S997" s="8">
        <f t="shared" si="45"/>
        <v>849600.3783333333</v>
      </c>
      <c r="T997" s="8">
        <f t="shared" si="46"/>
        <v>209364.32166666642</v>
      </c>
      <c r="U997" s="9">
        <f t="shared" si="47"/>
        <v>0.24642682254612197</v>
      </c>
      <c r="V997" t="s">
        <v>897</v>
      </c>
    </row>
    <row r="998" spans="1:22" outlineLevel="2">
      <c r="A998" t="s">
        <v>336</v>
      </c>
      <c r="B998" t="s">
        <v>337</v>
      </c>
      <c r="C998" t="s">
        <v>136</v>
      </c>
      <c r="D998" t="s">
        <v>137</v>
      </c>
      <c r="E998" s="4">
        <v>0</v>
      </c>
      <c r="F998" s="4">
        <v>0</v>
      </c>
      <c r="G998" s="4">
        <v>0</v>
      </c>
      <c r="H998" s="4">
        <v>109741.12000000001</v>
      </c>
      <c r="I998" s="4">
        <v>27486.86</v>
      </c>
      <c r="J998" s="4">
        <v>12314.6</v>
      </c>
      <c r="K998" s="4">
        <v>27486.879999999997</v>
      </c>
      <c r="L998" s="4">
        <v>24472.45</v>
      </c>
      <c r="M998" s="4">
        <v>22293.870000000003</v>
      </c>
      <c r="N998" s="4">
        <v>6768.2599999999993</v>
      </c>
      <c r="O998" s="4">
        <v>6075.45</v>
      </c>
      <c r="P998" s="4">
        <v>0</v>
      </c>
      <c r="Q998" s="4">
        <v>0</v>
      </c>
      <c r="S998" s="8">
        <f t="shared" si="45"/>
        <v>9935.005000000001</v>
      </c>
      <c r="T998" s="8">
        <f t="shared" si="46"/>
        <v>-9935.005000000001</v>
      </c>
      <c r="U998" s="9">
        <f t="shared" si="47"/>
        <v>-1</v>
      </c>
    </row>
    <row r="999" spans="1:22" outlineLevel="2">
      <c r="A999" t="s">
        <v>336</v>
      </c>
      <c r="B999" t="s">
        <v>337</v>
      </c>
      <c r="C999" t="s">
        <v>138</v>
      </c>
      <c r="D999" t="s">
        <v>139</v>
      </c>
      <c r="E999" s="4">
        <v>0</v>
      </c>
      <c r="F999" s="4">
        <v>0</v>
      </c>
      <c r="G999" s="4">
        <v>0</v>
      </c>
      <c r="H999" s="4">
        <v>18854.05</v>
      </c>
      <c r="I999" s="4">
        <v>2914.33</v>
      </c>
      <c r="J999" s="4">
        <v>0</v>
      </c>
      <c r="K999" s="4">
        <v>2910.4</v>
      </c>
      <c r="L999" s="4">
        <v>2943.96</v>
      </c>
      <c r="M999" s="4">
        <v>2835.06</v>
      </c>
      <c r="N999" s="4">
        <v>99.66</v>
      </c>
      <c r="O999" s="4">
        <v>0</v>
      </c>
      <c r="P999" s="4">
        <v>0</v>
      </c>
      <c r="Q999" s="4">
        <v>0</v>
      </c>
      <c r="S999" s="8">
        <f t="shared" si="45"/>
        <v>979.78000000000009</v>
      </c>
      <c r="T999" s="8">
        <f t="shared" si="46"/>
        <v>-979.78000000000009</v>
      </c>
      <c r="U999" s="9">
        <f t="shared" si="47"/>
        <v>-1</v>
      </c>
    </row>
    <row r="1000" spans="1:22" outlineLevel="2">
      <c r="A1000" t="s">
        <v>336</v>
      </c>
      <c r="B1000" t="s">
        <v>337</v>
      </c>
      <c r="C1000" t="s">
        <v>29</v>
      </c>
      <c r="D1000" t="s">
        <v>30</v>
      </c>
      <c r="E1000" s="4">
        <v>0</v>
      </c>
      <c r="F1000" s="4">
        <v>0</v>
      </c>
      <c r="G1000" s="4">
        <v>0</v>
      </c>
      <c r="H1000" s="4">
        <v>1392.68</v>
      </c>
      <c r="I1000" s="4">
        <v>234.31</v>
      </c>
      <c r="J1000" s="4">
        <v>0</v>
      </c>
      <c r="K1000" s="4">
        <v>84.59</v>
      </c>
      <c r="L1000" s="4">
        <v>125.15</v>
      </c>
      <c r="M1000" s="4">
        <v>237.06</v>
      </c>
      <c r="N1000" s="4">
        <v>-31.98</v>
      </c>
      <c r="O1000" s="4">
        <v>0</v>
      </c>
      <c r="P1000" s="4">
        <v>0</v>
      </c>
      <c r="Q1000" s="4">
        <v>0</v>
      </c>
      <c r="S1000" s="8">
        <f t="shared" si="45"/>
        <v>55.038333333333334</v>
      </c>
      <c r="T1000" s="8">
        <f t="shared" si="46"/>
        <v>-55.038333333333334</v>
      </c>
      <c r="U1000" s="9">
        <f t="shared" si="47"/>
        <v>-1</v>
      </c>
    </row>
    <row r="1001" spans="1:22" outlineLevel="2">
      <c r="A1001" t="s">
        <v>336</v>
      </c>
      <c r="B1001" t="s">
        <v>337</v>
      </c>
      <c r="C1001" t="s">
        <v>144</v>
      </c>
      <c r="D1001" t="s">
        <v>145</v>
      </c>
      <c r="E1001" s="4">
        <v>0</v>
      </c>
      <c r="F1001" s="4">
        <v>0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-882.61</v>
      </c>
      <c r="O1001" s="4">
        <v>-277.64</v>
      </c>
      <c r="P1001" s="4">
        <v>0</v>
      </c>
      <c r="Q1001" s="4">
        <v>0</v>
      </c>
      <c r="S1001" s="8">
        <f t="shared" si="45"/>
        <v>-193.375</v>
      </c>
      <c r="T1001" s="8">
        <f t="shared" si="46"/>
        <v>193.375</v>
      </c>
      <c r="U1001" s="9">
        <f t="shared" si="47"/>
        <v>-1</v>
      </c>
    </row>
    <row r="1002" spans="1:22" outlineLevel="2">
      <c r="A1002" t="s">
        <v>336</v>
      </c>
      <c r="B1002" t="s">
        <v>337</v>
      </c>
      <c r="C1002" t="s">
        <v>146</v>
      </c>
      <c r="D1002" t="s">
        <v>147</v>
      </c>
      <c r="E1002" s="4">
        <v>0</v>
      </c>
      <c r="F1002" s="4">
        <v>0</v>
      </c>
      <c r="G1002" s="4">
        <v>0</v>
      </c>
      <c r="H1002" s="4">
        <v>16904.73</v>
      </c>
      <c r="I1002" s="4">
        <v>2797.06</v>
      </c>
      <c r="J1002" s="4">
        <v>1125.5999999999999</v>
      </c>
      <c r="K1002" s="4">
        <v>2788.1</v>
      </c>
      <c r="L1002" s="4">
        <v>2777.63</v>
      </c>
      <c r="M1002" s="4">
        <v>2235.6999999999998</v>
      </c>
      <c r="N1002" s="4">
        <v>4969.54</v>
      </c>
      <c r="O1002" s="4">
        <v>-1133.3800000000001</v>
      </c>
      <c r="P1002" s="4">
        <v>0</v>
      </c>
      <c r="Q1002" s="4">
        <v>0</v>
      </c>
      <c r="S1002" s="8">
        <f t="shared" si="45"/>
        <v>1474.9149999999997</v>
      </c>
      <c r="T1002" s="8">
        <f t="shared" si="46"/>
        <v>-1474.9149999999997</v>
      </c>
      <c r="U1002" s="9">
        <f t="shared" si="47"/>
        <v>-1</v>
      </c>
    </row>
    <row r="1003" spans="1:22" outlineLevel="2">
      <c r="A1003" t="s">
        <v>336</v>
      </c>
      <c r="B1003" t="s">
        <v>337</v>
      </c>
      <c r="C1003" t="s">
        <v>152</v>
      </c>
      <c r="D1003" t="s">
        <v>153</v>
      </c>
      <c r="E1003" s="4">
        <v>0</v>
      </c>
      <c r="F1003" s="4">
        <v>0</v>
      </c>
      <c r="G1003" s="4">
        <v>0</v>
      </c>
      <c r="H1003" s="4">
        <v>13432.900000000001</v>
      </c>
      <c r="I1003" s="4">
        <v>2202.12</v>
      </c>
      <c r="J1003" s="4">
        <v>1351.58</v>
      </c>
      <c r="K1003" s="4">
        <v>2077.5500000000002</v>
      </c>
      <c r="L1003" s="4">
        <v>3592.6600000000003</v>
      </c>
      <c r="M1003" s="4">
        <v>1312.39</v>
      </c>
      <c r="N1003" s="4">
        <v>13372.039999999999</v>
      </c>
      <c r="O1003" s="4">
        <v>-5087.12</v>
      </c>
      <c r="P1003" s="4">
        <v>0</v>
      </c>
      <c r="Q1003" s="4">
        <v>0</v>
      </c>
      <c r="S1003" s="8">
        <f t="shared" si="45"/>
        <v>2198.3283333333334</v>
      </c>
      <c r="T1003" s="8">
        <f t="shared" si="46"/>
        <v>-2198.3283333333334</v>
      </c>
      <c r="U1003" s="9">
        <f t="shared" si="47"/>
        <v>-1</v>
      </c>
    </row>
    <row r="1004" spans="1:22" outlineLevel="2">
      <c r="A1004" t="s">
        <v>336</v>
      </c>
      <c r="B1004" t="s">
        <v>337</v>
      </c>
      <c r="C1004" t="s">
        <v>154</v>
      </c>
      <c r="D1004" t="s">
        <v>155</v>
      </c>
      <c r="E1004" s="4">
        <v>0</v>
      </c>
      <c r="F1004" s="4">
        <v>0</v>
      </c>
      <c r="G1004" s="4">
        <v>0</v>
      </c>
      <c r="H1004" s="4">
        <v>1649.6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S1004" s="8">
        <f t="shared" si="45"/>
        <v>0</v>
      </c>
      <c r="T1004" s="8">
        <f t="shared" si="46"/>
        <v>0</v>
      </c>
      <c r="U1004" s="9" t="e">
        <f t="shared" si="47"/>
        <v>#DIV/0!</v>
      </c>
    </row>
    <row r="1005" spans="1:22" outlineLevel="2">
      <c r="A1005" t="s">
        <v>336</v>
      </c>
      <c r="B1005" t="s">
        <v>337</v>
      </c>
      <c r="C1005" t="s">
        <v>89</v>
      </c>
      <c r="D1005" t="s">
        <v>90</v>
      </c>
      <c r="E1005" s="4">
        <v>0</v>
      </c>
      <c r="F1005" s="4">
        <v>0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0</v>
      </c>
      <c r="M1005" s="4">
        <v>83944.400000000009</v>
      </c>
      <c r="N1005" s="4">
        <v>0</v>
      </c>
      <c r="O1005" s="4">
        <v>0</v>
      </c>
      <c r="P1005" s="4">
        <v>0</v>
      </c>
      <c r="Q1005" s="4">
        <v>0</v>
      </c>
      <c r="S1005" s="8">
        <f t="shared" si="45"/>
        <v>13990.733333333335</v>
      </c>
      <c r="T1005" s="8">
        <f t="shared" si="46"/>
        <v>-13990.733333333335</v>
      </c>
      <c r="U1005" s="9">
        <f t="shared" si="47"/>
        <v>-1</v>
      </c>
    </row>
    <row r="1006" spans="1:22" outlineLevel="2">
      <c r="A1006" t="s">
        <v>336</v>
      </c>
      <c r="B1006" t="s">
        <v>337</v>
      </c>
      <c r="C1006" t="s">
        <v>99</v>
      </c>
      <c r="D1006" t="s">
        <v>100</v>
      </c>
      <c r="E1006" s="4">
        <v>0</v>
      </c>
      <c r="F1006" s="4">
        <v>0</v>
      </c>
      <c r="G1006" s="4">
        <v>0</v>
      </c>
      <c r="H1006" s="4">
        <v>-4000</v>
      </c>
      <c r="I1006" s="4">
        <v>116886.33999999998</v>
      </c>
      <c r="J1006" s="4">
        <v>0</v>
      </c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S1006" s="8">
        <f t="shared" si="45"/>
        <v>0</v>
      </c>
      <c r="T1006" s="8">
        <f t="shared" si="46"/>
        <v>0</v>
      </c>
      <c r="U1006" s="9" t="e">
        <f t="shared" si="47"/>
        <v>#DIV/0!</v>
      </c>
    </row>
    <row r="1007" spans="1:22" outlineLevel="2">
      <c r="A1007" t="s">
        <v>336</v>
      </c>
      <c r="B1007" t="s">
        <v>337</v>
      </c>
      <c r="C1007" t="s">
        <v>101</v>
      </c>
      <c r="D1007" t="s">
        <v>102</v>
      </c>
      <c r="E1007" s="4">
        <v>0</v>
      </c>
      <c r="F1007" s="4">
        <v>14000</v>
      </c>
      <c r="G1007" s="4">
        <v>7000</v>
      </c>
      <c r="H1007" s="4">
        <v>0</v>
      </c>
      <c r="I1007" s="4">
        <v>-66634.5</v>
      </c>
      <c r="J1007" s="4">
        <v>73634.5</v>
      </c>
      <c r="K1007" s="4">
        <v>0</v>
      </c>
      <c r="L1007" s="4">
        <v>11182.5</v>
      </c>
      <c r="M1007" s="4">
        <v>63791</v>
      </c>
      <c r="N1007" s="4">
        <v>8626.5</v>
      </c>
      <c r="O1007" s="4">
        <v>0</v>
      </c>
      <c r="P1007" s="4">
        <v>0</v>
      </c>
      <c r="Q1007" s="4">
        <v>0</v>
      </c>
      <c r="S1007" s="8">
        <f t="shared" si="45"/>
        <v>13933.333333333334</v>
      </c>
      <c r="T1007" s="8">
        <f t="shared" si="46"/>
        <v>-13933.333333333334</v>
      </c>
      <c r="U1007" s="9">
        <f t="shared" si="47"/>
        <v>-1</v>
      </c>
    </row>
    <row r="1008" spans="1:22" outlineLevel="2">
      <c r="A1008" t="s">
        <v>336</v>
      </c>
      <c r="B1008" t="s">
        <v>337</v>
      </c>
      <c r="C1008" t="s">
        <v>111</v>
      </c>
      <c r="D1008" t="s">
        <v>112</v>
      </c>
      <c r="E1008" s="4">
        <v>0</v>
      </c>
      <c r="F1008" s="4">
        <v>0</v>
      </c>
      <c r="G1008" s="4">
        <v>0</v>
      </c>
      <c r="H1008" s="4">
        <v>0</v>
      </c>
      <c r="I1008" s="4">
        <v>90109.180000000022</v>
      </c>
      <c r="J1008" s="4">
        <v>55078.400000000001</v>
      </c>
      <c r="K1008" s="4">
        <v>-55078.400000000009</v>
      </c>
      <c r="L1008" s="4">
        <v>0</v>
      </c>
      <c r="M1008" s="4">
        <v>5376</v>
      </c>
      <c r="N1008" s="4">
        <v>0</v>
      </c>
      <c r="O1008" s="4">
        <v>0</v>
      </c>
      <c r="P1008" s="4">
        <v>0</v>
      </c>
      <c r="Q1008" s="4">
        <v>0</v>
      </c>
      <c r="S1008" s="8">
        <f t="shared" si="45"/>
        <v>896</v>
      </c>
      <c r="T1008" s="8">
        <f t="shared" si="46"/>
        <v>-896</v>
      </c>
      <c r="U1008" s="9">
        <f t="shared" si="47"/>
        <v>-1</v>
      </c>
    </row>
    <row r="1009" spans="1:21" outlineLevel="2">
      <c r="A1009" t="s">
        <v>336</v>
      </c>
      <c r="B1009" t="s">
        <v>337</v>
      </c>
      <c r="C1009" t="s">
        <v>170</v>
      </c>
      <c r="D1009" t="s">
        <v>171</v>
      </c>
      <c r="E1009" s="4">
        <v>0</v>
      </c>
      <c r="F1009" s="4">
        <v>0</v>
      </c>
      <c r="G1009" s="4">
        <v>0</v>
      </c>
      <c r="H1009" s="4">
        <v>1710</v>
      </c>
      <c r="I1009" s="4">
        <v>270</v>
      </c>
      <c r="J1009" s="4">
        <v>90</v>
      </c>
      <c r="K1009" s="4">
        <v>270</v>
      </c>
      <c r="L1009" s="4">
        <v>382.5</v>
      </c>
      <c r="M1009" s="4">
        <v>225</v>
      </c>
      <c r="N1009" s="4">
        <v>112.5</v>
      </c>
      <c r="O1009" s="4">
        <v>0</v>
      </c>
      <c r="P1009" s="4">
        <v>0</v>
      </c>
      <c r="Q1009" s="4">
        <v>0</v>
      </c>
      <c r="S1009" s="8">
        <f t="shared" si="45"/>
        <v>120</v>
      </c>
      <c r="T1009" s="8">
        <f t="shared" si="46"/>
        <v>-120</v>
      </c>
      <c r="U1009" s="9">
        <f t="shared" si="47"/>
        <v>-1</v>
      </c>
    </row>
    <row r="1010" spans="1:21" outlineLevel="2">
      <c r="A1010" t="s">
        <v>336</v>
      </c>
      <c r="B1010" t="s">
        <v>337</v>
      </c>
      <c r="C1010" t="s">
        <v>190</v>
      </c>
      <c r="D1010" t="s">
        <v>191</v>
      </c>
      <c r="E1010" s="4">
        <v>0</v>
      </c>
      <c r="F1010" s="4">
        <v>0</v>
      </c>
      <c r="G1010" s="4">
        <v>0</v>
      </c>
      <c r="H1010" s="4">
        <v>20280.73</v>
      </c>
      <c r="I1010" s="4">
        <v>21022.86</v>
      </c>
      <c r="J1010" s="4">
        <v>42810.42</v>
      </c>
      <c r="K1010" s="4">
        <v>20735.7</v>
      </c>
      <c r="L1010" s="4">
        <v>19127.5</v>
      </c>
      <c r="M1010" s="4">
        <v>14814.42</v>
      </c>
      <c r="N1010" s="4">
        <v>74680.63</v>
      </c>
      <c r="O1010" s="4">
        <v>-6089.36</v>
      </c>
      <c r="P1010" s="4">
        <v>0</v>
      </c>
      <c r="Q1010" s="4">
        <v>0</v>
      </c>
      <c r="S1010" s="8">
        <f t="shared" si="45"/>
        <v>17088.865000000002</v>
      </c>
      <c r="T1010" s="8">
        <f t="shared" si="46"/>
        <v>-17088.865000000002</v>
      </c>
      <c r="U1010" s="9">
        <f t="shared" si="47"/>
        <v>-1</v>
      </c>
    </row>
    <row r="1011" spans="1:21" outlineLevel="1">
      <c r="A1011" s="1" t="s">
        <v>730</v>
      </c>
      <c r="E1011" s="4">
        <f>SUBTOTAL(9,E998:E1010)</f>
        <v>0</v>
      </c>
      <c r="F1011" s="4">
        <f>SUBTOTAL(9,F998:F1010)</f>
        <v>14000</v>
      </c>
      <c r="G1011" s="4">
        <f>SUBTOTAL(9,G998:G1010)</f>
        <v>7000</v>
      </c>
      <c r="H1011" s="4">
        <f>SUBTOTAL(9,H998:H1010)</f>
        <v>179965.81000000003</v>
      </c>
      <c r="I1011" s="4">
        <f>SUBTOTAL(9,I998:I1010)</f>
        <v>197288.56</v>
      </c>
      <c r="J1011" s="4">
        <f>SUBTOTAL(9,J998:J1010)</f>
        <v>186405.09999999998</v>
      </c>
      <c r="K1011" s="4">
        <f>SUBTOTAL(9,K998:K1010)</f>
        <v>1274.8199999999961</v>
      </c>
      <c r="L1011" s="4">
        <f>SUBTOTAL(9,L998:L1010)</f>
        <v>64604.350000000006</v>
      </c>
      <c r="M1011" s="4">
        <f>SUBTOTAL(9,M998:M1010)</f>
        <v>197064.90000000002</v>
      </c>
      <c r="N1011" s="4">
        <f>SUBTOTAL(9,N998:N1010)</f>
        <v>107714.54000000001</v>
      </c>
      <c r="O1011" s="4">
        <f>SUBTOTAL(9,O998:O1010)</f>
        <v>-6512.05</v>
      </c>
      <c r="P1011" s="4">
        <f>SUBTOTAL(9,P998:P1010)</f>
        <v>0</v>
      </c>
      <c r="Q1011" s="4">
        <f>SUBTOTAL(9,Q998:Q1010)</f>
        <v>0</v>
      </c>
      <c r="R1011" s="4">
        <f>SUBTOTAL(9,R998:R1010)</f>
        <v>0</v>
      </c>
      <c r="S1011" s="8">
        <f t="shared" si="45"/>
        <v>60478.623333333344</v>
      </c>
      <c r="T1011" s="8">
        <f t="shared" si="46"/>
        <v>-60478.623333333344</v>
      </c>
      <c r="U1011" s="9">
        <f t="shared" si="47"/>
        <v>-1</v>
      </c>
    </row>
    <row r="1012" spans="1:21" outlineLevel="2">
      <c r="A1012" t="s">
        <v>338</v>
      </c>
      <c r="B1012" t="s">
        <v>339</v>
      </c>
      <c r="C1012" t="s">
        <v>136</v>
      </c>
      <c r="D1012" t="s">
        <v>137</v>
      </c>
      <c r="E1012" s="4">
        <v>0</v>
      </c>
      <c r="F1012" s="4">
        <v>0</v>
      </c>
      <c r="G1012" s="4">
        <v>41087.519999999997</v>
      </c>
      <c r="H1012" s="4">
        <v>-41087.519999999997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  <c r="O1012" s="4">
        <v>0</v>
      </c>
      <c r="P1012" s="4">
        <v>0</v>
      </c>
      <c r="Q1012" s="4">
        <v>0</v>
      </c>
      <c r="S1012" s="8">
        <f t="shared" si="45"/>
        <v>0</v>
      </c>
      <c r="T1012" s="8">
        <f t="shared" si="46"/>
        <v>0</v>
      </c>
      <c r="U1012" s="9" t="e">
        <f t="shared" si="47"/>
        <v>#DIV/0!</v>
      </c>
    </row>
    <row r="1013" spans="1:21" outlineLevel="2">
      <c r="A1013" t="s">
        <v>338</v>
      </c>
      <c r="B1013" t="s">
        <v>339</v>
      </c>
      <c r="C1013" t="s">
        <v>138</v>
      </c>
      <c r="D1013" t="s">
        <v>139</v>
      </c>
      <c r="E1013" s="4">
        <v>0</v>
      </c>
      <c r="F1013" s="4">
        <v>0</v>
      </c>
      <c r="G1013" s="4">
        <v>15048.56</v>
      </c>
      <c r="H1013" s="4">
        <v>-15048.56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S1013" s="8">
        <f t="shared" si="45"/>
        <v>0</v>
      </c>
      <c r="T1013" s="8">
        <f t="shared" si="46"/>
        <v>0</v>
      </c>
      <c r="U1013" s="9" t="e">
        <f t="shared" si="47"/>
        <v>#DIV/0!</v>
      </c>
    </row>
    <row r="1014" spans="1:21" outlineLevel="2">
      <c r="A1014" t="s">
        <v>338</v>
      </c>
      <c r="B1014" t="s">
        <v>339</v>
      </c>
      <c r="C1014" t="s">
        <v>29</v>
      </c>
      <c r="D1014" t="s">
        <v>30</v>
      </c>
      <c r="E1014" s="4">
        <v>0</v>
      </c>
      <c r="F1014" s="4">
        <v>0</v>
      </c>
      <c r="G1014" s="4">
        <v>20183.52</v>
      </c>
      <c r="H1014" s="4">
        <v>-20183.52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S1014" s="8">
        <f t="shared" si="45"/>
        <v>0</v>
      </c>
      <c r="T1014" s="8">
        <f t="shared" si="46"/>
        <v>0</v>
      </c>
      <c r="U1014" s="9" t="e">
        <f t="shared" si="47"/>
        <v>#DIV/0!</v>
      </c>
    </row>
    <row r="1015" spans="1:21" outlineLevel="2">
      <c r="A1015" t="s">
        <v>338</v>
      </c>
      <c r="B1015" t="s">
        <v>339</v>
      </c>
      <c r="C1015" t="s">
        <v>144</v>
      </c>
      <c r="D1015" t="s">
        <v>145</v>
      </c>
      <c r="E1015" s="4">
        <v>0</v>
      </c>
      <c r="F1015" s="4">
        <v>0</v>
      </c>
      <c r="G1015" s="4">
        <v>13688.97</v>
      </c>
      <c r="H1015" s="4">
        <v>-13688.97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S1015" s="8">
        <f t="shared" si="45"/>
        <v>0</v>
      </c>
      <c r="T1015" s="8">
        <f t="shared" si="46"/>
        <v>0</v>
      </c>
      <c r="U1015" s="9" t="e">
        <f t="shared" si="47"/>
        <v>#DIV/0!</v>
      </c>
    </row>
    <row r="1016" spans="1:21" outlineLevel="2">
      <c r="A1016" t="s">
        <v>338</v>
      </c>
      <c r="B1016" t="s">
        <v>339</v>
      </c>
      <c r="C1016" t="s">
        <v>146</v>
      </c>
      <c r="D1016" t="s">
        <v>147</v>
      </c>
      <c r="E1016" s="4">
        <v>0</v>
      </c>
      <c r="F1016" s="4">
        <v>0</v>
      </c>
      <c r="G1016" s="4">
        <v>6124.8200000000006</v>
      </c>
      <c r="H1016" s="4">
        <v>-6124.8200000000006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S1016" s="8">
        <f t="shared" si="45"/>
        <v>0</v>
      </c>
      <c r="T1016" s="8">
        <f t="shared" si="46"/>
        <v>0</v>
      </c>
      <c r="U1016" s="9" t="e">
        <f t="shared" si="47"/>
        <v>#DIV/0!</v>
      </c>
    </row>
    <row r="1017" spans="1:21" outlineLevel="2">
      <c r="A1017" t="s">
        <v>338</v>
      </c>
      <c r="B1017" t="s">
        <v>339</v>
      </c>
      <c r="C1017" t="s">
        <v>150</v>
      </c>
      <c r="D1017" t="s">
        <v>151</v>
      </c>
      <c r="E1017" s="4">
        <v>0</v>
      </c>
      <c r="F1017" s="4">
        <v>0</v>
      </c>
      <c r="G1017" s="4">
        <v>9539.23</v>
      </c>
      <c r="H1017" s="4">
        <v>-9539.23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S1017" s="8">
        <f t="shared" si="45"/>
        <v>0</v>
      </c>
      <c r="T1017" s="8">
        <f t="shared" si="46"/>
        <v>0</v>
      </c>
      <c r="U1017" s="9" t="e">
        <f t="shared" si="47"/>
        <v>#DIV/0!</v>
      </c>
    </row>
    <row r="1018" spans="1:21" outlineLevel="2">
      <c r="A1018" t="s">
        <v>338</v>
      </c>
      <c r="B1018" t="s">
        <v>339</v>
      </c>
      <c r="C1018" t="s">
        <v>152</v>
      </c>
      <c r="D1018" t="s">
        <v>153</v>
      </c>
      <c r="E1018" s="4">
        <v>0</v>
      </c>
      <c r="F1018" s="4">
        <v>0</v>
      </c>
      <c r="G1018" s="4">
        <v>7162.37</v>
      </c>
      <c r="H1018" s="4">
        <v>-7162.37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S1018" s="8">
        <f t="shared" si="45"/>
        <v>0</v>
      </c>
      <c r="T1018" s="8">
        <f t="shared" si="46"/>
        <v>0</v>
      </c>
      <c r="U1018" s="9" t="e">
        <f t="shared" si="47"/>
        <v>#DIV/0!</v>
      </c>
    </row>
    <row r="1019" spans="1:21" outlineLevel="2">
      <c r="A1019" t="s">
        <v>338</v>
      </c>
      <c r="B1019" t="s">
        <v>339</v>
      </c>
      <c r="C1019" t="s">
        <v>158</v>
      </c>
      <c r="D1019" t="s">
        <v>159</v>
      </c>
      <c r="E1019" s="4">
        <v>0</v>
      </c>
      <c r="F1019" s="4">
        <v>0</v>
      </c>
      <c r="G1019" s="4">
        <v>2966.1</v>
      </c>
      <c r="H1019" s="4">
        <v>-2966.1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S1019" s="8">
        <f t="shared" si="45"/>
        <v>0</v>
      </c>
      <c r="T1019" s="8">
        <f t="shared" si="46"/>
        <v>0</v>
      </c>
      <c r="U1019" s="9" t="e">
        <f t="shared" si="47"/>
        <v>#DIV/0!</v>
      </c>
    </row>
    <row r="1020" spans="1:21" outlineLevel="2">
      <c r="A1020" t="s">
        <v>338</v>
      </c>
      <c r="B1020" t="s">
        <v>339</v>
      </c>
      <c r="C1020" t="s">
        <v>49</v>
      </c>
      <c r="D1020" t="s">
        <v>50</v>
      </c>
      <c r="E1020" s="4">
        <v>0</v>
      </c>
      <c r="F1020" s="4">
        <v>0</v>
      </c>
      <c r="G1020" s="4">
        <v>14769.57</v>
      </c>
      <c r="H1020" s="4">
        <v>-14769.57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S1020" s="8">
        <f t="shared" si="45"/>
        <v>0</v>
      </c>
      <c r="T1020" s="8">
        <f t="shared" si="46"/>
        <v>0</v>
      </c>
      <c r="U1020" s="9" t="e">
        <f t="shared" si="47"/>
        <v>#DIV/0!</v>
      </c>
    </row>
    <row r="1021" spans="1:21" outlineLevel="2">
      <c r="A1021" t="s">
        <v>338</v>
      </c>
      <c r="B1021" t="s">
        <v>339</v>
      </c>
      <c r="C1021" t="s">
        <v>164</v>
      </c>
      <c r="D1021" t="s">
        <v>165</v>
      </c>
      <c r="E1021" s="4">
        <v>0</v>
      </c>
      <c r="F1021" s="4">
        <v>0</v>
      </c>
      <c r="G1021" s="4">
        <v>210</v>
      </c>
      <c r="H1021" s="4">
        <v>-210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S1021" s="8">
        <f t="shared" si="45"/>
        <v>0</v>
      </c>
      <c r="T1021" s="8">
        <f t="shared" si="46"/>
        <v>0</v>
      </c>
      <c r="U1021" s="9" t="e">
        <f t="shared" si="47"/>
        <v>#DIV/0!</v>
      </c>
    </row>
    <row r="1022" spans="1:21" outlineLevel="2">
      <c r="A1022" t="s">
        <v>338</v>
      </c>
      <c r="B1022" t="s">
        <v>339</v>
      </c>
      <c r="C1022" t="s">
        <v>63</v>
      </c>
      <c r="D1022" t="s">
        <v>64</v>
      </c>
      <c r="E1022" s="4">
        <v>0</v>
      </c>
      <c r="F1022" s="4">
        <v>0</v>
      </c>
      <c r="G1022" s="4">
        <v>159.38</v>
      </c>
      <c r="H1022" s="4">
        <v>-159.38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S1022" s="8">
        <f t="shared" si="45"/>
        <v>0</v>
      </c>
      <c r="T1022" s="8">
        <f t="shared" si="46"/>
        <v>0</v>
      </c>
      <c r="U1022" s="9" t="e">
        <f t="shared" si="47"/>
        <v>#DIV/0!</v>
      </c>
    </row>
    <row r="1023" spans="1:21" outlineLevel="2">
      <c r="A1023" t="s">
        <v>338</v>
      </c>
      <c r="B1023" t="s">
        <v>339</v>
      </c>
      <c r="C1023" t="s">
        <v>83</v>
      </c>
      <c r="D1023" t="s">
        <v>84</v>
      </c>
      <c r="E1023" s="4">
        <v>0</v>
      </c>
      <c r="F1023" s="4">
        <v>0</v>
      </c>
      <c r="G1023" s="4">
        <v>3.62</v>
      </c>
      <c r="H1023" s="4">
        <v>-3.62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S1023" s="8">
        <f t="shared" si="45"/>
        <v>0</v>
      </c>
      <c r="T1023" s="8">
        <f t="shared" si="46"/>
        <v>0</v>
      </c>
      <c r="U1023" s="9" t="e">
        <f t="shared" si="47"/>
        <v>#DIV/0!</v>
      </c>
    </row>
    <row r="1024" spans="1:21" outlineLevel="2">
      <c r="A1024" t="s">
        <v>338</v>
      </c>
      <c r="B1024" t="s">
        <v>339</v>
      </c>
      <c r="C1024" t="s">
        <v>89</v>
      </c>
      <c r="D1024" t="s">
        <v>90</v>
      </c>
      <c r="E1024" s="4">
        <v>0</v>
      </c>
      <c r="F1024" s="4">
        <v>0</v>
      </c>
      <c r="G1024" s="4">
        <v>62.46</v>
      </c>
      <c r="H1024" s="4">
        <v>-62.46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S1024" s="8">
        <f t="shared" si="45"/>
        <v>0</v>
      </c>
      <c r="T1024" s="8">
        <f t="shared" si="46"/>
        <v>0</v>
      </c>
      <c r="U1024" s="9" t="e">
        <f t="shared" si="47"/>
        <v>#DIV/0!</v>
      </c>
    </row>
    <row r="1025" spans="1:21" outlineLevel="2">
      <c r="A1025" t="s">
        <v>338</v>
      </c>
      <c r="B1025" t="s">
        <v>339</v>
      </c>
      <c r="C1025" t="s">
        <v>127</v>
      </c>
      <c r="D1025" t="s">
        <v>120</v>
      </c>
      <c r="E1025" s="4">
        <v>0</v>
      </c>
      <c r="F1025" s="4">
        <v>0</v>
      </c>
      <c r="G1025" s="4">
        <v>672.02</v>
      </c>
      <c r="H1025" s="4">
        <v>-672.02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S1025" s="8">
        <f t="shared" si="45"/>
        <v>0</v>
      </c>
      <c r="T1025" s="8">
        <f t="shared" si="46"/>
        <v>0</v>
      </c>
      <c r="U1025" s="9" t="e">
        <f t="shared" si="47"/>
        <v>#DIV/0!</v>
      </c>
    </row>
    <row r="1026" spans="1:21" outlineLevel="1">
      <c r="A1026" s="1" t="s">
        <v>731</v>
      </c>
      <c r="E1026" s="4">
        <f>SUBTOTAL(9,E1012:E1025)</f>
        <v>0</v>
      </c>
      <c r="F1026" s="4">
        <f>SUBTOTAL(9,F1012:F1025)</f>
        <v>0</v>
      </c>
      <c r="G1026" s="4">
        <f>SUBTOTAL(9,G1012:G1025)</f>
        <v>131678.14000000001</v>
      </c>
      <c r="H1026" s="4">
        <f>SUBTOTAL(9,H1012:H1025)</f>
        <v>-131678.14000000001</v>
      </c>
      <c r="I1026" s="4">
        <f>SUBTOTAL(9,I1012:I1025)</f>
        <v>0</v>
      </c>
      <c r="J1026" s="4">
        <f>SUBTOTAL(9,J1012:J1025)</f>
        <v>0</v>
      </c>
      <c r="K1026" s="4">
        <f>SUBTOTAL(9,K1012:K1025)</f>
        <v>0</v>
      </c>
      <c r="L1026" s="4">
        <f>SUBTOTAL(9,L1012:L1025)</f>
        <v>0</v>
      </c>
      <c r="M1026" s="4">
        <f>SUBTOTAL(9,M1012:M1025)</f>
        <v>0</v>
      </c>
      <c r="N1026" s="4">
        <f>SUBTOTAL(9,N1012:N1025)</f>
        <v>0</v>
      </c>
      <c r="O1026" s="4">
        <f>SUBTOTAL(9,O1012:O1025)</f>
        <v>0</v>
      </c>
      <c r="P1026" s="4">
        <f>SUBTOTAL(9,P1012:P1025)</f>
        <v>0</v>
      </c>
      <c r="Q1026" s="4">
        <f>SUBTOTAL(9,Q1012:Q1025)</f>
        <v>0</v>
      </c>
      <c r="R1026" s="4">
        <f>SUBTOTAL(9,R1012:R1025)</f>
        <v>0</v>
      </c>
      <c r="S1026" s="8">
        <f t="shared" si="45"/>
        <v>0</v>
      </c>
      <c r="T1026" s="8">
        <f t="shared" si="46"/>
        <v>0</v>
      </c>
      <c r="U1026" s="9" t="e">
        <f t="shared" si="47"/>
        <v>#DIV/0!</v>
      </c>
    </row>
    <row r="1027" spans="1:21" outlineLevel="2">
      <c r="A1027" t="s">
        <v>340</v>
      </c>
      <c r="B1027" t="s">
        <v>341</v>
      </c>
      <c r="C1027" t="s">
        <v>136</v>
      </c>
      <c r="D1027" t="s">
        <v>137</v>
      </c>
      <c r="E1027" s="4">
        <v>0</v>
      </c>
      <c r="F1027" s="4">
        <v>0</v>
      </c>
      <c r="G1027" s="4">
        <v>40840.78</v>
      </c>
      <c r="H1027" s="4">
        <v>-40840.78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S1027" s="8">
        <f t="shared" ref="S1027:S1090" si="48">AVERAGE(L1027:Q1027)</f>
        <v>0</v>
      </c>
      <c r="T1027" s="8">
        <f t="shared" ref="T1027:T1090" si="49">R1027-S1027</f>
        <v>0</v>
      </c>
      <c r="U1027" s="9" t="e">
        <f t="shared" ref="U1027:U1090" si="50">(R1027-S1027)/S1027</f>
        <v>#DIV/0!</v>
      </c>
    </row>
    <row r="1028" spans="1:21" outlineLevel="2">
      <c r="A1028" t="s">
        <v>340</v>
      </c>
      <c r="B1028" t="s">
        <v>341</v>
      </c>
      <c r="C1028" t="s">
        <v>138</v>
      </c>
      <c r="D1028" t="s">
        <v>139</v>
      </c>
      <c r="E1028" s="4">
        <v>0</v>
      </c>
      <c r="F1028" s="4">
        <v>0</v>
      </c>
      <c r="G1028" s="4">
        <v>13208.49</v>
      </c>
      <c r="H1028" s="4">
        <v>-13208.49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S1028" s="8">
        <f t="shared" si="48"/>
        <v>0</v>
      </c>
      <c r="T1028" s="8">
        <f t="shared" si="49"/>
        <v>0</v>
      </c>
      <c r="U1028" s="9" t="e">
        <f t="shared" si="50"/>
        <v>#DIV/0!</v>
      </c>
    </row>
    <row r="1029" spans="1:21" outlineLevel="2">
      <c r="A1029" t="s">
        <v>340</v>
      </c>
      <c r="B1029" t="s">
        <v>341</v>
      </c>
      <c r="C1029" t="s">
        <v>29</v>
      </c>
      <c r="D1029" t="s">
        <v>30</v>
      </c>
      <c r="E1029" s="4">
        <v>0</v>
      </c>
      <c r="F1029" s="4">
        <v>0</v>
      </c>
      <c r="G1029" s="4">
        <v>895.93</v>
      </c>
      <c r="H1029" s="4">
        <v>-895.93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S1029" s="8">
        <f t="shared" si="48"/>
        <v>0</v>
      </c>
      <c r="T1029" s="8">
        <f t="shared" si="49"/>
        <v>0</v>
      </c>
      <c r="U1029" s="9" t="e">
        <f t="shared" si="50"/>
        <v>#DIV/0!</v>
      </c>
    </row>
    <row r="1030" spans="1:21" outlineLevel="2">
      <c r="A1030" t="s">
        <v>340</v>
      </c>
      <c r="B1030" t="s">
        <v>341</v>
      </c>
      <c r="C1030" t="s">
        <v>144</v>
      </c>
      <c r="D1030" t="s">
        <v>145</v>
      </c>
      <c r="E1030" s="4">
        <v>0</v>
      </c>
      <c r="F1030" s="4">
        <v>0</v>
      </c>
      <c r="G1030" s="4">
        <v>1418.94</v>
      </c>
      <c r="H1030" s="4">
        <v>-1418.94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S1030" s="8">
        <f t="shared" si="48"/>
        <v>0</v>
      </c>
      <c r="T1030" s="8">
        <f t="shared" si="49"/>
        <v>0</v>
      </c>
      <c r="U1030" s="9" t="e">
        <f t="shared" si="50"/>
        <v>#DIV/0!</v>
      </c>
    </row>
    <row r="1031" spans="1:21" outlineLevel="2">
      <c r="A1031" t="s">
        <v>340</v>
      </c>
      <c r="B1031" t="s">
        <v>341</v>
      </c>
      <c r="C1031" t="s">
        <v>146</v>
      </c>
      <c r="D1031" t="s">
        <v>147</v>
      </c>
      <c r="E1031" s="4">
        <v>0</v>
      </c>
      <c r="F1031" s="4">
        <v>0</v>
      </c>
      <c r="G1031" s="4">
        <v>6597.18</v>
      </c>
      <c r="H1031" s="4">
        <v>-6597.18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S1031" s="8">
        <f t="shared" si="48"/>
        <v>0</v>
      </c>
      <c r="T1031" s="8">
        <f t="shared" si="49"/>
        <v>0</v>
      </c>
      <c r="U1031" s="9" t="e">
        <f t="shared" si="50"/>
        <v>#DIV/0!</v>
      </c>
    </row>
    <row r="1032" spans="1:21" outlineLevel="2">
      <c r="A1032" t="s">
        <v>340</v>
      </c>
      <c r="B1032" t="s">
        <v>341</v>
      </c>
      <c r="C1032" t="s">
        <v>150</v>
      </c>
      <c r="D1032" t="s">
        <v>151</v>
      </c>
      <c r="E1032" s="4">
        <v>0</v>
      </c>
      <c r="F1032" s="4">
        <v>0</v>
      </c>
      <c r="G1032" s="4">
        <v>13531.85</v>
      </c>
      <c r="H1032" s="4">
        <v>-13531.85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S1032" s="8">
        <f t="shared" si="48"/>
        <v>0</v>
      </c>
      <c r="T1032" s="8">
        <f t="shared" si="49"/>
        <v>0</v>
      </c>
      <c r="U1032" s="9" t="e">
        <f t="shared" si="50"/>
        <v>#DIV/0!</v>
      </c>
    </row>
    <row r="1033" spans="1:21" outlineLevel="2">
      <c r="A1033" t="s">
        <v>340</v>
      </c>
      <c r="B1033" t="s">
        <v>341</v>
      </c>
      <c r="C1033" t="s">
        <v>152</v>
      </c>
      <c r="D1033" t="s">
        <v>153</v>
      </c>
      <c r="E1033" s="4">
        <v>0</v>
      </c>
      <c r="F1033" s="4">
        <v>0</v>
      </c>
      <c r="G1033" s="4">
        <v>5790.23</v>
      </c>
      <c r="H1033" s="4">
        <v>-5790.23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S1033" s="8">
        <f t="shared" si="48"/>
        <v>0</v>
      </c>
      <c r="T1033" s="8">
        <f t="shared" si="49"/>
        <v>0</v>
      </c>
      <c r="U1033" s="9" t="e">
        <f t="shared" si="50"/>
        <v>#DIV/0!</v>
      </c>
    </row>
    <row r="1034" spans="1:21" outlineLevel="2">
      <c r="A1034" t="s">
        <v>340</v>
      </c>
      <c r="B1034" t="s">
        <v>341</v>
      </c>
      <c r="C1034" t="s">
        <v>158</v>
      </c>
      <c r="D1034" t="s">
        <v>159</v>
      </c>
      <c r="E1034" s="4">
        <v>0</v>
      </c>
      <c r="F1034" s="4">
        <v>0</v>
      </c>
      <c r="G1034" s="4">
        <v>2977.31</v>
      </c>
      <c r="H1034" s="4">
        <v>-2977.31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S1034" s="8">
        <f t="shared" si="48"/>
        <v>0</v>
      </c>
      <c r="T1034" s="8">
        <f t="shared" si="49"/>
        <v>0</v>
      </c>
      <c r="U1034" s="9" t="e">
        <f t="shared" si="50"/>
        <v>#DIV/0!</v>
      </c>
    </row>
    <row r="1035" spans="1:21" outlineLevel="2">
      <c r="A1035" t="s">
        <v>340</v>
      </c>
      <c r="B1035" t="s">
        <v>341</v>
      </c>
      <c r="C1035" t="s">
        <v>164</v>
      </c>
      <c r="D1035" t="s">
        <v>165</v>
      </c>
      <c r="E1035" s="4">
        <v>0</v>
      </c>
      <c r="F1035" s="4">
        <v>0</v>
      </c>
      <c r="G1035" s="4">
        <v>280</v>
      </c>
      <c r="H1035" s="4">
        <v>-280</v>
      </c>
      <c r="I1035" s="4">
        <v>0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S1035" s="8">
        <f t="shared" si="48"/>
        <v>0</v>
      </c>
      <c r="T1035" s="8">
        <f t="shared" si="49"/>
        <v>0</v>
      </c>
      <c r="U1035" s="9" t="e">
        <f t="shared" si="50"/>
        <v>#DIV/0!</v>
      </c>
    </row>
    <row r="1036" spans="1:21" outlineLevel="2">
      <c r="A1036" t="s">
        <v>340</v>
      </c>
      <c r="B1036" t="s">
        <v>341</v>
      </c>
      <c r="C1036" t="s">
        <v>127</v>
      </c>
      <c r="D1036" t="s">
        <v>120</v>
      </c>
      <c r="E1036" s="4">
        <v>0</v>
      </c>
      <c r="F1036" s="4">
        <v>0</v>
      </c>
      <c r="G1036" s="4">
        <v>181.44</v>
      </c>
      <c r="H1036" s="4">
        <v>-181.44</v>
      </c>
      <c r="I1036" s="4">
        <v>0</v>
      </c>
      <c r="J1036" s="4">
        <v>0</v>
      </c>
      <c r="K1036" s="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S1036" s="8">
        <f t="shared" si="48"/>
        <v>0</v>
      </c>
      <c r="T1036" s="8">
        <f t="shared" si="49"/>
        <v>0</v>
      </c>
      <c r="U1036" s="9" t="e">
        <f t="shared" si="50"/>
        <v>#DIV/0!</v>
      </c>
    </row>
    <row r="1037" spans="1:21" outlineLevel="1">
      <c r="A1037" s="1" t="s">
        <v>732</v>
      </c>
      <c r="E1037" s="4">
        <f>SUBTOTAL(9,E1027:E1036)</f>
        <v>0</v>
      </c>
      <c r="F1037" s="4">
        <f>SUBTOTAL(9,F1027:F1036)</f>
        <v>0</v>
      </c>
      <c r="G1037" s="4">
        <f>SUBTOTAL(9,G1027:G1036)</f>
        <v>85722.15</v>
      </c>
      <c r="H1037" s="4">
        <f>SUBTOTAL(9,H1027:H1036)</f>
        <v>-85722.15</v>
      </c>
      <c r="I1037" s="4">
        <f>SUBTOTAL(9,I1027:I1036)</f>
        <v>0</v>
      </c>
      <c r="J1037" s="4">
        <f>SUBTOTAL(9,J1027:J1036)</f>
        <v>0</v>
      </c>
      <c r="K1037" s="4">
        <f>SUBTOTAL(9,K1027:K1036)</f>
        <v>0</v>
      </c>
      <c r="L1037" s="4">
        <f>SUBTOTAL(9,L1027:L1036)</f>
        <v>0</v>
      </c>
      <c r="M1037" s="4">
        <f>SUBTOTAL(9,M1027:M1036)</f>
        <v>0</v>
      </c>
      <c r="N1037" s="4">
        <f>SUBTOTAL(9,N1027:N1036)</f>
        <v>0</v>
      </c>
      <c r="O1037" s="4">
        <f>SUBTOTAL(9,O1027:O1036)</f>
        <v>0</v>
      </c>
      <c r="P1037" s="4">
        <f>SUBTOTAL(9,P1027:P1036)</f>
        <v>0</v>
      </c>
      <c r="Q1037" s="4">
        <f>SUBTOTAL(9,Q1027:Q1036)</f>
        <v>0</v>
      </c>
      <c r="R1037" s="4">
        <f>SUBTOTAL(9,R1027:R1036)</f>
        <v>0</v>
      </c>
      <c r="S1037" s="8">
        <f t="shared" si="48"/>
        <v>0</v>
      </c>
      <c r="T1037" s="8">
        <f t="shared" si="49"/>
        <v>0</v>
      </c>
      <c r="U1037" s="9" t="e">
        <f t="shared" si="50"/>
        <v>#DIV/0!</v>
      </c>
    </row>
    <row r="1038" spans="1:21" outlineLevel="2">
      <c r="A1038" t="s">
        <v>342</v>
      </c>
      <c r="B1038" t="s">
        <v>343</v>
      </c>
      <c r="C1038" t="s">
        <v>19</v>
      </c>
      <c r="D1038" t="s">
        <v>20</v>
      </c>
      <c r="E1038" s="4">
        <v>0</v>
      </c>
      <c r="F1038" s="4">
        <v>0</v>
      </c>
      <c r="G1038" s="4">
        <v>3885.62</v>
      </c>
      <c r="H1038" s="4">
        <v>-3885.62</v>
      </c>
      <c r="I1038" s="4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S1038" s="8">
        <f t="shared" si="48"/>
        <v>0</v>
      </c>
      <c r="T1038" s="8">
        <f t="shared" si="49"/>
        <v>0</v>
      </c>
      <c r="U1038" s="9" t="e">
        <f t="shared" si="50"/>
        <v>#DIV/0!</v>
      </c>
    </row>
    <row r="1039" spans="1:21" outlineLevel="2">
      <c r="A1039" t="s">
        <v>342</v>
      </c>
      <c r="B1039" t="s">
        <v>343</v>
      </c>
      <c r="C1039" t="s">
        <v>136</v>
      </c>
      <c r="D1039" t="s">
        <v>137</v>
      </c>
      <c r="E1039" s="4">
        <v>0</v>
      </c>
      <c r="F1039" s="4">
        <v>0</v>
      </c>
      <c r="G1039" s="4">
        <v>38230.99</v>
      </c>
      <c r="H1039" s="4">
        <v>-38230.99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S1039" s="8">
        <f t="shared" si="48"/>
        <v>0</v>
      </c>
      <c r="T1039" s="8">
        <f t="shared" si="49"/>
        <v>0</v>
      </c>
      <c r="U1039" s="9" t="e">
        <f t="shared" si="50"/>
        <v>#DIV/0!</v>
      </c>
    </row>
    <row r="1040" spans="1:21" outlineLevel="2">
      <c r="A1040" t="s">
        <v>342</v>
      </c>
      <c r="B1040" t="s">
        <v>343</v>
      </c>
      <c r="C1040" t="s">
        <v>138</v>
      </c>
      <c r="D1040" t="s">
        <v>139</v>
      </c>
      <c r="E1040" s="4">
        <v>0</v>
      </c>
      <c r="F1040" s="4">
        <v>0</v>
      </c>
      <c r="G1040" s="4">
        <v>16599.82</v>
      </c>
      <c r="H1040" s="4">
        <v>-16599.82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S1040" s="8">
        <f t="shared" si="48"/>
        <v>0</v>
      </c>
      <c r="T1040" s="8">
        <f t="shared" si="49"/>
        <v>0</v>
      </c>
      <c r="U1040" s="9" t="e">
        <f t="shared" si="50"/>
        <v>#DIV/0!</v>
      </c>
    </row>
    <row r="1041" spans="1:21" outlineLevel="2">
      <c r="A1041" t="s">
        <v>342</v>
      </c>
      <c r="B1041" t="s">
        <v>343</v>
      </c>
      <c r="C1041" t="s">
        <v>29</v>
      </c>
      <c r="D1041" t="s">
        <v>30</v>
      </c>
      <c r="E1041" s="4">
        <v>0</v>
      </c>
      <c r="F1041" s="4">
        <v>0</v>
      </c>
      <c r="G1041" s="4">
        <v>3094.66</v>
      </c>
      <c r="H1041" s="4">
        <v>-3094.66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S1041" s="8">
        <f t="shared" si="48"/>
        <v>0</v>
      </c>
      <c r="T1041" s="8">
        <f t="shared" si="49"/>
        <v>0</v>
      </c>
      <c r="U1041" s="9" t="e">
        <f t="shared" si="50"/>
        <v>#DIV/0!</v>
      </c>
    </row>
    <row r="1042" spans="1:21" outlineLevel="2">
      <c r="A1042" t="s">
        <v>342</v>
      </c>
      <c r="B1042" t="s">
        <v>343</v>
      </c>
      <c r="C1042" t="s">
        <v>144</v>
      </c>
      <c r="D1042" t="s">
        <v>145</v>
      </c>
      <c r="E1042" s="4">
        <v>0</v>
      </c>
      <c r="F1042" s="4">
        <v>0</v>
      </c>
      <c r="G1042" s="4">
        <v>-3039.91</v>
      </c>
      <c r="H1042" s="4">
        <v>3039.91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S1042" s="8">
        <f t="shared" si="48"/>
        <v>0</v>
      </c>
      <c r="T1042" s="8">
        <f t="shared" si="49"/>
        <v>0</v>
      </c>
      <c r="U1042" s="9" t="e">
        <f t="shared" si="50"/>
        <v>#DIV/0!</v>
      </c>
    </row>
    <row r="1043" spans="1:21" outlineLevel="2">
      <c r="A1043" t="s">
        <v>342</v>
      </c>
      <c r="B1043" t="s">
        <v>343</v>
      </c>
      <c r="C1043" t="s">
        <v>146</v>
      </c>
      <c r="D1043" t="s">
        <v>147</v>
      </c>
      <c r="E1043" s="4">
        <v>0</v>
      </c>
      <c r="F1043" s="4">
        <v>0</v>
      </c>
      <c r="G1043" s="4">
        <v>8297.25</v>
      </c>
      <c r="H1043" s="4">
        <v>-8297.25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S1043" s="8">
        <f t="shared" si="48"/>
        <v>0</v>
      </c>
      <c r="T1043" s="8">
        <f t="shared" si="49"/>
        <v>0</v>
      </c>
      <c r="U1043" s="9" t="e">
        <f t="shared" si="50"/>
        <v>#DIV/0!</v>
      </c>
    </row>
    <row r="1044" spans="1:21" outlineLevel="2">
      <c r="A1044" t="s">
        <v>342</v>
      </c>
      <c r="B1044" t="s">
        <v>343</v>
      </c>
      <c r="C1044" t="s">
        <v>150</v>
      </c>
      <c r="D1044" t="s">
        <v>151</v>
      </c>
      <c r="E1044" s="4">
        <v>0</v>
      </c>
      <c r="F1044" s="4">
        <v>0</v>
      </c>
      <c r="G1044" s="4">
        <v>17636.62</v>
      </c>
      <c r="H1044" s="4">
        <v>-17636.62</v>
      </c>
      <c r="I1044" s="4">
        <v>0</v>
      </c>
      <c r="J1044" s="4">
        <v>0</v>
      </c>
      <c r="K1044" s="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S1044" s="8">
        <f t="shared" si="48"/>
        <v>0</v>
      </c>
      <c r="T1044" s="8">
        <f t="shared" si="49"/>
        <v>0</v>
      </c>
      <c r="U1044" s="9" t="e">
        <f t="shared" si="50"/>
        <v>#DIV/0!</v>
      </c>
    </row>
    <row r="1045" spans="1:21" outlineLevel="2">
      <c r="A1045" t="s">
        <v>342</v>
      </c>
      <c r="B1045" t="s">
        <v>343</v>
      </c>
      <c r="C1045" t="s">
        <v>152</v>
      </c>
      <c r="D1045" t="s">
        <v>153</v>
      </c>
      <c r="E1045" s="4">
        <v>0</v>
      </c>
      <c r="F1045" s="4">
        <v>0</v>
      </c>
      <c r="G1045" s="4">
        <v>6495.49</v>
      </c>
      <c r="H1045" s="4">
        <v>-6495.49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S1045" s="8">
        <f t="shared" si="48"/>
        <v>0</v>
      </c>
      <c r="T1045" s="8">
        <f t="shared" si="49"/>
        <v>0</v>
      </c>
      <c r="U1045" s="9" t="e">
        <f t="shared" si="50"/>
        <v>#DIV/0!</v>
      </c>
    </row>
    <row r="1046" spans="1:21" outlineLevel="2">
      <c r="A1046" t="s">
        <v>342</v>
      </c>
      <c r="B1046" t="s">
        <v>343</v>
      </c>
      <c r="C1046" t="s">
        <v>154</v>
      </c>
      <c r="D1046" t="s">
        <v>155</v>
      </c>
      <c r="E1046" s="4">
        <v>0</v>
      </c>
      <c r="F1046" s="4">
        <v>0</v>
      </c>
      <c r="G1046" s="4">
        <v>21.43</v>
      </c>
      <c r="H1046" s="4">
        <v>-21.43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S1046" s="8">
        <f t="shared" si="48"/>
        <v>0</v>
      </c>
      <c r="T1046" s="8">
        <f t="shared" si="49"/>
        <v>0</v>
      </c>
      <c r="U1046" s="9" t="e">
        <f t="shared" si="50"/>
        <v>#DIV/0!</v>
      </c>
    </row>
    <row r="1047" spans="1:21" outlineLevel="2">
      <c r="A1047" t="s">
        <v>342</v>
      </c>
      <c r="B1047" t="s">
        <v>343</v>
      </c>
      <c r="C1047" t="s">
        <v>158</v>
      </c>
      <c r="D1047" t="s">
        <v>159</v>
      </c>
      <c r="E1047" s="4">
        <v>0</v>
      </c>
      <c r="F1047" s="4">
        <v>0</v>
      </c>
      <c r="G1047" s="4">
        <v>6385.01</v>
      </c>
      <c r="H1047" s="4">
        <v>-6385.01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S1047" s="8">
        <f t="shared" si="48"/>
        <v>0</v>
      </c>
      <c r="T1047" s="8">
        <f t="shared" si="49"/>
        <v>0</v>
      </c>
      <c r="U1047" s="9" t="e">
        <f t="shared" si="50"/>
        <v>#DIV/0!</v>
      </c>
    </row>
    <row r="1048" spans="1:21" outlineLevel="2">
      <c r="A1048" t="s">
        <v>342</v>
      </c>
      <c r="B1048" t="s">
        <v>343</v>
      </c>
      <c r="C1048" t="s">
        <v>47</v>
      </c>
      <c r="D1048" t="s">
        <v>48</v>
      </c>
      <c r="E1048" s="4">
        <v>0</v>
      </c>
      <c r="F1048" s="4">
        <v>0</v>
      </c>
      <c r="G1048" s="4">
        <v>-6794.25</v>
      </c>
      <c r="H1048" s="4">
        <v>6794.25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S1048" s="8">
        <f t="shared" si="48"/>
        <v>0</v>
      </c>
      <c r="T1048" s="8">
        <f t="shared" si="49"/>
        <v>0</v>
      </c>
      <c r="U1048" s="9" t="e">
        <f t="shared" si="50"/>
        <v>#DIV/0!</v>
      </c>
    </row>
    <row r="1049" spans="1:21" outlineLevel="2">
      <c r="A1049" t="s">
        <v>342</v>
      </c>
      <c r="B1049" t="s">
        <v>343</v>
      </c>
      <c r="C1049" t="s">
        <v>49</v>
      </c>
      <c r="D1049" t="s">
        <v>50</v>
      </c>
      <c r="E1049" s="4">
        <v>0</v>
      </c>
      <c r="F1049" s="4">
        <v>0</v>
      </c>
      <c r="G1049" s="4">
        <v>9970.23</v>
      </c>
      <c r="H1049" s="4">
        <v>-9970.23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S1049" s="8">
        <f t="shared" si="48"/>
        <v>0</v>
      </c>
      <c r="T1049" s="8">
        <f t="shared" si="49"/>
        <v>0</v>
      </c>
      <c r="U1049" s="9" t="e">
        <f t="shared" si="50"/>
        <v>#DIV/0!</v>
      </c>
    </row>
    <row r="1050" spans="1:21" outlineLevel="2">
      <c r="A1050" t="s">
        <v>342</v>
      </c>
      <c r="B1050" t="s">
        <v>343</v>
      </c>
      <c r="C1050" t="s">
        <v>344</v>
      </c>
      <c r="D1050" t="s">
        <v>345</v>
      </c>
      <c r="E1050" s="4">
        <v>0</v>
      </c>
      <c r="F1050" s="4">
        <v>0</v>
      </c>
      <c r="G1050" s="4">
        <v>26087.22</v>
      </c>
      <c r="H1050" s="4">
        <v>-26087.22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S1050" s="8">
        <f t="shared" si="48"/>
        <v>0</v>
      </c>
      <c r="T1050" s="8">
        <f t="shared" si="49"/>
        <v>0</v>
      </c>
      <c r="U1050" s="9" t="e">
        <f t="shared" si="50"/>
        <v>#DIV/0!</v>
      </c>
    </row>
    <row r="1051" spans="1:21" outlineLevel="2">
      <c r="A1051" t="s">
        <v>342</v>
      </c>
      <c r="B1051" t="s">
        <v>343</v>
      </c>
      <c r="C1051" t="s">
        <v>164</v>
      </c>
      <c r="D1051" t="s">
        <v>165</v>
      </c>
      <c r="E1051" s="4">
        <v>0</v>
      </c>
      <c r="F1051" s="4">
        <v>0</v>
      </c>
      <c r="G1051" s="4">
        <v>70</v>
      </c>
      <c r="H1051" s="4">
        <v>-70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S1051" s="8">
        <f t="shared" si="48"/>
        <v>0</v>
      </c>
      <c r="T1051" s="8">
        <f t="shared" si="49"/>
        <v>0</v>
      </c>
      <c r="U1051" s="9" t="e">
        <f t="shared" si="50"/>
        <v>#DIV/0!</v>
      </c>
    </row>
    <row r="1052" spans="1:21" outlineLevel="2">
      <c r="A1052" t="s">
        <v>342</v>
      </c>
      <c r="B1052" t="s">
        <v>343</v>
      </c>
      <c r="C1052" t="s">
        <v>55</v>
      </c>
      <c r="D1052" t="s">
        <v>56</v>
      </c>
      <c r="E1052" s="4">
        <v>0</v>
      </c>
      <c r="F1052" s="4">
        <v>0</v>
      </c>
      <c r="G1052" s="4">
        <v>766.35</v>
      </c>
      <c r="H1052" s="4">
        <v>-766.35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S1052" s="8">
        <f t="shared" si="48"/>
        <v>0</v>
      </c>
      <c r="T1052" s="8">
        <f t="shared" si="49"/>
        <v>0</v>
      </c>
      <c r="U1052" s="9" t="e">
        <f t="shared" si="50"/>
        <v>#DIV/0!</v>
      </c>
    </row>
    <row r="1053" spans="1:21" outlineLevel="2">
      <c r="A1053" t="s">
        <v>342</v>
      </c>
      <c r="B1053" t="s">
        <v>343</v>
      </c>
      <c r="C1053" t="s">
        <v>59</v>
      </c>
      <c r="D1053" t="s">
        <v>60</v>
      </c>
      <c r="E1053" s="4">
        <v>0</v>
      </c>
      <c r="F1053" s="4">
        <v>0</v>
      </c>
      <c r="G1053" s="4">
        <v>19.04</v>
      </c>
      <c r="H1053" s="4">
        <v>-19.04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S1053" s="8">
        <f t="shared" si="48"/>
        <v>0</v>
      </c>
      <c r="T1053" s="8">
        <f t="shared" si="49"/>
        <v>0</v>
      </c>
      <c r="U1053" s="9" t="e">
        <f t="shared" si="50"/>
        <v>#DIV/0!</v>
      </c>
    </row>
    <row r="1054" spans="1:21" outlineLevel="2">
      <c r="A1054" t="s">
        <v>342</v>
      </c>
      <c r="B1054" t="s">
        <v>343</v>
      </c>
      <c r="C1054" t="s">
        <v>85</v>
      </c>
      <c r="D1054" t="s">
        <v>86</v>
      </c>
      <c r="E1054" s="4">
        <v>0</v>
      </c>
      <c r="F1054" s="4">
        <v>0</v>
      </c>
      <c r="G1054" s="4">
        <v>266</v>
      </c>
      <c r="H1054" s="4">
        <v>-266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S1054" s="8">
        <f t="shared" si="48"/>
        <v>0</v>
      </c>
      <c r="T1054" s="8">
        <f t="shared" si="49"/>
        <v>0</v>
      </c>
      <c r="U1054" s="9" t="e">
        <f t="shared" si="50"/>
        <v>#DIV/0!</v>
      </c>
    </row>
    <row r="1055" spans="1:21" outlineLevel="2">
      <c r="A1055" t="s">
        <v>342</v>
      </c>
      <c r="B1055" t="s">
        <v>343</v>
      </c>
      <c r="C1055" t="s">
        <v>101</v>
      </c>
      <c r="D1055" t="s">
        <v>102</v>
      </c>
      <c r="E1055" s="4">
        <v>0</v>
      </c>
      <c r="F1055" s="4">
        <v>0</v>
      </c>
      <c r="G1055" s="4">
        <v>129.5</v>
      </c>
      <c r="H1055" s="4">
        <v>-129.5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S1055" s="8">
        <f t="shared" si="48"/>
        <v>0</v>
      </c>
      <c r="T1055" s="8">
        <f t="shared" si="49"/>
        <v>0</v>
      </c>
      <c r="U1055" s="9" t="e">
        <f t="shared" si="50"/>
        <v>#DIV/0!</v>
      </c>
    </row>
    <row r="1056" spans="1:21" outlineLevel="1">
      <c r="A1056" s="1" t="s">
        <v>733</v>
      </c>
      <c r="E1056" s="4">
        <f>SUBTOTAL(9,E1038:E1055)</f>
        <v>0</v>
      </c>
      <c r="F1056" s="4">
        <f>SUBTOTAL(9,F1038:F1055)</f>
        <v>0</v>
      </c>
      <c r="G1056" s="4">
        <f>SUBTOTAL(9,G1038:G1055)</f>
        <v>128121.06999999998</v>
      </c>
      <c r="H1056" s="4">
        <f>SUBTOTAL(9,H1038:H1055)</f>
        <v>-128121.06999999998</v>
      </c>
      <c r="I1056" s="4">
        <f>SUBTOTAL(9,I1038:I1055)</f>
        <v>0</v>
      </c>
      <c r="J1056" s="4">
        <f>SUBTOTAL(9,J1038:J1055)</f>
        <v>0</v>
      </c>
      <c r="K1056" s="4">
        <f>SUBTOTAL(9,K1038:K1055)</f>
        <v>0</v>
      </c>
      <c r="L1056" s="4">
        <f>SUBTOTAL(9,L1038:L1055)</f>
        <v>0</v>
      </c>
      <c r="M1056" s="4">
        <f>SUBTOTAL(9,M1038:M1055)</f>
        <v>0</v>
      </c>
      <c r="N1056" s="4">
        <f>SUBTOTAL(9,N1038:N1055)</f>
        <v>0</v>
      </c>
      <c r="O1056" s="4">
        <f>SUBTOTAL(9,O1038:O1055)</f>
        <v>0</v>
      </c>
      <c r="P1056" s="4">
        <f>SUBTOTAL(9,P1038:P1055)</f>
        <v>0</v>
      </c>
      <c r="Q1056" s="4">
        <f>SUBTOTAL(9,Q1038:Q1055)</f>
        <v>0</v>
      </c>
      <c r="R1056" s="4">
        <f>SUBTOTAL(9,R1038:R1055)</f>
        <v>0</v>
      </c>
      <c r="S1056" s="8">
        <f t="shared" si="48"/>
        <v>0</v>
      </c>
      <c r="T1056" s="8">
        <f t="shared" si="49"/>
        <v>0</v>
      </c>
      <c r="U1056" s="9" t="e">
        <f t="shared" si="50"/>
        <v>#DIV/0!</v>
      </c>
    </row>
    <row r="1057" spans="1:21" outlineLevel="2">
      <c r="A1057" t="s">
        <v>346</v>
      </c>
      <c r="B1057" t="s">
        <v>347</v>
      </c>
      <c r="C1057" t="s">
        <v>19</v>
      </c>
      <c r="D1057" t="s">
        <v>20</v>
      </c>
      <c r="E1057" s="4">
        <v>0</v>
      </c>
      <c r="F1057" s="4">
        <v>0</v>
      </c>
      <c r="G1057" s="4">
        <v>-80.08</v>
      </c>
      <c r="H1057" s="4">
        <v>80.08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S1057" s="8">
        <f t="shared" si="48"/>
        <v>0</v>
      </c>
      <c r="T1057" s="8">
        <f t="shared" si="49"/>
        <v>0</v>
      </c>
      <c r="U1057" s="9" t="e">
        <f t="shared" si="50"/>
        <v>#DIV/0!</v>
      </c>
    </row>
    <row r="1058" spans="1:21" outlineLevel="2">
      <c r="A1058" t="s">
        <v>346</v>
      </c>
      <c r="B1058" t="s">
        <v>347</v>
      </c>
      <c r="C1058" t="s">
        <v>136</v>
      </c>
      <c r="D1058" t="s">
        <v>137</v>
      </c>
      <c r="E1058" s="4">
        <v>0</v>
      </c>
      <c r="F1058" s="4">
        <v>0</v>
      </c>
      <c r="G1058" s="4">
        <v>45416.26</v>
      </c>
      <c r="H1058" s="4">
        <v>-45416.26</v>
      </c>
      <c r="I1058" s="4">
        <v>0</v>
      </c>
      <c r="J1058" s="4">
        <v>0</v>
      </c>
      <c r="K1058" s="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S1058" s="8">
        <f t="shared" si="48"/>
        <v>0</v>
      </c>
      <c r="T1058" s="8">
        <f t="shared" si="49"/>
        <v>0</v>
      </c>
      <c r="U1058" s="9" t="e">
        <f t="shared" si="50"/>
        <v>#DIV/0!</v>
      </c>
    </row>
    <row r="1059" spans="1:21" outlineLevel="2">
      <c r="A1059" t="s">
        <v>346</v>
      </c>
      <c r="B1059" t="s">
        <v>347</v>
      </c>
      <c r="C1059" t="s">
        <v>138</v>
      </c>
      <c r="D1059" t="s">
        <v>139</v>
      </c>
      <c r="E1059" s="4">
        <v>0</v>
      </c>
      <c r="F1059" s="4">
        <v>0</v>
      </c>
      <c r="G1059" s="4">
        <v>9145.24</v>
      </c>
      <c r="H1059" s="4">
        <v>-9145.24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S1059" s="8">
        <f t="shared" si="48"/>
        <v>0</v>
      </c>
      <c r="T1059" s="8">
        <f t="shared" si="49"/>
        <v>0</v>
      </c>
      <c r="U1059" s="9" t="e">
        <f t="shared" si="50"/>
        <v>#DIV/0!</v>
      </c>
    </row>
    <row r="1060" spans="1:21" outlineLevel="2">
      <c r="A1060" t="s">
        <v>346</v>
      </c>
      <c r="B1060" t="s">
        <v>347</v>
      </c>
      <c r="C1060" t="s">
        <v>29</v>
      </c>
      <c r="D1060" t="s">
        <v>30</v>
      </c>
      <c r="E1060" s="4">
        <v>0</v>
      </c>
      <c r="F1060" s="4">
        <v>0</v>
      </c>
      <c r="G1060" s="4">
        <v>3170.45</v>
      </c>
      <c r="H1060" s="4">
        <v>-3170.45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S1060" s="8">
        <f t="shared" si="48"/>
        <v>0</v>
      </c>
      <c r="T1060" s="8">
        <f t="shared" si="49"/>
        <v>0</v>
      </c>
      <c r="U1060" s="9" t="e">
        <f t="shared" si="50"/>
        <v>#DIV/0!</v>
      </c>
    </row>
    <row r="1061" spans="1:21" outlineLevel="2">
      <c r="A1061" t="s">
        <v>346</v>
      </c>
      <c r="B1061" t="s">
        <v>347</v>
      </c>
      <c r="C1061" t="s">
        <v>144</v>
      </c>
      <c r="D1061" t="s">
        <v>145</v>
      </c>
      <c r="E1061" s="4">
        <v>0</v>
      </c>
      <c r="F1061" s="4">
        <v>0</v>
      </c>
      <c r="G1061" s="4">
        <v>-1840.56</v>
      </c>
      <c r="H1061" s="4">
        <v>1840.56</v>
      </c>
      <c r="I1061" s="4">
        <v>0</v>
      </c>
      <c r="J1061" s="4">
        <v>0</v>
      </c>
      <c r="K1061" s="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S1061" s="8">
        <f t="shared" si="48"/>
        <v>0</v>
      </c>
      <c r="T1061" s="8">
        <f t="shared" si="49"/>
        <v>0</v>
      </c>
      <c r="U1061" s="9" t="e">
        <f t="shared" si="50"/>
        <v>#DIV/0!</v>
      </c>
    </row>
    <row r="1062" spans="1:21" outlineLevel="2">
      <c r="A1062" t="s">
        <v>346</v>
      </c>
      <c r="B1062" t="s">
        <v>347</v>
      </c>
      <c r="C1062" t="s">
        <v>146</v>
      </c>
      <c r="D1062" t="s">
        <v>147</v>
      </c>
      <c r="E1062" s="4">
        <v>0</v>
      </c>
      <c r="F1062" s="4">
        <v>0</v>
      </c>
      <c r="G1062" s="4">
        <v>8102.98</v>
      </c>
      <c r="H1062" s="4">
        <v>-8102.98</v>
      </c>
      <c r="I1062" s="4">
        <v>0</v>
      </c>
      <c r="J1062" s="4">
        <v>0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S1062" s="8">
        <f t="shared" si="48"/>
        <v>0</v>
      </c>
      <c r="T1062" s="8">
        <f t="shared" si="49"/>
        <v>0</v>
      </c>
      <c r="U1062" s="9" t="e">
        <f t="shared" si="50"/>
        <v>#DIV/0!</v>
      </c>
    </row>
    <row r="1063" spans="1:21" outlineLevel="2">
      <c r="A1063" t="s">
        <v>346</v>
      </c>
      <c r="B1063" t="s">
        <v>347</v>
      </c>
      <c r="C1063" t="s">
        <v>150</v>
      </c>
      <c r="D1063" t="s">
        <v>151</v>
      </c>
      <c r="E1063" s="4">
        <v>0</v>
      </c>
      <c r="F1063" s="4">
        <v>0</v>
      </c>
      <c r="G1063" s="4">
        <v>14305.26</v>
      </c>
      <c r="H1063" s="4">
        <v>-14305.26</v>
      </c>
      <c r="I1063" s="4">
        <v>0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S1063" s="8">
        <f t="shared" si="48"/>
        <v>0</v>
      </c>
      <c r="T1063" s="8">
        <f t="shared" si="49"/>
        <v>0</v>
      </c>
      <c r="U1063" s="9" t="e">
        <f t="shared" si="50"/>
        <v>#DIV/0!</v>
      </c>
    </row>
    <row r="1064" spans="1:21" outlineLevel="2">
      <c r="A1064" t="s">
        <v>346</v>
      </c>
      <c r="B1064" t="s">
        <v>347</v>
      </c>
      <c r="C1064" t="s">
        <v>152</v>
      </c>
      <c r="D1064" t="s">
        <v>153</v>
      </c>
      <c r="E1064" s="4">
        <v>0</v>
      </c>
      <c r="F1064" s="4">
        <v>0</v>
      </c>
      <c r="G1064" s="4">
        <v>6105.43</v>
      </c>
      <c r="H1064" s="4">
        <v>-6105.43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S1064" s="8">
        <f t="shared" si="48"/>
        <v>0</v>
      </c>
      <c r="T1064" s="8">
        <f t="shared" si="49"/>
        <v>0</v>
      </c>
      <c r="U1064" s="9" t="e">
        <f t="shared" si="50"/>
        <v>#DIV/0!</v>
      </c>
    </row>
    <row r="1065" spans="1:21" outlineLevel="2">
      <c r="A1065" t="s">
        <v>346</v>
      </c>
      <c r="B1065" t="s">
        <v>347</v>
      </c>
      <c r="C1065" t="s">
        <v>154</v>
      </c>
      <c r="D1065" t="s">
        <v>155</v>
      </c>
      <c r="E1065" s="4">
        <v>0</v>
      </c>
      <c r="F1065" s="4">
        <v>0</v>
      </c>
      <c r="G1065" s="4">
        <v>308.61</v>
      </c>
      <c r="H1065" s="4">
        <v>-308.61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S1065" s="8">
        <f t="shared" si="48"/>
        <v>0</v>
      </c>
      <c r="T1065" s="8">
        <f t="shared" si="49"/>
        <v>0</v>
      </c>
      <c r="U1065" s="9" t="e">
        <f t="shared" si="50"/>
        <v>#DIV/0!</v>
      </c>
    </row>
    <row r="1066" spans="1:21" outlineLevel="2">
      <c r="A1066" t="s">
        <v>346</v>
      </c>
      <c r="B1066" t="s">
        <v>347</v>
      </c>
      <c r="C1066" t="s">
        <v>158</v>
      </c>
      <c r="D1066" t="s">
        <v>159</v>
      </c>
      <c r="E1066" s="4">
        <v>0</v>
      </c>
      <c r="F1066" s="4">
        <v>0</v>
      </c>
      <c r="G1066" s="4">
        <v>6658.26</v>
      </c>
      <c r="H1066" s="4">
        <v>-6658.26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S1066" s="8">
        <f t="shared" si="48"/>
        <v>0</v>
      </c>
      <c r="T1066" s="8">
        <f t="shared" si="49"/>
        <v>0</v>
      </c>
      <c r="U1066" s="9" t="e">
        <f t="shared" si="50"/>
        <v>#DIV/0!</v>
      </c>
    </row>
    <row r="1067" spans="1:21" outlineLevel="2">
      <c r="A1067" t="s">
        <v>346</v>
      </c>
      <c r="B1067" t="s">
        <v>347</v>
      </c>
      <c r="C1067" t="s">
        <v>49</v>
      </c>
      <c r="D1067" t="s">
        <v>50</v>
      </c>
      <c r="E1067" s="4">
        <v>0</v>
      </c>
      <c r="F1067" s="4">
        <v>0</v>
      </c>
      <c r="G1067" s="4">
        <v>1281.28</v>
      </c>
      <c r="H1067" s="4">
        <v>-1281.28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S1067" s="8">
        <f t="shared" si="48"/>
        <v>0</v>
      </c>
      <c r="T1067" s="8">
        <f t="shared" si="49"/>
        <v>0</v>
      </c>
      <c r="U1067" s="9" t="e">
        <f t="shared" si="50"/>
        <v>#DIV/0!</v>
      </c>
    </row>
    <row r="1068" spans="1:21" outlineLevel="2">
      <c r="A1068" t="s">
        <v>346</v>
      </c>
      <c r="B1068" t="s">
        <v>347</v>
      </c>
      <c r="C1068" t="s">
        <v>164</v>
      </c>
      <c r="D1068" t="s">
        <v>165</v>
      </c>
      <c r="E1068" s="4">
        <v>0</v>
      </c>
      <c r="F1068" s="4">
        <v>0</v>
      </c>
      <c r="G1068" s="4">
        <v>140</v>
      </c>
      <c r="H1068" s="4">
        <v>-140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S1068" s="8">
        <f t="shared" si="48"/>
        <v>0</v>
      </c>
      <c r="T1068" s="8">
        <f t="shared" si="49"/>
        <v>0</v>
      </c>
      <c r="U1068" s="9" t="e">
        <f t="shared" si="50"/>
        <v>#DIV/0!</v>
      </c>
    </row>
    <row r="1069" spans="1:21" outlineLevel="2">
      <c r="A1069" t="s">
        <v>346</v>
      </c>
      <c r="B1069" t="s">
        <v>347</v>
      </c>
      <c r="C1069" t="s">
        <v>103</v>
      </c>
      <c r="D1069" t="s">
        <v>104</v>
      </c>
      <c r="E1069" s="4">
        <v>0</v>
      </c>
      <c r="F1069" s="4">
        <v>0</v>
      </c>
      <c r="G1069" s="4">
        <v>3692.8</v>
      </c>
      <c r="H1069" s="4">
        <v>-3692.8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S1069" s="8">
        <f t="shared" si="48"/>
        <v>0</v>
      </c>
      <c r="T1069" s="8">
        <f t="shared" si="49"/>
        <v>0</v>
      </c>
      <c r="U1069" s="9" t="e">
        <f t="shared" si="50"/>
        <v>#DIV/0!</v>
      </c>
    </row>
    <row r="1070" spans="1:21" outlineLevel="1">
      <c r="A1070" s="1" t="s">
        <v>734</v>
      </c>
      <c r="E1070" s="4">
        <f>SUBTOTAL(9,E1057:E1069)</f>
        <v>0</v>
      </c>
      <c r="F1070" s="4">
        <f>SUBTOTAL(9,F1057:F1069)</f>
        <v>0</v>
      </c>
      <c r="G1070" s="4">
        <f>SUBTOTAL(9,G1057:G1069)</f>
        <v>96405.929999999978</v>
      </c>
      <c r="H1070" s="4">
        <f>SUBTOTAL(9,H1057:H1069)</f>
        <v>-96405.929999999978</v>
      </c>
      <c r="I1070" s="4">
        <f>SUBTOTAL(9,I1057:I1069)</f>
        <v>0</v>
      </c>
      <c r="J1070" s="4">
        <f>SUBTOTAL(9,J1057:J1069)</f>
        <v>0</v>
      </c>
      <c r="K1070" s="4">
        <f>SUBTOTAL(9,K1057:K1069)</f>
        <v>0</v>
      </c>
      <c r="L1070" s="4">
        <f>SUBTOTAL(9,L1057:L1069)</f>
        <v>0</v>
      </c>
      <c r="M1070" s="4">
        <f>SUBTOTAL(9,M1057:M1069)</f>
        <v>0</v>
      </c>
      <c r="N1070" s="4">
        <f>SUBTOTAL(9,N1057:N1069)</f>
        <v>0</v>
      </c>
      <c r="O1070" s="4">
        <f>SUBTOTAL(9,O1057:O1069)</f>
        <v>0</v>
      </c>
      <c r="P1070" s="4">
        <f>SUBTOTAL(9,P1057:P1069)</f>
        <v>0</v>
      </c>
      <c r="Q1070" s="4">
        <f>SUBTOTAL(9,Q1057:Q1069)</f>
        <v>0</v>
      </c>
      <c r="R1070" s="4">
        <f>SUBTOTAL(9,R1057:R1069)</f>
        <v>0</v>
      </c>
      <c r="S1070" s="8">
        <f t="shared" si="48"/>
        <v>0</v>
      </c>
      <c r="T1070" s="8">
        <f t="shared" si="49"/>
        <v>0</v>
      </c>
      <c r="U1070" s="9" t="e">
        <f t="shared" si="50"/>
        <v>#DIV/0!</v>
      </c>
    </row>
    <row r="1071" spans="1:21" outlineLevel="2">
      <c r="A1071" t="s">
        <v>348</v>
      </c>
      <c r="B1071" t="s">
        <v>349</v>
      </c>
      <c r="C1071" t="s">
        <v>172</v>
      </c>
      <c r="D1071" t="s">
        <v>173</v>
      </c>
      <c r="E1071" s="4">
        <v>0</v>
      </c>
      <c r="F1071" s="4">
        <v>0</v>
      </c>
      <c r="G1071" s="4">
        <v>0</v>
      </c>
      <c r="H1071" s="4">
        <v>0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  <c r="Q1071" s="4">
        <v>66.67</v>
      </c>
      <c r="S1071" s="8">
        <f t="shared" si="48"/>
        <v>11.111666666666666</v>
      </c>
      <c r="T1071" s="8">
        <f t="shared" si="49"/>
        <v>-11.111666666666666</v>
      </c>
      <c r="U1071" s="9">
        <f t="shared" si="50"/>
        <v>-1</v>
      </c>
    </row>
    <row r="1072" spans="1:21" outlineLevel="1">
      <c r="A1072" s="1" t="s">
        <v>735</v>
      </c>
      <c r="E1072" s="4">
        <f>SUBTOTAL(9,E1071:E1071)</f>
        <v>0</v>
      </c>
      <c r="F1072" s="4">
        <f>SUBTOTAL(9,F1071:F1071)</f>
        <v>0</v>
      </c>
      <c r="G1072" s="4">
        <f>SUBTOTAL(9,G1071:G1071)</f>
        <v>0</v>
      </c>
      <c r="H1072" s="4">
        <f>SUBTOTAL(9,H1071:H1071)</f>
        <v>0</v>
      </c>
      <c r="I1072" s="4">
        <f>SUBTOTAL(9,I1071:I1071)</f>
        <v>0</v>
      </c>
      <c r="J1072" s="4">
        <f>SUBTOTAL(9,J1071:J1071)</f>
        <v>0</v>
      </c>
      <c r="K1072" s="4">
        <f>SUBTOTAL(9,K1071:K1071)</f>
        <v>0</v>
      </c>
      <c r="L1072" s="4">
        <f>SUBTOTAL(9,L1071:L1071)</f>
        <v>0</v>
      </c>
      <c r="M1072" s="4">
        <f>SUBTOTAL(9,M1071:M1071)</f>
        <v>0</v>
      </c>
      <c r="N1072" s="4">
        <f>SUBTOTAL(9,N1071:N1071)</f>
        <v>0</v>
      </c>
      <c r="O1072" s="4">
        <f>SUBTOTAL(9,O1071:O1071)</f>
        <v>0</v>
      </c>
      <c r="P1072" s="4">
        <f>SUBTOTAL(9,P1071:P1071)</f>
        <v>0</v>
      </c>
      <c r="Q1072" s="4">
        <f>SUBTOTAL(9,Q1071:Q1071)</f>
        <v>66.67</v>
      </c>
      <c r="R1072" s="4">
        <f>SUBTOTAL(9,R1071:R1071)</f>
        <v>0</v>
      </c>
      <c r="S1072" s="8">
        <f t="shared" si="48"/>
        <v>11.111666666666666</v>
      </c>
      <c r="T1072" s="8">
        <f t="shared" si="49"/>
        <v>-11.111666666666666</v>
      </c>
      <c r="U1072" s="9">
        <f t="shared" si="50"/>
        <v>-1</v>
      </c>
    </row>
    <row r="1073" spans="1:21" outlineLevel="2">
      <c r="A1073" t="s">
        <v>350</v>
      </c>
      <c r="B1073" t="s">
        <v>351</v>
      </c>
      <c r="C1073" t="s">
        <v>127</v>
      </c>
      <c r="D1073" t="s">
        <v>120</v>
      </c>
      <c r="E1073" s="4">
        <v>0</v>
      </c>
      <c r="F1073" s="4">
        <v>0</v>
      </c>
      <c r="G1073" s="4">
        <v>-997.5</v>
      </c>
      <c r="H1073" s="4">
        <v>0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S1073" s="8">
        <f t="shared" si="48"/>
        <v>0</v>
      </c>
      <c r="T1073" s="8">
        <f t="shared" si="49"/>
        <v>0</v>
      </c>
      <c r="U1073" s="9" t="e">
        <f t="shared" si="50"/>
        <v>#DIV/0!</v>
      </c>
    </row>
    <row r="1074" spans="1:21" outlineLevel="2">
      <c r="A1074" t="s">
        <v>350</v>
      </c>
      <c r="B1074" t="s">
        <v>351</v>
      </c>
      <c r="C1074" t="s">
        <v>238</v>
      </c>
      <c r="D1074" t="s">
        <v>239</v>
      </c>
      <c r="E1074" s="4">
        <v>0</v>
      </c>
      <c r="F1074" s="4">
        <v>0</v>
      </c>
      <c r="G1074" s="4">
        <v>0</v>
      </c>
      <c r="H1074" s="4">
        <v>0</v>
      </c>
      <c r="I1074" s="4">
        <v>0</v>
      </c>
      <c r="J1074" s="4">
        <v>0</v>
      </c>
      <c r="K1074" s="4">
        <v>0</v>
      </c>
      <c r="L1074" s="4">
        <v>0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S1074" s="8">
        <f t="shared" si="48"/>
        <v>0</v>
      </c>
      <c r="T1074" s="8">
        <f t="shared" si="49"/>
        <v>0</v>
      </c>
      <c r="U1074" s="9" t="e">
        <f t="shared" si="50"/>
        <v>#DIV/0!</v>
      </c>
    </row>
    <row r="1075" spans="1:21" outlineLevel="1">
      <c r="A1075" s="1" t="s">
        <v>736</v>
      </c>
      <c r="E1075" s="4">
        <f>SUBTOTAL(9,E1073:E1074)</f>
        <v>0</v>
      </c>
      <c r="F1075" s="4">
        <f>SUBTOTAL(9,F1073:F1074)</f>
        <v>0</v>
      </c>
      <c r="G1075" s="4">
        <f>SUBTOTAL(9,G1073:G1074)</f>
        <v>-997.5</v>
      </c>
      <c r="H1075" s="4">
        <f>SUBTOTAL(9,H1073:H1074)</f>
        <v>0</v>
      </c>
      <c r="I1075" s="4">
        <f>SUBTOTAL(9,I1073:I1074)</f>
        <v>0</v>
      </c>
      <c r="J1075" s="4">
        <f>SUBTOTAL(9,J1073:J1074)</f>
        <v>0</v>
      </c>
      <c r="K1075" s="4">
        <f>SUBTOTAL(9,K1073:K1074)</f>
        <v>0</v>
      </c>
      <c r="L1075" s="4">
        <f>SUBTOTAL(9,L1073:L1074)</f>
        <v>0</v>
      </c>
      <c r="M1075" s="4">
        <f>SUBTOTAL(9,M1073:M1074)</f>
        <v>0</v>
      </c>
      <c r="N1075" s="4">
        <f>SUBTOTAL(9,N1073:N1074)</f>
        <v>0</v>
      </c>
      <c r="O1075" s="4">
        <f>SUBTOTAL(9,O1073:O1074)</f>
        <v>0</v>
      </c>
      <c r="P1075" s="4">
        <f>SUBTOTAL(9,P1073:P1074)</f>
        <v>0</v>
      </c>
      <c r="Q1075" s="4">
        <f>SUBTOTAL(9,Q1073:Q1074)</f>
        <v>0</v>
      </c>
      <c r="R1075" s="4">
        <f>SUBTOTAL(9,R1073:R1074)</f>
        <v>0</v>
      </c>
      <c r="S1075" s="8">
        <f t="shared" si="48"/>
        <v>0</v>
      </c>
      <c r="T1075" s="8">
        <f t="shared" si="49"/>
        <v>0</v>
      </c>
      <c r="U1075" s="9" t="e">
        <f t="shared" si="50"/>
        <v>#DIV/0!</v>
      </c>
    </row>
    <row r="1076" spans="1:21" outlineLevel="2">
      <c r="A1076" t="s">
        <v>352</v>
      </c>
      <c r="B1076" t="s">
        <v>353</v>
      </c>
      <c r="C1076" t="s">
        <v>23</v>
      </c>
      <c r="D1076" t="s">
        <v>24</v>
      </c>
      <c r="E1076" s="4">
        <v>0</v>
      </c>
      <c r="F1076" s="4">
        <v>0</v>
      </c>
      <c r="G1076" s="4">
        <v>237.18</v>
      </c>
      <c r="H1076" s="4">
        <v>0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S1076" s="8">
        <f t="shared" si="48"/>
        <v>0</v>
      </c>
      <c r="T1076" s="8">
        <f t="shared" si="49"/>
        <v>0</v>
      </c>
      <c r="U1076" s="9" t="e">
        <f t="shared" si="50"/>
        <v>#DIV/0!</v>
      </c>
    </row>
    <row r="1077" spans="1:21" outlineLevel="2">
      <c r="A1077" t="s">
        <v>352</v>
      </c>
      <c r="B1077" t="s">
        <v>353</v>
      </c>
      <c r="C1077" t="s">
        <v>232</v>
      </c>
      <c r="D1077" t="s">
        <v>233</v>
      </c>
      <c r="E1077" s="4">
        <v>777.97</v>
      </c>
      <c r="F1077" s="4">
        <v>777.97</v>
      </c>
      <c r="G1077" s="4">
        <v>777.97</v>
      </c>
      <c r="H1077" s="4">
        <v>777.97</v>
      </c>
      <c r="I1077" s="4">
        <v>777.97</v>
      </c>
      <c r="J1077" s="4">
        <v>296.47000000000003</v>
      </c>
      <c r="K1077" s="4">
        <v>799.35</v>
      </c>
      <c r="L1077" s="4">
        <v>1055.95</v>
      </c>
      <c r="M1077" s="4">
        <v>799.35</v>
      </c>
      <c r="N1077" s="4">
        <v>799.35</v>
      </c>
      <c r="O1077" s="4">
        <v>799.35</v>
      </c>
      <c r="P1077" s="4">
        <v>799.35</v>
      </c>
      <c r="Q1077" s="4">
        <v>908.02</v>
      </c>
      <c r="R1077" s="4">
        <v>853.69</v>
      </c>
      <c r="S1077" s="8">
        <f t="shared" si="48"/>
        <v>860.22833333333347</v>
      </c>
      <c r="T1077" s="8">
        <f t="shared" si="49"/>
        <v>-6.5383333333334122</v>
      </c>
      <c r="U1077" s="9">
        <f t="shared" si="50"/>
        <v>-7.6006951642684922E-3</v>
      </c>
    </row>
    <row r="1078" spans="1:21" outlineLevel="2">
      <c r="A1078" t="s">
        <v>352</v>
      </c>
      <c r="B1078" t="s">
        <v>353</v>
      </c>
      <c r="C1078" t="s">
        <v>234</v>
      </c>
      <c r="D1078" t="s">
        <v>235</v>
      </c>
      <c r="E1078" s="4">
        <v>179096.78</v>
      </c>
      <c r="F1078" s="4">
        <v>179096.78</v>
      </c>
      <c r="G1078" s="4">
        <v>179096.78</v>
      </c>
      <c r="H1078" s="4">
        <v>179096.78</v>
      </c>
      <c r="I1078" s="4">
        <v>179096.78</v>
      </c>
      <c r="J1078" s="4">
        <v>3988</v>
      </c>
      <c r="K1078" s="4">
        <v>353773.59</v>
      </c>
      <c r="L1078" s="4">
        <v>179146.15</v>
      </c>
      <c r="M1078" s="4">
        <v>179146.15</v>
      </c>
      <c r="N1078" s="4">
        <v>179146.15</v>
      </c>
      <c r="O1078" s="4">
        <v>179146.15</v>
      </c>
      <c r="P1078" s="4">
        <v>179146.15</v>
      </c>
      <c r="Q1078" s="4">
        <v>179146.15</v>
      </c>
      <c r="R1078" s="4">
        <v>179146.15</v>
      </c>
      <c r="S1078" s="8">
        <f t="shared" si="48"/>
        <v>179146.15</v>
      </c>
      <c r="T1078" s="8">
        <f t="shared" si="49"/>
        <v>0</v>
      </c>
      <c r="U1078" s="9">
        <f t="shared" si="50"/>
        <v>0</v>
      </c>
    </row>
    <row r="1079" spans="1:21" outlineLevel="2">
      <c r="A1079" t="s">
        <v>352</v>
      </c>
      <c r="B1079" t="s">
        <v>353</v>
      </c>
      <c r="C1079" t="s">
        <v>51</v>
      </c>
      <c r="D1079" t="s">
        <v>52</v>
      </c>
      <c r="E1079" s="4">
        <v>0</v>
      </c>
      <c r="F1079" s="4">
        <v>450</v>
      </c>
      <c r="G1079" s="4">
        <v>0</v>
      </c>
      <c r="H1079" s="4">
        <v>0</v>
      </c>
      <c r="I1079" s="4">
        <v>0</v>
      </c>
      <c r="J1079" s="4">
        <v>50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S1079" s="8">
        <f t="shared" si="48"/>
        <v>0</v>
      </c>
      <c r="T1079" s="8">
        <f t="shared" si="49"/>
        <v>0</v>
      </c>
      <c r="U1079" s="9" t="e">
        <f t="shared" si="50"/>
        <v>#DIV/0!</v>
      </c>
    </row>
    <row r="1080" spans="1:21" outlineLevel="2">
      <c r="A1080" t="s">
        <v>352</v>
      </c>
      <c r="B1080" t="s">
        <v>353</v>
      </c>
      <c r="C1080" t="s">
        <v>168</v>
      </c>
      <c r="D1080" t="s">
        <v>169</v>
      </c>
      <c r="E1080" s="4">
        <v>-53643.400000000009</v>
      </c>
      <c r="F1080" s="4">
        <v>117832.60000000002</v>
      </c>
      <c r="G1080" s="4">
        <v>217570.06999999998</v>
      </c>
      <c r="H1080" s="4">
        <v>112514.08000000005</v>
      </c>
      <c r="I1080" s="4">
        <v>-6301.5300000000279</v>
      </c>
      <c r="J1080" s="4">
        <v>596424.92999999993</v>
      </c>
      <c r="K1080" s="4">
        <v>-418260.34999999992</v>
      </c>
      <c r="L1080" s="4">
        <v>78334.8</v>
      </c>
      <c r="M1080" s="4">
        <v>113769.85999999999</v>
      </c>
      <c r="N1080" s="4">
        <v>148558.24</v>
      </c>
      <c r="O1080" s="4">
        <v>236488.97000000003</v>
      </c>
      <c r="P1080" s="4">
        <v>97491.800000000017</v>
      </c>
      <c r="Q1080" s="4">
        <v>69085.38</v>
      </c>
      <c r="R1080" s="4">
        <v>118923.87000000001</v>
      </c>
      <c r="S1080" s="8">
        <f t="shared" si="48"/>
        <v>123954.84166666667</v>
      </c>
      <c r="T1080" s="8">
        <f t="shared" si="49"/>
        <v>-5030.9716666666645</v>
      </c>
      <c r="U1080" s="9">
        <f t="shared" si="50"/>
        <v>-4.0587133177062244E-2</v>
      </c>
    </row>
    <row r="1081" spans="1:21" outlineLevel="2">
      <c r="A1081" t="s">
        <v>352</v>
      </c>
      <c r="B1081" t="s">
        <v>353</v>
      </c>
      <c r="C1081" t="s">
        <v>101</v>
      </c>
      <c r="D1081" t="s">
        <v>102</v>
      </c>
      <c r="E1081" s="4">
        <v>0</v>
      </c>
      <c r="F1081" s="4">
        <v>3327.8399999999992</v>
      </c>
      <c r="G1081" s="4">
        <v>0</v>
      </c>
      <c r="H1081" s="4">
        <v>1837.5</v>
      </c>
      <c r="I1081" s="4">
        <v>1837.5</v>
      </c>
      <c r="J1081" s="4">
        <v>0</v>
      </c>
      <c r="K1081" s="4">
        <v>1837.5</v>
      </c>
      <c r="L1081" s="4">
        <v>0</v>
      </c>
      <c r="M1081" s="4">
        <v>1837.5</v>
      </c>
      <c r="N1081" s="4">
        <v>1837.5</v>
      </c>
      <c r="O1081" s="4">
        <v>0</v>
      </c>
      <c r="P1081" s="4">
        <v>1837.5</v>
      </c>
      <c r="Q1081" s="4">
        <v>0</v>
      </c>
      <c r="R1081" s="4">
        <v>1837.5</v>
      </c>
      <c r="S1081" s="8">
        <f t="shared" si="48"/>
        <v>918.75</v>
      </c>
      <c r="T1081" s="8">
        <f t="shared" si="49"/>
        <v>918.75</v>
      </c>
      <c r="U1081" s="9">
        <f t="shared" si="50"/>
        <v>1</v>
      </c>
    </row>
    <row r="1082" spans="1:21" outlineLevel="2">
      <c r="A1082" t="s">
        <v>352</v>
      </c>
      <c r="B1082" t="s">
        <v>353</v>
      </c>
      <c r="C1082" t="s">
        <v>127</v>
      </c>
      <c r="D1082" t="s">
        <v>120</v>
      </c>
      <c r="E1082" s="4">
        <v>0</v>
      </c>
      <c r="F1082" s="4">
        <v>0</v>
      </c>
      <c r="G1082" s="4">
        <v>-135.22999999999999</v>
      </c>
      <c r="H1082" s="4">
        <v>0</v>
      </c>
      <c r="I1082" s="4">
        <v>0</v>
      </c>
      <c r="J1082" s="4">
        <v>0</v>
      </c>
      <c r="K1082" s="4">
        <v>200000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S1082" s="8">
        <f t="shared" si="48"/>
        <v>0</v>
      </c>
      <c r="T1082" s="8">
        <f t="shared" si="49"/>
        <v>0</v>
      </c>
      <c r="U1082" s="9" t="e">
        <f t="shared" si="50"/>
        <v>#DIV/0!</v>
      </c>
    </row>
    <row r="1083" spans="1:21" outlineLevel="2">
      <c r="A1083" t="s">
        <v>352</v>
      </c>
      <c r="B1083" t="s">
        <v>353</v>
      </c>
      <c r="C1083" t="s">
        <v>238</v>
      </c>
      <c r="D1083" t="s">
        <v>239</v>
      </c>
      <c r="E1083" s="4">
        <v>237.38</v>
      </c>
      <c r="F1083" s="4">
        <v>0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  <c r="L1083" s="4">
        <v>0</v>
      </c>
      <c r="M1083" s="4">
        <v>264.60000000000002</v>
      </c>
      <c r="N1083" s="4">
        <v>0</v>
      </c>
      <c r="O1083" s="4">
        <v>9005.44</v>
      </c>
      <c r="P1083" s="4">
        <v>0</v>
      </c>
      <c r="Q1083" s="4">
        <v>0</v>
      </c>
      <c r="S1083" s="8">
        <f t="shared" si="48"/>
        <v>1545.0066666666669</v>
      </c>
      <c r="T1083" s="8">
        <f t="shared" si="49"/>
        <v>-1545.0066666666669</v>
      </c>
      <c r="U1083" s="9">
        <f t="shared" si="50"/>
        <v>-1</v>
      </c>
    </row>
    <row r="1084" spans="1:21" outlineLevel="2">
      <c r="A1084" t="s">
        <v>352</v>
      </c>
      <c r="B1084" t="s">
        <v>353</v>
      </c>
      <c r="C1084" t="s">
        <v>240</v>
      </c>
      <c r="D1084" t="s">
        <v>241</v>
      </c>
      <c r="E1084" s="4">
        <v>0</v>
      </c>
      <c r="F1084" s="4">
        <v>0</v>
      </c>
      <c r="G1084" s="4">
        <v>0</v>
      </c>
      <c r="H1084" s="4">
        <v>0</v>
      </c>
      <c r="I1084" s="4">
        <v>0</v>
      </c>
      <c r="J1084" s="4">
        <v>0</v>
      </c>
      <c r="K1084" s="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S1084" s="8">
        <f t="shared" si="48"/>
        <v>0</v>
      </c>
      <c r="T1084" s="8">
        <f t="shared" si="49"/>
        <v>0</v>
      </c>
      <c r="U1084" s="9" t="e">
        <f t="shared" si="50"/>
        <v>#DIV/0!</v>
      </c>
    </row>
    <row r="1085" spans="1:21" outlineLevel="2">
      <c r="A1085" t="s">
        <v>352</v>
      </c>
      <c r="B1085" t="s">
        <v>353</v>
      </c>
      <c r="C1085" t="s">
        <v>172</v>
      </c>
      <c r="D1085" t="s">
        <v>173</v>
      </c>
      <c r="E1085" s="4">
        <v>18.75</v>
      </c>
      <c r="F1085" s="4">
        <v>18.75</v>
      </c>
      <c r="G1085" s="4">
        <v>162.5</v>
      </c>
      <c r="H1085" s="4">
        <v>66.67</v>
      </c>
      <c r="I1085" s="4">
        <v>66.67</v>
      </c>
      <c r="J1085" s="4">
        <v>66.67</v>
      </c>
      <c r="K1085" s="4">
        <v>66.67</v>
      </c>
      <c r="L1085" s="4">
        <v>66.67</v>
      </c>
      <c r="M1085" s="4">
        <v>66.67</v>
      </c>
      <c r="N1085" s="4">
        <v>66.67</v>
      </c>
      <c r="O1085" s="4">
        <v>-66.67</v>
      </c>
      <c r="P1085" s="4">
        <v>0</v>
      </c>
      <c r="Q1085" s="4">
        <v>0</v>
      </c>
      <c r="S1085" s="8">
        <f t="shared" si="48"/>
        <v>22.223333333333329</v>
      </c>
      <c r="T1085" s="8">
        <f t="shared" si="49"/>
        <v>-22.223333333333329</v>
      </c>
      <c r="U1085" s="9">
        <f t="shared" si="50"/>
        <v>-1</v>
      </c>
    </row>
    <row r="1086" spans="1:21" outlineLevel="1">
      <c r="A1086" s="1" t="s">
        <v>737</v>
      </c>
      <c r="E1086" s="4">
        <f>SUBTOTAL(9,E1076:E1085)</f>
        <v>126487.48</v>
      </c>
      <c r="F1086" s="4">
        <f>SUBTOTAL(9,F1076:F1085)</f>
        <v>301503.94000000006</v>
      </c>
      <c r="G1086" s="4">
        <f>SUBTOTAL(9,G1076:G1085)</f>
        <v>397709.27</v>
      </c>
      <c r="H1086" s="4">
        <f>SUBTOTAL(9,H1076:H1085)</f>
        <v>294293.00000000006</v>
      </c>
      <c r="I1086" s="4">
        <f>SUBTOTAL(9,I1076:I1085)</f>
        <v>175477.38999999998</v>
      </c>
      <c r="J1086" s="4">
        <f>SUBTOTAL(9,J1076:J1085)</f>
        <v>600826.06999999995</v>
      </c>
      <c r="K1086" s="4">
        <f>SUBTOTAL(9,K1076:K1085)</f>
        <v>138216.7600000001</v>
      </c>
      <c r="L1086" s="4">
        <f>SUBTOTAL(9,L1076:L1085)</f>
        <v>258603.57000000004</v>
      </c>
      <c r="M1086" s="4">
        <f>SUBTOTAL(9,M1076:M1085)</f>
        <v>295884.12999999995</v>
      </c>
      <c r="N1086" s="4">
        <f>SUBTOTAL(9,N1076:N1085)</f>
        <v>330407.90999999997</v>
      </c>
      <c r="O1086" s="4">
        <f>SUBTOTAL(9,O1076:O1085)</f>
        <v>425373.24000000005</v>
      </c>
      <c r="P1086" s="4">
        <f>SUBTOTAL(9,P1076:P1085)</f>
        <v>279274.80000000005</v>
      </c>
      <c r="Q1086" s="4">
        <f>SUBTOTAL(9,Q1076:Q1085)</f>
        <v>249139.55</v>
      </c>
      <c r="R1086" s="4">
        <f>SUBTOTAL(9,R1076:R1085)</f>
        <v>300761.21000000002</v>
      </c>
      <c r="S1086" s="8">
        <f t="shared" si="48"/>
        <v>306447.2</v>
      </c>
      <c r="T1086" s="8">
        <f t="shared" si="49"/>
        <v>-5685.9899999999907</v>
      </c>
      <c r="U1086" s="9">
        <f t="shared" si="50"/>
        <v>-1.855455034341965E-2</v>
      </c>
    </row>
    <row r="1087" spans="1:21" outlineLevel="2">
      <c r="A1087" t="s">
        <v>354</v>
      </c>
      <c r="B1087" t="s">
        <v>355</v>
      </c>
      <c r="C1087" t="s">
        <v>158</v>
      </c>
      <c r="D1087" t="s">
        <v>159</v>
      </c>
      <c r="E1087" s="4">
        <v>0</v>
      </c>
      <c r="F1087" s="4">
        <v>0</v>
      </c>
      <c r="G1087" s="4">
        <v>-16235.99</v>
      </c>
      <c r="H1087" s="4">
        <v>0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S1087" s="8">
        <f t="shared" si="48"/>
        <v>0</v>
      </c>
      <c r="T1087" s="8">
        <f t="shared" si="49"/>
        <v>0</v>
      </c>
      <c r="U1087" s="9" t="e">
        <f t="shared" si="50"/>
        <v>#DIV/0!</v>
      </c>
    </row>
    <row r="1088" spans="1:21" outlineLevel="1">
      <c r="A1088" s="1" t="s">
        <v>738</v>
      </c>
      <c r="E1088" s="4">
        <f>SUBTOTAL(9,E1087:E1087)</f>
        <v>0</v>
      </c>
      <c r="F1088" s="4">
        <f>SUBTOTAL(9,F1087:F1087)</f>
        <v>0</v>
      </c>
      <c r="G1088" s="4">
        <f>SUBTOTAL(9,G1087:G1087)</f>
        <v>-16235.99</v>
      </c>
      <c r="H1088" s="4">
        <f>SUBTOTAL(9,H1087:H1087)</f>
        <v>0</v>
      </c>
      <c r="I1088" s="4">
        <f>SUBTOTAL(9,I1087:I1087)</f>
        <v>0</v>
      </c>
      <c r="J1088" s="4">
        <f>SUBTOTAL(9,J1087:J1087)</f>
        <v>0</v>
      </c>
      <c r="K1088" s="4">
        <f>SUBTOTAL(9,K1087:K1087)</f>
        <v>0</v>
      </c>
      <c r="L1088" s="4">
        <f>SUBTOTAL(9,L1087:L1087)</f>
        <v>0</v>
      </c>
      <c r="M1088" s="4">
        <f>SUBTOTAL(9,M1087:M1087)</f>
        <v>0</v>
      </c>
      <c r="N1088" s="4">
        <f>SUBTOTAL(9,N1087:N1087)</f>
        <v>0</v>
      </c>
      <c r="O1088" s="4">
        <f>SUBTOTAL(9,O1087:O1087)</f>
        <v>0</v>
      </c>
      <c r="P1088" s="4">
        <f>SUBTOTAL(9,P1087:P1087)</f>
        <v>0</v>
      </c>
      <c r="Q1088" s="4">
        <f>SUBTOTAL(9,Q1087:Q1087)</f>
        <v>0</v>
      </c>
      <c r="R1088" s="4">
        <f>SUBTOTAL(9,R1087:R1087)</f>
        <v>0</v>
      </c>
      <c r="S1088" s="8">
        <f t="shared" si="48"/>
        <v>0</v>
      </c>
      <c r="T1088" s="8">
        <f t="shared" si="49"/>
        <v>0</v>
      </c>
      <c r="U1088" s="9" t="e">
        <f t="shared" si="50"/>
        <v>#DIV/0!</v>
      </c>
    </row>
    <row r="1089" spans="1:22" outlineLevel="2">
      <c r="A1089" t="s">
        <v>356</v>
      </c>
      <c r="B1089" t="s">
        <v>357</v>
      </c>
      <c r="C1089" t="s">
        <v>168</v>
      </c>
      <c r="D1089" t="s">
        <v>169</v>
      </c>
      <c r="E1089" s="4">
        <v>0</v>
      </c>
      <c r="F1089" s="4">
        <v>0</v>
      </c>
      <c r="G1089" s="4">
        <v>282.89</v>
      </c>
      <c r="H1089" s="4">
        <v>7.1400000000000006</v>
      </c>
      <c r="I1089" s="4">
        <v>14.990000000000009</v>
      </c>
      <c r="J1089" s="4">
        <v>436.96000000000004</v>
      </c>
      <c r="K1089" s="4">
        <v>278.53999999999996</v>
      </c>
      <c r="L1089" s="4">
        <v>612.46</v>
      </c>
      <c r="M1089" s="4">
        <v>383.09</v>
      </c>
      <c r="N1089" s="4">
        <v>0</v>
      </c>
      <c r="O1089" s="4">
        <v>0</v>
      </c>
      <c r="P1089" s="4">
        <v>0</v>
      </c>
      <c r="Q1089" s="4">
        <v>0</v>
      </c>
      <c r="S1089" s="8">
        <f t="shared" si="48"/>
        <v>165.92499999999998</v>
      </c>
      <c r="T1089" s="8">
        <f t="shared" si="49"/>
        <v>-165.92499999999998</v>
      </c>
      <c r="U1089" s="9">
        <f t="shared" si="50"/>
        <v>-1</v>
      </c>
    </row>
    <row r="1090" spans="1:22" outlineLevel="2">
      <c r="A1090" t="s">
        <v>356</v>
      </c>
      <c r="B1090" t="s">
        <v>357</v>
      </c>
      <c r="C1090" t="s">
        <v>186</v>
      </c>
      <c r="D1090" t="s">
        <v>187</v>
      </c>
      <c r="E1090" s="4">
        <v>0</v>
      </c>
      <c r="F1090" s="4">
        <v>0</v>
      </c>
      <c r="G1090" s="4">
        <v>0</v>
      </c>
      <c r="H1090" s="4">
        <v>0</v>
      </c>
      <c r="I1090" s="4">
        <v>1373.11</v>
      </c>
      <c r="J1090" s="4">
        <v>-1373.11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1245.28</v>
      </c>
      <c r="S1090" s="8">
        <f t="shared" si="48"/>
        <v>0</v>
      </c>
      <c r="T1090" s="8">
        <f t="shared" si="49"/>
        <v>1245.28</v>
      </c>
      <c r="U1090" s="9" t="e">
        <f t="shared" si="50"/>
        <v>#DIV/0!</v>
      </c>
      <c r="V1090" t="s">
        <v>895</v>
      </c>
    </row>
    <row r="1091" spans="1:22" outlineLevel="1">
      <c r="A1091" s="1" t="s">
        <v>739</v>
      </c>
      <c r="E1091" s="4">
        <f>SUBTOTAL(9,E1089:E1090)</f>
        <v>0</v>
      </c>
      <c r="F1091" s="4">
        <f>SUBTOTAL(9,F1089:F1090)</f>
        <v>0</v>
      </c>
      <c r="G1091" s="4">
        <f>SUBTOTAL(9,G1089:G1090)</f>
        <v>282.89</v>
      </c>
      <c r="H1091" s="4">
        <f>SUBTOTAL(9,H1089:H1090)</f>
        <v>7.1400000000000006</v>
      </c>
      <c r="I1091" s="4">
        <f>SUBTOTAL(9,I1089:I1090)</f>
        <v>1388.1</v>
      </c>
      <c r="J1091" s="4">
        <f>SUBTOTAL(9,J1089:J1090)</f>
        <v>-936.14999999999986</v>
      </c>
      <c r="K1091" s="4">
        <f>SUBTOTAL(9,K1089:K1090)</f>
        <v>278.53999999999996</v>
      </c>
      <c r="L1091" s="4">
        <f>SUBTOTAL(9,L1089:L1090)</f>
        <v>612.46</v>
      </c>
      <c r="M1091" s="4">
        <f>SUBTOTAL(9,M1089:M1090)</f>
        <v>383.09</v>
      </c>
      <c r="N1091" s="4">
        <f>SUBTOTAL(9,N1089:N1090)</f>
        <v>0</v>
      </c>
      <c r="O1091" s="4">
        <f>SUBTOTAL(9,O1089:O1090)</f>
        <v>0</v>
      </c>
      <c r="P1091" s="4">
        <f>SUBTOTAL(9,P1089:P1090)</f>
        <v>0</v>
      </c>
      <c r="Q1091" s="4">
        <f>SUBTOTAL(9,Q1089:Q1090)</f>
        <v>0</v>
      </c>
      <c r="R1091" s="4">
        <f>SUBTOTAL(9,R1089:R1090)</f>
        <v>1245.28</v>
      </c>
      <c r="S1091" s="8">
        <f t="shared" ref="S1091:S1154" si="51">AVERAGE(L1091:Q1091)</f>
        <v>165.92499999999998</v>
      </c>
      <c r="T1091" s="8">
        <f t="shared" ref="T1091:T1154" si="52">R1091-S1091</f>
        <v>1079.355</v>
      </c>
      <c r="U1091" s="9">
        <f t="shared" ref="U1091:U1154" si="53">(R1091-S1091)/S1091</f>
        <v>6.505077595299082</v>
      </c>
      <c r="V1091" t="s">
        <v>895</v>
      </c>
    </row>
    <row r="1092" spans="1:22" outlineLevel="2">
      <c r="A1092" t="s">
        <v>358</v>
      </c>
      <c r="B1092" t="s">
        <v>359</v>
      </c>
      <c r="C1092" t="s">
        <v>21</v>
      </c>
      <c r="D1092" t="s">
        <v>22</v>
      </c>
      <c r="E1092" s="4">
        <v>0</v>
      </c>
      <c r="F1092" s="4">
        <v>0</v>
      </c>
      <c r="G1092" s="4">
        <v>0</v>
      </c>
      <c r="H1092" s="4">
        <v>0</v>
      </c>
      <c r="I1092" s="4">
        <v>35.200000000000003</v>
      </c>
      <c r="J1092" s="4">
        <v>0</v>
      </c>
      <c r="K1092" s="4">
        <v>0</v>
      </c>
      <c r="L1092" s="4">
        <v>0</v>
      </c>
      <c r="M1092" s="4">
        <v>0</v>
      </c>
      <c r="N1092" s="4">
        <v>17.66</v>
      </c>
      <c r="O1092" s="4">
        <v>0</v>
      </c>
      <c r="P1092" s="4">
        <v>0</v>
      </c>
      <c r="Q1092" s="4">
        <v>0</v>
      </c>
      <c r="R1092" s="4">
        <v>58.46</v>
      </c>
      <c r="S1092" s="8">
        <f t="shared" si="51"/>
        <v>2.9433333333333334</v>
      </c>
      <c r="T1092" s="8">
        <f t="shared" si="52"/>
        <v>55.516666666666666</v>
      </c>
      <c r="U1092" s="9">
        <f t="shared" si="53"/>
        <v>18.861834654586637</v>
      </c>
    </row>
    <row r="1093" spans="1:22" outlineLevel="2">
      <c r="A1093" t="s">
        <v>358</v>
      </c>
      <c r="B1093" t="s">
        <v>359</v>
      </c>
      <c r="C1093" t="s">
        <v>23</v>
      </c>
      <c r="D1093" t="s">
        <v>24</v>
      </c>
      <c r="E1093" s="4">
        <v>0</v>
      </c>
      <c r="F1093" s="4">
        <v>0</v>
      </c>
      <c r="G1093" s="4">
        <v>0</v>
      </c>
      <c r="H1093" s="4">
        <v>146.30000000000001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-17.659999999999997</v>
      </c>
      <c r="O1093" s="4">
        <v>0</v>
      </c>
      <c r="P1093" s="4">
        <v>0</v>
      </c>
      <c r="Q1093" s="4">
        <v>0</v>
      </c>
      <c r="S1093" s="8">
        <f t="shared" si="51"/>
        <v>-2.9433333333333329</v>
      </c>
      <c r="T1093" s="8">
        <f t="shared" si="52"/>
        <v>2.9433333333333329</v>
      </c>
      <c r="U1093" s="9">
        <f t="shared" si="53"/>
        <v>-1</v>
      </c>
    </row>
    <row r="1094" spans="1:22" outlineLevel="2">
      <c r="A1094" t="s">
        <v>358</v>
      </c>
      <c r="B1094" t="s">
        <v>359</v>
      </c>
      <c r="C1094" t="s">
        <v>25</v>
      </c>
      <c r="D1094" t="s">
        <v>26</v>
      </c>
      <c r="E1094" s="4">
        <v>0</v>
      </c>
      <c r="F1094" s="4">
        <v>0</v>
      </c>
      <c r="G1094" s="4">
        <v>0</v>
      </c>
      <c r="H1094" s="4">
        <v>0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322</v>
      </c>
      <c r="O1094" s="4">
        <v>0</v>
      </c>
      <c r="P1094" s="4">
        <v>0</v>
      </c>
      <c r="Q1094" s="4">
        <v>0</v>
      </c>
      <c r="S1094" s="8">
        <f t="shared" si="51"/>
        <v>53.666666666666664</v>
      </c>
      <c r="T1094" s="8">
        <f t="shared" si="52"/>
        <v>-53.666666666666664</v>
      </c>
      <c r="U1094" s="9">
        <f t="shared" si="53"/>
        <v>-1</v>
      </c>
    </row>
    <row r="1095" spans="1:22" outlineLevel="2">
      <c r="A1095" t="s">
        <v>358</v>
      </c>
      <c r="B1095" t="s">
        <v>359</v>
      </c>
      <c r="C1095" t="s">
        <v>27</v>
      </c>
      <c r="D1095" t="s">
        <v>28</v>
      </c>
      <c r="E1095" s="4">
        <v>0</v>
      </c>
      <c r="F1095" s="4">
        <v>0</v>
      </c>
      <c r="G1095" s="4">
        <v>0</v>
      </c>
      <c r="H1095" s="4">
        <v>0</v>
      </c>
      <c r="I1095" s="4">
        <v>-35.200000000000003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S1095" s="8">
        <f t="shared" si="51"/>
        <v>0</v>
      </c>
      <c r="T1095" s="8">
        <f t="shared" si="52"/>
        <v>0</v>
      </c>
      <c r="U1095" s="9" t="e">
        <f t="shared" si="53"/>
        <v>#DIV/0!</v>
      </c>
    </row>
    <row r="1096" spans="1:22" outlineLevel="2">
      <c r="A1096" t="s">
        <v>358</v>
      </c>
      <c r="B1096" t="s">
        <v>359</v>
      </c>
      <c r="C1096" t="s">
        <v>53</v>
      </c>
      <c r="D1096" t="s">
        <v>54</v>
      </c>
      <c r="E1096" s="4">
        <v>0</v>
      </c>
      <c r="F1096" s="4">
        <v>1.0913936421275139E-11</v>
      </c>
      <c r="G1096" s="4">
        <v>0</v>
      </c>
      <c r="H1096" s="4">
        <v>1.1368683772161603E-13</v>
      </c>
      <c r="I1096" s="4">
        <v>54895.72</v>
      </c>
      <c r="J1096" s="4">
        <v>0</v>
      </c>
      <c r="K1096" s="4">
        <v>5.6843418860808015E-14</v>
      </c>
      <c r="L1096" s="4">
        <v>1.4210854715202004E-11</v>
      </c>
      <c r="M1096" s="4">
        <v>1.1102230246251565E-15</v>
      </c>
      <c r="N1096" s="4">
        <v>1.0231815394945443E-12</v>
      </c>
      <c r="O1096" s="4">
        <v>0</v>
      </c>
      <c r="P1096" s="4">
        <v>-3.637978807091713E-12</v>
      </c>
      <c r="Q1096" s="4">
        <v>-7.3896444519050419E-13</v>
      </c>
      <c r="R1096" s="4">
        <v>29452.95</v>
      </c>
      <c r="S1096" s="8">
        <f t="shared" si="51"/>
        <v>1.8097005375731594E-12</v>
      </c>
      <c r="T1096" s="8">
        <f t="shared" si="52"/>
        <v>29452.95</v>
      </c>
      <c r="U1096" s="9">
        <f t="shared" si="53"/>
        <v>1.6275040753149652E+16</v>
      </c>
      <c r="V1096" t="s">
        <v>895</v>
      </c>
    </row>
    <row r="1097" spans="1:22" outlineLevel="2">
      <c r="A1097" t="s">
        <v>358</v>
      </c>
      <c r="B1097" t="s">
        <v>359</v>
      </c>
      <c r="C1097" t="s">
        <v>55</v>
      </c>
      <c r="D1097" t="s">
        <v>56</v>
      </c>
      <c r="E1097" s="4">
        <v>0</v>
      </c>
      <c r="F1097" s="4">
        <v>0</v>
      </c>
      <c r="G1097" s="4">
        <v>0</v>
      </c>
      <c r="H1097" s="4">
        <v>-1.4210854715202004E-14</v>
      </c>
      <c r="I1097" s="4">
        <v>-54895.72</v>
      </c>
      <c r="J1097" s="4">
        <v>0</v>
      </c>
      <c r="K1097" s="4">
        <v>-3.5527136788005009E-15</v>
      </c>
      <c r="L1097" s="4">
        <v>0</v>
      </c>
      <c r="M1097" s="4">
        <v>3.5527136788005009E-15</v>
      </c>
      <c r="N1097" s="4">
        <v>-5.6843418860808015E-14</v>
      </c>
      <c r="O1097" s="4">
        <v>0</v>
      </c>
      <c r="P1097" s="4">
        <v>0</v>
      </c>
      <c r="Q1097" s="4">
        <v>-1.7763568394002505E-14</v>
      </c>
      <c r="R1097" s="4">
        <v>577.93999999999994</v>
      </c>
      <c r="S1097" s="8">
        <f t="shared" si="51"/>
        <v>-1.1842378929335004E-14</v>
      </c>
      <c r="T1097" s="8">
        <f t="shared" si="52"/>
        <v>577.93999999999994</v>
      </c>
      <c r="U1097" s="9">
        <f t="shared" si="53"/>
        <v>-4.8802694412046952E+16</v>
      </c>
      <c r="V1097" t="s">
        <v>895</v>
      </c>
    </row>
    <row r="1098" spans="1:22" outlineLevel="2">
      <c r="A1098" t="s">
        <v>358</v>
      </c>
      <c r="B1098" t="s">
        <v>359</v>
      </c>
      <c r="C1098" t="s">
        <v>274</v>
      </c>
      <c r="D1098" t="s">
        <v>275</v>
      </c>
      <c r="E1098" s="4">
        <v>3.979039320256561E-13</v>
      </c>
      <c r="F1098" s="4">
        <v>4.0012437807490642E-13</v>
      </c>
      <c r="G1098" s="4">
        <v>0</v>
      </c>
      <c r="H1098" s="4">
        <v>0</v>
      </c>
      <c r="I1098" s="4">
        <v>0</v>
      </c>
      <c r="J1098" s="4">
        <v>0</v>
      </c>
      <c r="K1098" s="4">
        <v>0</v>
      </c>
      <c r="L1098" s="4">
        <v>0</v>
      </c>
      <c r="M1098" s="4">
        <v>1.1368683772161603E-13</v>
      </c>
      <c r="N1098" s="4">
        <v>0</v>
      </c>
      <c r="O1098" s="4">
        <v>0</v>
      </c>
      <c r="P1098" s="4">
        <v>0</v>
      </c>
      <c r="Q1098" s="4">
        <v>-7.2759576141834259E-12</v>
      </c>
      <c r="R1098" s="4">
        <v>-1119.05</v>
      </c>
      <c r="S1098" s="8">
        <f t="shared" si="51"/>
        <v>-1.1937117960769683E-12</v>
      </c>
      <c r="T1098" s="8">
        <f t="shared" si="52"/>
        <v>-1119.0499999999988</v>
      </c>
      <c r="U1098" s="9">
        <f t="shared" si="53"/>
        <v>937454085381128.75</v>
      </c>
      <c r="V1098" t="s">
        <v>895</v>
      </c>
    </row>
    <row r="1099" spans="1:22" outlineLevel="2">
      <c r="A1099" t="s">
        <v>358</v>
      </c>
      <c r="B1099" t="s">
        <v>359</v>
      </c>
      <c r="C1099" t="s">
        <v>166</v>
      </c>
      <c r="D1099" t="s">
        <v>167</v>
      </c>
      <c r="E1099" s="4">
        <v>0</v>
      </c>
      <c r="F1099" s="4">
        <v>0</v>
      </c>
      <c r="G1099" s="4">
        <v>0</v>
      </c>
      <c r="H1099" s="4">
        <v>0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S1099" s="8">
        <f t="shared" si="51"/>
        <v>0</v>
      </c>
      <c r="T1099" s="8">
        <f t="shared" si="52"/>
        <v>0</v>
      </c>
      <c r="U1099" s="9" t="e">
        <f t="shared" si="53"/>
        <v>#DIV/0!</v>
      </c>
    </row>
    <row r="1100" spans="1:22" outlineLevel="2">
      <c r="A1100" t="s">
        <v>358</v>
      </c>
      <c r="B1100" t="s">
        <v>359</v>
      </c>
      <c r="C1100" t="s">
        <v>93</v>
      </c>
      <c r="D1100" t="s">
        <v>94</v>
      </c>
      <c r="E1100" s="4">
        <v>-7.2759576141834259E-12</v>
      </c>
      <c r="F1100" s="4">
        <v>-7.2759576141834259E-12</v>
      </c>
      <c r="G1100" s="4">
        <v>5.8264504332328215E-13</v>
      </c>
      <c r="H1100" s="4">
        <v>0</v>
      </c>
      <c r="I1100" s="4">
        <v>0</v>
      </c>
      <c r="J1100" s="4">
        <v>118480.81999999999</v>
      </c>
      <c r="K1100" s="4">
        <v>-1.1635137298071641E-12</v>
      </c>
      <c r="L1100" s="4">
        <v>0</v>
      </c>
      <c r="M1100" s="4">
        <v>1.4551915228366852E-11</v>
      </c>
      <c r="N1100" s="4">
        <v>-5.5280224842135794E-12</v>
      </c>
      <c r="O1100" s="4">
        <v>1.7479351299698465E-12</v>
      </c>
      <c r="P1100" s="4">
        <v>1.7479351299698465E-12</v>
      </c>
      <c r="Q1100" s="4">
        <v>-4.0927261579781771E-12</v>
      </c>
      <c r="R1100" s="4">
        <v>59167.98</v>
      </c>
      <c r="S1100" s="8">
        <f t="shared" si="51"/>
        <v>1.4045061410191313E-12</v>
      </c>
      <c r="T1100" s="8">
        <f t="shared" si="52"/>
        <v>59167.98</v>
      </c>
      <c r="U1100" s="9">
        <f t="shared" si="53"/>
        <v>4.2127249053583208E+16</v>
      </c>
      <c r="V1100" t="s">
        <v>896</v>
      </c>
    </row>
    <row r="1101" spans="1:22" outlineLevel="2">
      <c r="A1101" t="s">
        <v>358</v>
      </c>
      <c r="B1101" t="s">
        <v>359</v>
      </c>
      <c r="C1101" t="s">
        <v>184</v>
      </c>
      <c r="D1101" t="s">
        <v>185</v>
      </c>
      <c r="E1101" s="4">
        <v>0</v>
      </c>
      <c r="F1101" s="4">
        <v>0</v>
      </c>
      <c r="G1101" s="4">
        <v>0</v>
      </c>
      <c r="H1101" s="4">
        <v>0</v>
      </c>
      <c r="I1101" s="4">
        <v>0</v>
      </c>
      <c r="J1101" s="4">
        <v>-118480.82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S1101" s="8">
        <f t="shared" si="51"/>
        <v>0</v>
      </c>
      <c r="T1101" s="8">
        <f t="shared" si="52"/>
        <v>0</v>
      </c>
      <c r="U1101" s="9" t="e">
        <f t="shared" si="53"/>
        <v>#DIV/0!</v>
      </c>
    </row>
    <row r="1102" spans="1:22" outlineLevel="2">
      <c r="A1102" t="s">
        <v>358</v>
      </c>
      <c r="B1102" t="s">
        <v>359</v>
      </c>
      <c r="C1102" t="s">
        <v>168</v>
      </c>
      <c r="D1102" t="s">
        <v>169</v>
      </c>
      <c r="E1102" s="4">
        <v>39616.370000000003</v>
      </c>
      <c r="F1102" s="4">
        <v>26037.620000000003</v>
      </c>
      <c r="G1102" s="4">
        <v>16584</v>
      </c>
      <c r="H1102" s="4">
        <v>-3.637978807091713E-12</v>
      </c>
      <c r="I1102" s="4">
        <v>-10042.499999999996</v>
      </c>
      <c r="J1102" s="4">
        <v>7.2759576141834259E-12</v>
      </c>
      <c r="K1102" s="4">
        <v>179689.99</v>
      </c>
      <c r="L1102" s="4">
        <v>4460.3800000000047</v>
      </c>
      <c r="M1102" s="4">
        <v>-7520.3800000000047</v>
      </c>
      <c r="N1102" s="4">
        <v>69691</v>
      </c>
      <c r="O1102" s="4">
        <v>29894.570000000007</v>
      </c>
      <c r="P1102" s="4">
        <v>-12420.25</v>
      </c>
      <c r="Q1102" s="4">
        <v>0</v>
      </c>
      <c r="R1102" s="4">
        <v>14696.919999999998</v>
      </c>
      <c r="S1102" s="8">
        <f t="shared" si="51"/>
        <v>14017.553333333335</v>
      </c>
      <c r="T1102" s="8">
        <f t="shared" si="52"/>
        <v>679.36666666666315</v>
      </c>
      <c r="U1102" s="9">
        <f t="shared" si="53"/>
        <v>4.8465424065920901E-2</v>
      </c>
    </row>
    <row r="1103" spans="1:22" outlineLevel="2">
      <c r="A1103" t="s">
        <v>358</v>
      </c>
      <c r="B1103" t="s">
        <v>359</v>
      </c>
      <c r="C1103" t="s">
        <v>101</v>
      </c>
      <c r="D1103" t="s">
        <v>102</v>
      </c>
      <c r="E1103" s="4">
        <v>-5.1159076974727213E-13</v>
      </c>
      <c r="F1103" s="4">
        <v>-1.1368683772161603E-13</v>
      </c>
      <c r="G1103" s="4">
        <v>-248575</v>
      </c>
      <c r="H1103" s="4">
        <v>-1650</v>
      </c>
      <c r="I1103" s="4">
        <v>7.2759576141834259E-12</v>
      </c>
      <c r="J1103" s="4">
        <v>1.4551915228366852E-11</v>
      </c>
      <c r="K1103" s="4">
        <v>-3.4646063795662485E-11</v>
      </c>
      <c r="L1103" s="4">
        <v>0</v>
      </c>
      <c r="M1103" s="4">
        <v>0</v>
      </c>
      <c r="N1103" s="4">
        <v>-4.5474735088646412E-13</v>
      </c>
      <c r="O1103" s="4">
        <v>0</v>
      </c>
      <c r="P1103" s="4">
        <v>0</v>
      </c>
      <c r="Q1103" s="4">
        <v>8454.5899999999965</v>
      </c>
      <c r="R1103" s="4">
        <v>97056.040000000008</v>
      </c>
      <c r="S1103" s="8">
        <f t="shared" si="51"/>
        <v>1409.0983333333327</v>
      </c>
      <c r="T1103" s="8">
        <f t="shared" si="52"/>
        <v>95646.94166666668</v>
      </c>
      <c r="U1103" s="9">
        <f t="shared" si="53"/>
        <v>67.878117093791701</v>
      </c>
      <c r="V1103" t="s">
        <v>896</v>
      </c>
    </row>
    <row r="1104" spans="1:22" outlineLevel="2">
      <c r="A1104" t="s">
        <v>358</v>
      </c>
      <c r="B1104" t="s">
        <v>359</v>
      </c>
      <c r="C1104" t="s">
        <v>186</v>
      </c>
      <c r="D1104" t="s">
        <v>187</v>
      </c>
      <c r="E1104" s="4">
        <v>0</v>
      </c>
      <c r="F1104" s="4">
        <v>0</v>
      </c>
      <c r="G1104" s="4">
        <v>0</v>
      </c>
      <c r="H1104" s="4">
        <v>0</v>
      </c>
      <c r="I1104" s="4">
        <v>0</v>
      </c>
      <c r="J1104" s="4">
        <v>-95</v>
      </c>
      <c r="K1104" s="4">
        <v>0</v>
      </c>
      <c r="L1104" s="4">
        <v>0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S1104" s="8">
        <f t="shared" si="51"/>
        <v>0</v>
      </c>
      <c r="T1104" s="8">
        <f t="shared" si="52"/>
        <v>0</v>
      </c>
      <c r="U1104" s="9" t="e">
        <f t="shared" si="53"/>
        <v>#DIV/0!</v>
      </c>
    </row>
    <row r="1105" spans="1:22" outlineLevel="2">
      <c r="A1105" t="s">
        <v>358</v>
      </c>
      <c r="B1105" t="s">
        <v>359</v>
      </c>
      <c r="C1105" t="s">
        <v>360</v>
      </c>
      <c r="D1105" t="s">
        <v>361</v>
      </c>
      <c r="E1105" s="4">
        <v>-8.7742790810807492E-10</v>
      </c>
      <c r="F1105" s="4">
        <v>-5.8344085118733346E-10</v>
      </c>
      <c r="G1105" s="4">
        <v>4.6566128730773926E-10</v>
      </c>
      <c r="H1105" s="4">
        <v>-8.5564977325702785E-10</v>
      </c>
      <c r="I1105" s="4">
        <v>-4.6566128730773926E-10</v>
      </c>
      <c r="J1105" s="4">
        <v>2.0702373149106279E-10</v>
      </c>
      <c r="K1105" s="4">
        <v>-3.7289282772690058E-10</v>
      </c>
      <c r="L1105" s="4">
        <v>-7.8216544352471828E-10</v>
      </c>
      <c r="M1105" s="4">
        <v>-6.9849193096160889E-10</v>
      </c>
      <c r="N1105" s="4">
        <v>-7.6897777034901083E-10</v>
      </c>
      <c r="O1105" s="4">
        <v>4.0563463699072599E-10</v>
      </c>
      <c r="P1105" s="4">
        <v>2.2373569663614035E-10</v>
      </c>
      <c r="Q1105" s="4">
        <v>7.73070496506989E-10</v>
      </c>
      <c r="R1105" s="4">
        <v>2637672.5999999992</v>
      </c>
      <c r="S1105" s="8">
        <f t="shared" si="51"/>
        <v>-1.4119905245024711E-10</v>
      </c>
      <c r="T1105" s="8">
        <f t="shared" si="52"/>
        <v>2637672.5999999992</v>
      </c>
      <c r="U1105" s="9">
        <f t="shared" si="53"/>
        <v>-1.868052620912176E+16</v>
      </c>
      <c r="V1105" t="s">
        <v>895</v>
      </c>
    </row>
    <row r="1106" spans="1:22" outlineLevel="2">
      <c r="A1106" t="s">
        <v>358</v>
      </c>
      <c r="B1106" t="s">
        <v>359</v>
      </c>
      <c r="C1106" t="s">
        <v>362</v>
      </c>
      <c r="D1106" t="s">
        <v>363</v>
      </c>
      <c r="E1106" s="4">
        <v>2.8421709430404007E-14</v>
      </c>
      <c r="F1106" s="4">
        <v>0</v>
      </c>
      <c r="G1106" s="4">
        <v>-734.34999999999991</v>
      </c>
      <c r="H1106" s="4">
        <v>0</v>
      </c>
      <c r="I1106" s="4">
        <v>2.2737367544323206E-13</v>
      </c>
      <c r="J1106" s="4">
        <v>5.6843418860808015E-13</v>
      </c>
      <c r="K1106" s="4">
        <v>0</v>
      </c>
      <c r="L1106" s="4">
        <v>0</v>
      </c>
      <c r="M1106" s="4">
        <v>0</v>
      </c>
      <c r="N1106" s="4">
        <v>-9.0949470177292824E-13</v>
      </c>
      <c r="O1106" s="4">
        <v>0</v>
      </c>
      <c r="P1106" s="4">
        <v>2.8421709430404007E-14</v>
      </c>
      <c r="Q1106" s="4">
        <v>0</v>
      </c>
      <c r="R1106" s="4">
        <v>-539.94000000000005</v>
      </c>
      <c r="S1106" s="8">
        <f t="shared" si="51"/>
        <v>-1.4684549872375405E-13</v>
      </c>
      <c r="T1106" s="8">
        <f t="shared" si="52"/>
        <v>-539.93999999999994</v>
      </c>
      <c r="U1106" s="9">
        <f t="shared" si="53"/>
        <v>3676925780447215.5</v>
      </c>
      <c r="V1106" t="s">
        <v>895</v>
      </c>
    </row>
    <row r="1107" spans="1:22" outlineLevel="2">
      <c r="A1107" t="s">
        <v>358</v>
      </c>
      <c r="B1107" t="s">
        <v>359</v>
      </c>
      <c r="C1107" t="s">
        <v>188</v>
      </c>
      <c r="D1107" t="s">
        <v>189</v>
      </c>
      <c r="E1107" s="4">
        <v>0</v>
      </c>
      <c r="F1107" s="4">
        <v>0</v>
      </c>
      <c r="G1107" s="4">
        <v>0</v>
      </c>
      <c r="H1107" s="4">
        <v>0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  <c r="Q1107" s="4">
        <v>0</v>
      </c>
      <c r="R1107" s="4">
        <v>2</v>
      </c>
      <c r="S1107" s="8">
        <f t="shared" si="51"/>
        <v>0</v>
      </c>
      <c r="T1107" s="8">
        <f t="shared" si="52"/>
        <v>2</v>
      </c>
      <c r="U1107" s="9" t="e">
        <f t="shared" si="53"/>
        <v>#DIV/0!</v>
      </c>
      <c r="V1107" t="s">
        <v>895</v>
      </c>
    </row>
    <row r="1108" spans="1:22" outlineLevel="2">
      <c r="A1108" t="s">
        <v>358</v>
      </c>
      <c r="B1108" t="s">
        <v>359</v>
      </c>
      <c r="C1108" t="s">
        <v>127</v>
      </c>
      <c r="D1108" t="s">
        <v>120</v>
      </c>
      <c r="E1108" s="4">
        <v>-5872.42</v>
      </c>
      <c r="F1108" s="4">
        <v>798.13</v>
      </c>
      <c r="G1108" s="4">
        <v>95.430000000000064</v>
      </c>
      <c r="H1108" s="4">
        <v>-99.530000000000015</v>
      </c>
      <c r="I1108" s="4">
        <v>-5.6843418860808015E-14</v>
      </c>
      <c r="J1108" s="4">
        <v>-9.0951551845463996E-15</v>
      </c>
      <c r="K1108" s="4">
        <v>2.1529653060348153E-14</v>
      </c>
      <c r="L1108" s="4">
        <v>0</v>
      </c>
      <c r="M1108" s="4">
        <v>-7.7715611723760958E-16</v>
      </c>
      <c r="N1108" s="4">
        <v>3.5527136788005009E-15</v>
      </c>
      <c r="O1108" s="4">
        <v>0</v>
      </c>
      <c r="P1108" s="4">
        <v>0</v>
      </c>
      <c r="Q1108" s="4">
        <v>-1.0103029524088925E-14</v>
      </c>
      <c r="R1108" s="4">
        <v>-2.6100000000000003</v>
      </c>
      <c r="S1108" s="8">
        <f t="shared" si="51"/>
        <v>-1.2212453270876722E-15</v>
      </c>
      <c r="T1108" s="8">
        <f t="shared" si="52"/>
        <v>-2.609999999999999</v>
      </c>
      <c r="U1108" s="9">
        <f t="shared" si="53"/>
        <v>2137162732261271</v>
      </c>
      <c r="V1108" t="s">
        <v>895</v>
      </c>
    </row>
    <row r="1109" spans="1:22" outlineLevel="1">
      <c r="A1109" s="1" t="s">
        <v>740</v>
      </c>
      <c r="E1109" s="4">
        <f>SUBTOTAL(9,E1092:E1108)</f>
        <v>33743.949999999117</v>
      </c>
      <c r="F1109" s="4">
        <f>SUBTOTAL(9,F1092:F1108)</f>
        <v>26835.749999999425</v>
      </c>
      <c r="G1109" s="4">
        <f>SUBTOTAL(9,G1092:G1108)</f>
        <v>-232629.91999999955</v>
      </c>
      <c r="H1109" s="4">
        <f>SUBTOTAL(9,H1092:H1108)</f>
        <v>-1603.230000000859</v>
      </c>
      <c r="I1109" s="4">
        <f>SUBTOTAL(9,I1092:I1108)</f>
        <v>-10042.500000000455</v>
      </c>
      <c r="J1109" s="4">
        <f>SUBTOTAL(9,J1092:J1108)</f>
        <v>-94.999999999785146</v>
      </c>
      <c r="K1109" s="4">
        <f>SUBTOTAL(9,K1092:K1108)</f>
        <v>179689.98999999958</v>
      </c>
      <c r="L1109" s="4">
        <f>SUBTOTAL(9,L1092:L1108)</f>
        <v>4460.379999999237</v>
      </c>
      <c r="M1109" s="4">
        <f>SUBTOTAL(9,M1092:M1108)</f>
        <v>-7520.3800000006886</v>
      </c>
      <c r="N1109" s="4">
        <f>SUBTOTAL(9,N1092:N1108)</f>
        <v>70012.999999999229</v>
      </c>
      <c r="O1109" s="4">
        <f>SUBTOTAL(9,O1092:O1108)</f>
        <v>29894.570000000414</v>
      </c>
      <c r="P1109" s="4">
        <f>SUBTOTAL(9,P1092:P1108)</f>
        <v>-12420.249999999778</v>
      </c>
      <c r="Q1109" s="4">
        <f>SUBTOTAL(9,Q1092:Q1108)</f>
        <v>8454.5900000007568</v>
      </c>
      <c r="R1109" s="4">
        <f>SUBTOTAL(9,R1092:R1108)</f>
        <v>2837023.2899999991</v>
      </c>
      <c r="S1109" s="8">
        <f t="shared" si="51"/>
        <v>15480.318333333193</v>
      </c>
      <c r="T1109" s="8">
        <f t="shared" si="52"/>
        <v>2821542.9716666657</v>
      </c>
      <c r="U1109" s="9">
        <f t="shared" si="53"/>
        <v>182.26646964947372</v>
      </c>
      <c r="V1109" t="s">
        <v>896</v>
      </c>
    </row>
    <row r="1110" spans="1:22" outlineLevel="2">
      <c r="A1110" t="s">
        <v>364</v>
      </c>
      <c r="B1110" t="s">
        <v>365</v>
      </c>
      <c r="C1110" t="s">
        <v>51</v>
      </c>
      <c r="D1110" t="s">
        <v>52</v>
      </c>
      <c r="E1110" s="4">
        <v>0</v>
      </c>
      <c r="F1110" s="4">
        <v>0</v>
      </c>
      <c r="G1110" s="4">
        <v>0</v>
      </c>
      <c r="H1110" s="4">
        <v>0</v>
      </c>
      <c r="I1110" s="4">
        <v>0</v>
      </c>
      <c r="J1110" s="4">
        <v>0</v>
      </c>
      <c r="K1110" s="4">
        <v>0</v>
      </c>
      <c r="L1110" s="4">
        <v>1000</v>
      </c>
      <c r="M1110" s="4">
        <v>10</v>
      </c>
      <c r="N1110" s="4">
        <v>0</v>
      </c>
      <c r="O1110" s="4">
        <v>0</v>
      </c>
      <c r="P1110" s="4">
        <v>0</v>
      </c>
      <c r="Q1110" s="4">
        <v>0</v>
      </c>
      <c r="S1110" s="8">
        <f t="shared" si="51"/>
        <v>168.33333333333334</v>
      </c>
      <c r="T1110" s="8">
        <f t="shared" si="52"/>
        <v>-168.33333333333334</v>
      </c>
      <c r="U1110" s="9">
        <f t="shared" si="53"/>
        <v>-1</v>
      </c>
    </row>
    <row r="1111" spans="1:22" outlineLevel="2">
      <c r="A1111" t="s">
        <v>364</v>
      </c>
      <c r="B1111" t="s">
        <v>365</v>
      </c>
      <c r="C1111" t="s">
        <v>238</v>
      </c>
      <c r="D1111" t="s">
        <v>239</v>
      </c>
      <c r="E1111" s="4">
        <v>0</v>
      </c>
      <c r="F1111" s="4">
        <v>0</v>
      </c>
      <c r="G1111" s="4">
        <v>0</v>
      </c>
      <c r="H1111" s="4">
        <v>0</v>
      </c>
      <c r="I1111" s="4">
        <v>0</v>
      </c>
      <c r="J1111" s="4">
        <v>0</v>
      </c>
      <c r="K1111" s="4">
        <v>7103.56</v>
      </c>
      <c r="L1111" s="4">
        <v>0</v>
      </c>
      <c r="M1111" s="4">
        <v>6463.58</v>
      </c>
      <c r="N1111" s="4">
        <v>0</v>
      </c>
      <c r="O1111" s="4">
        <v>338.34</v>
      </c>
      <c r="P1111" s="4">
        <v>0</v>
      </c>
      <c r="Q1111" s="4">
        <v>0</v>
      </c>
      <c r="R1111" s="4">
        <v>171030.82</v>
      </c>
      <c r="S1111" s="8">
        <f t="shared" si="51"/>
        <v>1133.6533333333334</v>
      </c>
      <c r="T1111" s="8">
        <f t="shared" si="52"/>
        <v>169897.16666666669</v>
      </c>
      <c r="U1111" s="9">
        <f t="shared" si="53"/>
        <v>149.86694933195335</v>
      </c>
      <c r="V1111" t="s">
        <v>896</v>
      </c>
    </row>
    <row r="1112" spans="1:22" outlineLevel="1">
      <c r="A1112" s="1" t="s">
        <v>741</v>
      </c>
      <c r="E1112" s="4">
        <f>SUBTOTAL(9,E1110:E1111)</f>
        <v>0</v>
      </c>
      <c r="F1112" s="4">
        <f>SUBTOTAL(9,F1110:F1111)</f>
        <v>0</v>
      </c>
      <c r="G1112" s="4">
        <f>SUBTOTAL(9,G1110:G1111)</f>
        <v>0</v>
      </c>
      <c r="H1112" s="4">
        <f>SUBTOTAL(9,H1110:H1111)</f>
        <v>0</v>
      </c>
      <c r="I1112" s="4">
        <f>SUBTOTAL(9,I1110:I1111)</f>
        <v>0</v>
      </c>
      <c r="J1112" s="4">
        <f>SUBTOTAL(9,J1110:J1111)</f>
        <v>0</v>
      </c>
      <c r="K1112" s="4">
        <f>SUBTOTAL(9,K1110:K1111)</f>
        <v>7103.56</v>
      </c>
      <c r="L1112" s="4">
        <f>SUBTOTAL(9,L1110:L1111)</f>
        <v>1000</v>
      </c>
      <c r="M1112" s="4">
        <f>SUBTOTAL(9,M1110:M1111)</f>
        <v>6473.58</v>
      </c>
      <c r="N1112" s="4">
        <f>SUBTOTAL(9,N1110:N1111)</f>
        <v>0</v>
      </c>
      <c r="O1112" s="4">
        <f>SUBTOTAL(9,O1110:O1111)</f>
        <v>338.34</v>
      </c>
      <c r="P1112" s="4">
        <f>SUBTOTAL(9,P1110:P1111)</f>
        <v>0</v>
      </c>
      <c r="Q1112" s="4">
        <f>SUBTOTAL(9,Q1110:Q1111)</f>
        <v>0</v>
      </c>
      <c r="R1112" s="4">
        <f>SUBTOTAL(9,R1110:R1111)</f>
        <v>171030.82</v>
      </c>
      <c r="S1112" s="8">
        <f t="shared" si="51"/>
        <v>1301.9866666666667</v>
      </c>
      <c r="T1112" s="8">
        <f t="shared" si="52"/>
        <v>169728.83333333334</v>
      </c>
      <c r="U1112" s="9">
        <f t="shared" si="53"/>
        <v>130.36142203197167</v>
      </c>
      <c r="V1112" t="s">
        <v>896</v>
      </c>
    </row>
    <row r="1113" spans="1:22" outlineLevel="2">
      <c r="A1113" t="s">
        <v>366</v>
      </c>
      <c r="B1113" t="s">
        <v>367</v>
      </c>
      <c r="C1113" t="s">
        <v>21</v>
      </c>
      <c r="D1113" t="s">
        <v>22</v>
      </c>
      <c r="E1113" s="4">
        <v>0</v>
      </c>
      <c r="F1113" s="4">
        <v>0</v>
      </c>
      <c r="G1113" s="4">
        <v>103.5</v>
      </c>
      <c r="H1113" s="4">
        <v>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  <c r="Q1113" s="4">
        <v>0</v>
      </c>
      <c r="S1113" s="8">
        <f t="shared" si="51"/>
        <v>0</v>
      </c>
      <c r="T1113" s="8">
        <f t="shared" si="52"/>
        <v>0</v>
      </c>
      <c r="U1113" s="9" t="e">
        <f t="shared" si="53"/>
        <v>#DIV/0!</v>
      </c>
    </row>
    <row r="1114" spans="1:22" outlineLevel="1">
      <c r="A1114" s="1" t="s">
        <v>742</v>
      </c>
      <c r="E1114" s="4">
        <f>SUBTOTAL(9,E1113:E1113)</f>
        <v>0</v>
      </c>
      <c r="F1114" s="4">
        <f>SUBTOTAL(9,F1113:F1113)</f>
        <v>0</v>
      </c>
      <c r="G1114" s="4">
        <f>SUBTOTAL(9,G1113:G1113)</f>
        <v>103.5</v>
      </c>
      <c r="H1114" s="4">
        <f>SUBTOTAL(9,H1113:H1113)</f>
        <v>0</v>
      </c>
      <c r="I1114" s="4">
        <f>SUBTOTAL(9,I1113:I1113)</f>
        <v>0</v>
      </c>
      <c r="J1114" s="4">
        <f>SUBTOTAL(9,J1113:J1113)</f>
        <v>0</v>
      </c>
      <c r="K1114" s="4">
        <f>SUBTOTAL(9,K1113:K1113)</f>
        <v>0</v>
      </c>
      <c r="L1114" s="4">
        <f>SUBTOTAL(9,L1113:L1113)</f>
        <v>0</v>
      </c>
      <c r="M1114" s="4">
        <f>SUBTOTAL(9,M1113:M1113)</f>
        <v>0</v>
      </c>
      <c r="N1114" s="4">
        <f>SUBTOTAL(9,N1113:N1113)</f>
        <v>0</v>
      </c>
      <c r="O1114" s="4">
        <f>SUBTOTAL(9,O1113:O1113)</f>
        <v>0</v>
      </c>
      <c r="P1114" s="4">
        <f>SUBTOTAL(9,P1113:P1113)</f>
        <v>0</v>
      </c>
      <c r="Q1114" s="4">
        <f>SUBTOTAL(9,Q1113:Q1113)</f>
        <v>0</v>
      </c>
      <c r="R1114" s="4">
        <f>SUBTOTAL(9,R1113:R1113)</f>
        <v>0</v>
      </c>
      <c r="S1114" s="8">
        <f t="shared" si="51"/>
        <v>0</v>
      </c>
      <c r="T1114" s="8">
        <f t="shared" si="52"/>
        <v>0</v>
      </c>
      <c r="U1114" s="9" t="e">
        <f t="shared" si="53"/>
        <v>#DIV/0!</v>
      </c>
    </row>
    <row r="1115" spans="1:22" outlineLevel="2">
      <c r="A1115" t="s">
        <v>368</v>
      </c>
      <c r="B1115" t="s">
        <v>369</v>
      </c>
      <c r="C1115" t="s">
        <v>75</v>
      </c>
      <c r="D1115" t="s">
        <v>76</v>
      </c>
      <c r="E1115" s="4">
        <v>0</v>
      </c>
      <c r="F1115" s="4">
        <v>0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  <c r="L1115" s="4">
        <v>0</v>
      </c>
      <c r="M1115" s="4">
        <v>30.67</v>
      </c>
      <c r="N1115" s="4">
        <v>0</v>
      </c>
      <c r="O1115" s="4">
        <v>0</v>
      </c>
      <c r="P1115" s="4">
        <v>0</v>
      </c>
      <c r="Q1115" s="4">
        <v>0</v>
      </c>
      <c r="S1115" s="8">
        <f t="shared" si="51"/>
        <v>5.1116666666666672</v>
      </c>
      <c r="T1115" s="8">
        <f t="shared" si="52"/>
        <v>-5.1116666666666672</v>
      </c>
      <c r="U1115" s="9">
        <f t="shared" si="53"/>
        <v>-1</v>
      </c>
    </row>
    <row r="1116" spans="1:22" outlineLevel="1">
      <c r="A1116" s="1" t="s">
        <v>743</v>
      </c>
      <c r="E1116" s="4">
        <f>SUBTOTAL(9,E1115:E1115)</f>
        <v>0</v>
      </c>
      <c r="F1116" s="4">
        <f>SUBTOTAL(9,F1115:F1115)</f>
        <v>0</v>
      </c>
      <c r="G1116" s="4">
        <f>SUBTOTAL(9,G1115:G1115)</f>
        <v>0</v>
      </c>
      <c r="H1116" s="4">
        <f>SUBTOTAL(9,H1115:H1115)</f>
        <v>0</v>
      </c>
      <c r="I1116" s="4">
        <f>SUBTOTAL(9,I1115:I1115)</f>
        <v>0</v>
      </c>
      <c r="J1116" s="4">
        <f>SUBTOTAL(9,J1115:J1115)</f>
        <v>0</v>
      </c>
      <c r="K1116" s="4">
        <f>SUBTOTAL(9,K1115:K1115)</f>
        <v>0</v>
      </c>
      <c r="L1116" s="4">
        <f>SUBTOTAL(9,L1115:L1115)</f>
        <v>0</v>
      </c>
      <c r="M1116" s="4">
        <f>SUBTOTAL(9,M1115:M1115)</f>
        <v>30.67</v>
      </c>
      <c r="N1116" s="4">
        <f>SUBTOTAL(9,N1115:N1115)</f>
        <v>0</v>
      </c>
      <c r="O1116" s="4">
        <f>SUBTOTAL(9,O1115:O1115)</f>
        <v>0</v>
      </c>
      <c r="P1116" s="4">
        <f>SUBTOTAL(9,P1115:P1115)</f>
        <v>0</v>
      </c>
      <c r="Q1116" s="4">
        <f>SUBTOTAL(9,Q1115:Q1115)</f>
        <v>0</v>
      </c>
      <c r="R1116" s="4">
        <f>SUBTOTAL(9,R1115:R1115)</f>
        <v>0</v>
      </c>
      <c r="S1116" s="8">
        <f t="shared" si="51"/>
        <v>5.1116666666666672</v>
      </c>
      <c r="T1116" s="8">
        <f t="shared" si="52"/>
        <v>-5.1116666666666672</v>
      </c>
      <c r="U1116" s="9">
        <f t="shared" si="53"/>
        <v>-1</v>
      </c>
    </row>
    <row r="1117" spans="1:22" outlineLevel="2">
      <c r="A1117" t="s">
        <v>370</v>
      </c>
      <c r="B1117" t="s">
        <v>371</v>
      </c>
      <c r="C1117" t="s">
        <v>144</v>
      </c>
      <c r="D1117" t="s">
        <v>145</v>
      </c>
      <c r="E1117" s="4">
        <v>15682.02</v>
      </c>
      <c r="F1117" s="4">
        <v>-23112.75</v>
      </c>
      <c r="G1117" s="4">
        <v>0</v>
      </c>
      <c r="H1117" s="4">
        <v>-5483.59</v>
      </c>
      <c r="I1117" s="4">
        <v>0</v>
      </c>
      <c r="J1117" s="4">
        <v>0</v>
      </c>
      <c r="K1117" s="4">
        <v>-6323.85</v>
      </c>
      <c r="L1117" s="4">
        <v>10415.08</v>
      </c>
      <c r="M1117" s="4">
        <v>-23041.78</v>
      </c>
      <c r="N1117" s="4">
        <v>17259.060000000001</v>
      </c>
      <c r="O1117" s="4">
        <v>-23089.89</v>
      </c>
      <c r="P1117" s="4">
        <v>18434</v>
      </c>
      <c r="Q1117" s="4">
        <v>-25171.11</v>
      </c>
      <c r="R1117" s="4">
        <v>16826.419999999998</v>
      </c>
      <c r="S1117" s="8">
        <f t="shared" si="51"/>
        <v>-4199.1066666666666</v>
      </c>
      <c r="T1117" s="8">
        <f t="shared" si="52"/>
        <v>21025.526666666665</v>
      </c>
      <c r="U1117" s="9">
        <f t="shared" si="53"/>
        <v>-5.0071427891011737</v>
      </c>
    </row>
    <row r="1118" spans="1:22" outlineLevel="2">
      <c r="A1118" t="s">
        <v>370</v>
      </c>
      <c r="B1118" t="s">
        <v>371</v>
      </c>
      <c r="C1118" t="s">
        <v>372</v>
      </c>
      <c r="D1118" t="s">
        <v>373</v>
      </c>
      <c r="E1118" s="4">
        <v>922.56</v>
      </c>
      <c r="F1118" s="4">
        <v>113.5</v>
      </c>
      <c r="G1118" s="4">
        <v>113.5</v>
      </c>
      <c r="H1118" s="4">
        <v>113.5</v>
      </c>
      <c r="I1118" s="4">
        <v>113.5</v>
      </c>
      <c r="J1118" s="4">
        <v>113.5</v>
      </c>
      <c r="K1118" s="4">
        <v>113.5</v>
      </c>
      <c r="L1118" s="4">
        <v>113.5</v>
      </c>
      <c r="M1118" s="4">
        <v>113.5</v>
      </c>
      <c r="N1118" s="4">
        <v>113.5</v>
      </c>
      <c r="O1118" s="4">
        <v>113.5</v>
      </c>
      <c r="P1118" s="4">
        <v>1884.89</v>
      </c>
      <c r="Q1118" s="4">
        <v>0</v>
      </c>
      <c r="S1118" s="8">
        <f t="shared" si="51"/>
        <v>389.81500000000005</v>
      </c>
      <c r="T1118" s="8">
        <f t="shared" si="52"/>
        <v>-389.81500000000005</v>
      </c>
      <c r="U1118" s="9">
        <f t="shared" si="53"/>
        <v>-1</v>
      </c>
    </row>
    <row r="1119" spans="1:22" outlineLevel="2">
      <c r="A1119" t="s">
        <v>370</v>
      </c>
      <c r="B1119" t="s">
        <v>371</v>
      </c>
      <c r="C1119" t="s">
        <v>158</v>
      </c>
      <c r="D1119" t="s">
        <v>159</v>
      </c>
      <c r="E1119" s="4">
        <v>0</v>
      </c>
      <c r="F1119" s="4">
        <v>0</v>
      </c>
      <c r="G1119" s="4">
        <v>1489.86</v>
      </c>
      <c r="H1119" s="4">
        <v>0</v>
      </c>
      <c r="I1119" s="4">
        <v>0</v>
      </c>
      <c r="J1119" s="4">
        <v>1493.42</v>
      </c>
      <c r="K1119" s="4">
        <v>0</v>
      </c>
      <c r="L1119" s="4">
        <v>0</v>
      </c>
      <c r="M1119" s="4">
        <v>1324.8</v>
      </c>
      <c r="N1119" s="4">
        <v>0</v>
      </c>
      <c r="O1119" s="4">
        <v>0</v>
      </c>
      <c r="P1119" s="4">
        <v>0</v>
      </c>
      <c r="Q1119" s="4">
        <v>0</v>
      </c>
      <c r="S1119" s="8">
        <f t="shared" si="51"/>
        <v>220.79999999999998</v>
      </c>
      <c r="T1119" s="8">
        <f t="shared" si="52"/>
        <v>-220.79999999999998</v>
      </c>
      <c r="U1119" s="9">
        <f t="shared" si="53"/>
        <v>-1</v>
      </c>
    </row>
    <row r="1120" spans="1:22" outlineLevel="2">
      <c r="A1120" t="s">
        <v>370</v>
      </c>
      <c r="B1120" t="s">
        <v>371</v>
      </c>
      <c r="C1120" t="s">
        <v>230</v>
      </c>
      <c r="D1120" t="s">
        <v>231</v>
      </c>
      <c r="E1120" s="4">
        <v>8317.3100000000013</v>
      </c>
      <c r="F1120" s="4">
        <v>10749.88</v>
      </c>
      <c r="G1120" s="4">
        <v>8317.31</v>
      </c>
      <c r="H1120" s="4">
        <v>8428.2099999999991</v>
      </c>
      <c r="I1120" s="4">
        <v>8428.2099999999991</v>
      </c>
      <c r="J1120" s="4">
        <v>2282.4899999999998</v>
      </c>
      <c r="K1120" s="4">
        <v>8676.32</v>
      </c>
      <c r="L1120" s="4">
        <v>11653.720000000001</v>
      </c>
      <c r="M1120" s="4">
        <v>8676.32</v>
      </c>
      <c r="N1120" s="4">
        <v>8676.32</v>
      </c>
      <c r="O1120" s="4">
        <v>8676.32</v>
      </c>
      <c r="P1120" s="4">
        <v>8676.32</v>
      </c>
      <c r="Q1120" s="4">
        <v>9956.1</v>
      </c>
      <c r="R1120" s="4">
        <v>9316.2099999999991</v>
      </c>
      <c r="S1120" s="8">
        <f t="shared" si="51"/>
        <v>9385.85</v>
      </c>
      <c r="T1120" s="8">
        <f t="shared" si="52"/>
        <v>-69.640000000001237</v>
      </c>
      <c r="U1120" s="9">
        <f t="shared" si="53"/>
        <v>-7.4196796241151556E-3</v>
      </c>
    </row>
    <row r="1121" spans="1:22" outlineLevel="2">
      <c r="A1121" t="s">
        <v>370</v>
      </c>
      <c r="B1121" t="s">
        <v>371</v>
      </c>
      <c r="C1121" t="s">
        <v>232</v>
      </c>
      <c r="D1121" t="s">
        <v>233</v>
      </c>
      <c r="E1121" s="4">
        <v>1555.94</v>
      </c>
      <c r="F1121" s="4">
        <v>1555.94</v>
      </c>
      <c r="G1121" s="4">
        <v>1555.94</v>
      </c>
      <c r="H1121" s="4">
        <v>1555.94</v>
      </c>
      <c r="I1121" s="4">
        <v>1555.94</v>
      </c>
      <c r="J1121" s="4">
        <v>592.94000000000005</v>
      </c>
      <c r="K1121" s="4">
        <v>1598.71</v>
      </c>
      <c r="L1121" s="4">
        <v>2111.91</v>
      </c>
      <c r="M1121" s="4">
        <v>1598.71</v>
      </c>
      <c r="N1121" s="4">
        <v>1598.71</v>
      </c>
      <c r="O1121" s="4">
        <v>1598.71</v>
      </c>
      <c r="P1121" s="4">
        <v>1598.71</v>
      </c>
      <c r="Q1121" s="4">
        <v>1816.03</v>
      </c>
      <c r="R1121" s="4">
        <v>1707.37</v>
      </c>
      <c r="S1121" s="8">
        <f t="shared" si="51"/>
        <v>1720.4633333333334</v>
      </c>
      <c r="T1121" s="8">
        <f t="shared" si="52"/>
        <v>-13.093333333333476</v>
      </c>
      <c r="U1121" s="9">
        <f t="shared" si="53"/>
        <v>-7.6103530250572864E-3</v>
      </c>
    </row>
    <row r="1122" spans="1:22" outlineLevel="2">
      <c r="A1122" t="s">
        <v>370</v>
      </c>
      <c r="B1122" t="s">
        <v>371</v>
      </c>
      <c r="C1122" t="s">
        <v>218</v>
      </c>
      <c r="D1122" t="s">
        <v>219</v>
      </c>
      <c r="E1122" s="4">
        <v>2452.91</v>
      </c>
      <c r="F1122" s="4">
        <v>3933.57</v>
      </c>
      <c r="G1122" s="4">
        <v>3895.16</v>
      </c>
      <c r="H1122" s="4">
        <v>1910.52</v>
      </c>
      <c r="I1122" s="4">
        <v>1789.7900000000002</v>
      </c>
      <c r="J1122" s="4">
        <v>1953.7</v>
      </c>
      <c r="K1122" s="4">
        <v>1995.1200000000001</v>
      </c>
      <c r="L1122" s="4">
        <v>1986.66</v>
      </c>
      <c r="M1122" s="4">
        <v>1986.66</v>
      </c>
      <c r="N1122" s="4">
        <v>1874.21</v>
      </c>
      <c r="O1122" s="4">
        <v>1986.66</v>
      </c>
      <c r="P1122" s="4">
        <v>1986.66</v>
      </c>
      <c r="Q1122" s="4">
        <v>1986.66</v>
      </c>
      <c r="R1122" s="4">
        <v>1986.66</v>
      </c>
      <c r="S1122" s="8">
        <f t="shared" si="51"/>
        <v>1967.9183333333333</v>
      </c>
      <c r="T1122" s="8">
        <f t="shared" si="52"/>
        <v>18.741666666666788</v>
      </c>
      <c r="U1122" s="9">
        <f t="shared" si="53"/>
        <v>9.5235998106290593E-3</v>
      </c>
    </row>
    <row r="1123" spans="1:22" outlineLevel="2">
      <c r="A1123" t="s">
        <v>370</v>
      </c>
      <c r="B1123" t="s">
        <v>371</v>
      </c>
      <c r="C1123" t="s">
        <v>234</v>
      </c>
      <c r="D1123" t="s">
        <v>235</v>
      </c>
      <c r="E1123" s="4">
        <v>4206</v>
      </c>
      <c r="F1123" s="4">
        <v>4206</v>
      </c>
      <c r="G1123" s="4">
        <v>4206</v>
      </c>
      <c r="H1123" s="4">
        <v>4206</v>
      </c>
      <c r="I1123" s="4">
        <v>4206</v>
      </c>
      <c r="J1123" s="4">
        <v>-21030</v>
      </c>
      <c r="K1123" s="4">
        <v>0</v>
      </c>
      <c r="L1123" s="4">
        <v>0</v>
      </c>
      <c r="M1123" s="4">
        <v>0</v>
      </c>
      <c r="N1123" s="4">
        <v>0</v>
      </c>
      <c r="O1123" s="4">
        <v>0</v>
      </c>
      <c r="P1123" s="4">
        <v>0</v>
      </c>
      <c r="Q1123" s="4">
        <v>0</v>
      </c>
      <c r="S1123" s="8">
        <f t="shared" si="51"/>
        <v>0</v>
      </c>
      <c r="T1123" s="8">
        <f t="shared" si="52"/>
        <v>0</v>
      </c>
      <c r="U1123" s="9" t="e">
        <f t="shared" si="53"/>
        <v>#DIV/0!</v>
      </c>
    </row>
    <row r="1124" spans="1:22" outlineLevel="2">
      <c r="A1124" t="s">
        <v>370</v>
      </c>
      <c r="B1124" t="s">
        <v>371</v>
      </c>
      <c r="C1124" t="s">
        <v>53</v>
      </c>
      <c r="D1124" t="s">
        <v>54</v>
      </c>
      <c r="E1124" s="4">
        <v>0</v>
      </c>
      <c r="F1124" s="4">
        <v>0</v>
      </c>
      <c r="G1124" s="4">
        <v>27.95</v>
      </c>
      <c r="H1124" s="4">
        <v>0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S1124" s="8">
        <f t="shared" si="51"/>
        <v>0</v>
      </c>
      <c r="T1124" s="8">
        <f t="shared" si="52"/>
        <v>0</v>
      </c>
      <c r="U1124" s="9" t="e">
        <f t="shared" si="53"/>
        <v>#DIV/0!</v>
      </c>
    </row>
    <row r="1125" spans="1:22" outlineLevel="2">
      <c r="A1125" t="s">
        <v>370</v>
      </c>
      <c r="B1125" t="s">
        <v>371</v>
      </c>
      <c r="C1125" t="s">
        <v>168</v>
      </c>
      <c r="D1125" t="s">
        <v>169</v>
      </c>
      <c r="E1125" s="4">
        <v>4590</v>
      </c>
      <c r="F1125" s="4">
        <v>5637.5</v>
      </c>
      <c r="G1125" s="4">
        <v>23669.360000000001</v>
      </c>
      <c r="H1125" s="4">
        <v>-1.8189894035458565E-12</v>
      </c>
      <c r="I1125" s="4">
        <v>18861</v>
      </c>
      <c r="J1125" s="4">
        <v>7795.34</v>
      </c>
      <c r="K1125" s="4">
        <v>0</v>
      </c>
      <c r="L1125" s="4">
        <v>9760</v>
      </c>
      <c r="M1125" s="4">
        <v>0</v>
      </c>
      <c r="N1125" s="4">
        <v>0</v>
      </c>
      <c r="O1125" s="4">
        <v>4257</v>
      </c>
      <c r="P1125" s="4">
        <v>7108.9400000000005</v>
      </c>
      <c r="Q1125" s="4">
        <v>-1813.67</v>
      </c>
      <c r="R1125" s="4">
        <v>10857.31</v>
      </c>
      <c r="S1125" s="8">
        <f t="shared" si="51"/>
        <v>3218.7116666666675</v>
      </c>
      <c r="T1125" s="8">
        <f t="shared" si="52"/>
        <v>7638.5983333333315</v>
      </c>
      <c r="U1125" s="9">
        <f t="shared" si="53"/>
        <v>2.3731850269284749</v>
      </c>
    </row>
    <row r="1126" spans="1:22" outlineLevel="2">
      <c r="A1126" t="s">
        <v>370</v>
      </c>
      <c r="B1126" t="s">
        <v>371</v>
      </c>
      <c r="C1126" t="s">
        <v>172</v>
      </c>
      <c r="D1126" t="s">
        <v>173</v>
      </c>
      <c r="E1126" s="4">
        <v>0</v>
      </c>
      <c r="F1126" s="4">
        <v>0</v>
      </c>
      <c r="G1126" s="4">
        <v>75</v>
      </c>
      <c r="H1126" s="4">
        <v>25</v>
      </c>
      <c r="I1126" s="4">
        <v>25</v>
      </c>
      <c r="J1126" s="4">
        <v>25</v>
      </c>
      <c r="K1126" s="4">
        <v>25</v>
      </c>
      <c r="L1126" s="4">
        <v>25</v>
      </c>
      <c r="M1126" s="4">
        <v>25</v>
      </c>
      <c r="N1126" s="4">
        <v>25</v>
      </c>
      <c r="O1126" s="4">
        <v>-25</v>
      </c>
      <c r="P1126" s="4">
        <v>0</v>
      </c>
      <c r="Q1126" s="4">
        <v>25</v>
      </c>
      <c r="S1126" s="8">
        <f t="shared" si="51"/>
        <v>12.5</v>
      </c>
      <c r="T1126" s="8">
        <f t="shared" si="52"/>
        <v>-12.5</v>
      </c>
      <c r="U1126" s="9">
        <f t="shared" si="53"/>
        <v>-1</v>
      </c>
    </row>
    <row r="1127" spans="1:22" outlineLevel="1">
      <c r="A1127" s="1" t="s">
        <v>744</v>
      </c>
      <c r="E1127" s="4">
        <f>SUBTOTAL(9,E1117:E1126)</f>
        <v>37726.740000000005</v>
      </c>
      <c r="F1127" s="4">
        <f>SUBTOTAL(9,F1117:F1126)</f>
        <v>3083.6399999999994</v>
      </c>
      <c r="G1127" s="4">
        <f>SUBTOTAL(9,G1117:G1126)</f>
        <v>43350.080000000002</v>
      </c>
      <c r="H1127" s="4">
        <f>SUBTOTAL(9,H1117:H1126)</f>
        <v>10755.579999999998</v>
      </c>
      <c r="I1127" s="4">
        <f>SUBTOTAL(9,I1117:I1126)</f>
        <v>34979.440000000002</v>
      </c>
      <c r="J1127" s="4">
        <f>SUBTOTAL(9,J1117:J1126)</f>
        <v>-6773.6100000000006</v>
      </c>
      <c r="K1127" s="4">
        <f>SUBTOTAL(9,K1117:K1126)</f>
        <v>6084.7999999999993</v>
      </c>
      <c r="L1127" s="4">
        <f>SUBTOTAL(9,L1117:L1126)</f>
        <v>36065.870000000003</v>
      </c>
      <c r="M1127" s="4">
        <f>SUBTOTAL(9,M1117:M1126)</f>
        <v>-9316.7900000000009</v>
      </c>
      <c r="N1127" s="4">
        <f>SUBTOTAL(9,N1117:N1126)</f>
        <v>29546.799999999999</v>
      </c>
      <c r="O1127" s="4">
        <f>SUBTOTAL(9,O1117:O1126)</f>
        <v>-6482.7000000000007</v>
      </c>
      <c r="P1127" s="4">
        <f>SUBTOTAL(9,P1117:P1126)</f>
        <v>39689.519999999997</v>
      </c>
      <c r="Q1127" s="4">
        <f>SUBTOTAL(9,Q1117:Q1126)</f>
        <v>-13200.99</v>
      </c>
      <c r="R1127" s="4">
        <f>SUBTOTAL(9,R1117:R1126)</f>
        <v>40693.969999999994</v>
      </c>
      <c r="S1127" s="8">
        <f t="shared" si="51"/>
        <v>12716.951666666668</v>
      </c>
      <c r="T1127" s="8">
        <f t="shared" si="52"/>
        <v>27977.018333333326</v>
      </c>
      <c r="U1127" s="9">
        <f t="shared" si="53"/>
        <v>2.1999783491090823</v>
      </c>
    </row>
    <row r="1128" spans="1:22" outlineLevel="2">
      <c r="A1128" t="s">
        <v>374</v>
      </c>
      <c r="B1128" t="s">
        <v>375</v>
      </c>
      <c r="C1128" t="s">
        <v>21</v>
      </c>
      <c r="D1128" t="s">
        <v>22</v>
      </c>
      <c r="E1128" s="4">
        <v>0</v>
      </c>
      <c r="F1128" s="4">
        <v>0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S1128" s="8">
        <f t="shared" si="51"/>
        <v>0</v>
      </c>
      <c r="T1128" s="8">
        <f t="shared" si="52"/>
        <v>0</v>
      </c>
      <c r="U1128" s="9" t="e">
        <f t="shared" si="53"/>
        <v>#DIV/0!</v>
      </c>
    </row>
    <row r="1129" spans="1:22" outlineLevel="2">
      <c r="A1129" t="s">
        <v>374</v>
      </c>
      <c r="B1129" t="s">
        <v>375</v>
      </c>
      <c r="C1129" t="s">
        <v>37</v>
      </c>
      <c r="D1129" t="s">
        <v>38</v>
      </c>
      <c r="E1129" s="4">
        <v>0</v>
      </c>
      <c r="F1129" s="4">
        <v>0</v>
      </c>
      <c r="G1129" s="4">
        <v>0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S1129" s="8">
        <f t="shared" si="51"/>
        <v>0</v>
      </c>
      <c r="T1129" s="8">
        <f t="shared" si="52"/>
        <v>0</v>
      </c>
      <c r="U1129" s="9" t="e">
        <f t="shared" si="53"/>
        <v>#DIV/0!</v>
      </c>
    </row>
    <row r="1130" spans="1:22" outlineLevel="2">
      <c r="A1130" t="s">
        <v>374</v>
      </c>
      <c r="B1130" t="s">
        <v>375</v>
      </c>
      <c r="C1130" t="s">
        <v>238</v>
      </c>
      <c r="D1130" t="s">
        <v>239</v>
      </c>
      <c r="E1130" s="4">
        <v>0</v>
      </c>
      <c r="F1130" s="4">
        <v>0</v>
      </c>
      <c r="G1130" s="4">
        <v>0</v>
      </c>
      <c r="H1130" s="4">
        <v>0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500.58</v>
      </c>
      <c r="S1130" s="8">
        <f t="shared" si="51"/>
        <v>0</v>
      </c>
      <c r="T1130" s="8">
        <f t="shared" si="52"/>
        <v>500.58</v>
      </c>
      <c r="U1130" s="9" t="e">
        <f t="shared" si="53"/>
        <v>#DIV/0!</v>
      </c>
      <c r="V1130" t="s">
        <v>895</v>
      </c>
    </row>
    <row r="1131" spans="1:22" outlineLevel="1">
      <c r="A1131" s="1" t="s">
        <v>745</v>
      </c>
      <c r="E1131" s="4">
        <f>SUBTOTAL(9,E1128:E1130)</f>
        <v>0</v>
      </c>
      <c r="F1131" s="4">
        <f>SUBTOTAL(9,F1128:F1130)</f>
        <v>0</v>
      </c>
      <c r="G1131" s="4">
        <f>SUBTOTAL(9,G1128:G1130)</f>
        <v>0</v>
      </c>
      <c r="H1131" s="4">
        <f>SUBTOTAL(9,H1128:H1130)</f>
        <v>0</v>
      </c>
      <c r="I1131" s="4">
        <f>SUBTOTAL(9,I1128:I1130)</f>
        <v>0</v>
      </c>
      <c r="J1131" s="4">
        <f>SUBTOTAL(9,J1128:J1130)</f>
        <v>0</v>
      </c>
      <c r="K1131" s="4">
        <f>SUBTOTAL(9,K1128:K1130)</f>
        <v>0</v>
      </c>
      <c r="L1131" s="4">
        <f>SUBTOTAL(9,L1128:L1130)</f>
        <v>0</v>
      </c>
      <c r="M1131" s="4">
        <f>SUBTOTAL(9,M1128:M1130)</f>
        <v>0</v>
      </c>
      <c r="N1131" s="4">
        <f>SUBTOTAL(9,N1128:N1130)</f>
        <v>0</v>
      </c>
      <c r="O1131" s="4">
        <f>SUBTOTAL(9,O1128:O1130)</f>
        <v>0</v>
      </c>
      <c r="P1131" s="4">
        <f>SUBTOTAL(9,P1128:P1130)</f>
        <v>0</v>
      </c>
      <c r="Q1131" s="4">
        <f>SUBTOTAL(9,Q1128:Q1130)</f>
        <v>0</v>
      </c>
      <c r="R1131" s="4">
        <f>SUBTOTAL(9,R1128:R1130)</f>
        <v>500.58</v>
      </c>
      <c r="S1131" s="8">
        <f t="shared" si="51"/>
        <v>0</v>
      </c>
      <c r="T1131" s="8">
        <f t="shared" si="52"/>
        <v>500.58</v>
      </c>
      <c r="U1131" s="9" t="e">
        <f t="shared" si="53"/>
        <v>#DIV/0!</v>
      </c>
      <c r="V1131" t="s">
        <v>895</v>
      </c>
    </row>
    <row r="1132" spans="1:22" outlineLevel="2">
      <c r="A1132" t="s">
        <v>376</v>
      </c>
      <c r="B1132" t="s">
        <v>291</v>
      </c>
      <c r="C1132" t="s">
        <v>304</v>
      </c>
      <c r="D1132" t="s">
        <v>305</v>
      </c>
      <c r="E1132" s="4">
        <v>0</v>
      </c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0</v>
      </c>
      <c r="O1132" s="4">
        <v>0</v>
      </c>
      <c r="P1132" s="4">
        <v>0</v>
      </c>
      <c r="Q1132" s="4">
        <v>0</v>
      </c>
      <c r="S1132" s="8">
        <f t="shared" si="51"/>
        <v>0</v>
      </c>
      <c r="T1132" s="8">
        <f t="shared" si="52"/>
        <v>0</v>
      </c>
      <c r="U1132" s="9" t="e">
        <f t="shared" si="53"/>
        <v>#DIV/0!</v>
      </c>
    </row>
    <row r="1133" spans="1:22" outlineLevel="2">
      <c r="A1133" t="s">
        <v>376</v>
      </c>
      <c r="B1133" t="s">
        <v>291</v>
      </c>
      <c r="C1133" t="s">
        <v>47</v>
      </c>
      <c r="D1133" t="s">
        <v>48</v>
      </c>
      <c r="E1133" s="4">
        <v>0</v>
      </c>
      <c r="F1133" s="4">
        <v>0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S1133" s="8">
        <f t="shared" si="51"/>
        <v>0</v>
      </c>
      <c r="T1133" s="8">
        <f t="shared" si="52"/>
        <v>0</v>
      </c>
      <c r="U1133" s="9" t="e">
        <f t="shared" si="53"/>
        <v>#DIV/0!</v>
      </c>
    </row>
    <row r="1134" spans="1:22" outlineLevel="2">
      <c r="A1134" t="s">
        <v>376</v>
      </c>
      <c r="B1134" t="s">
        <v>291</v>
      </c>
      <c r="C1134" t="s">
        <v>59</v>
      </c>
      <c r="D1134" t="s">
        <v>60</v>
      </c>
      <c r="E1134" s="4">
        <v>0</v>
      </c>
      <c r="F1134" s="4">
        <v>0</v>
      </c>
      <c r="G1134" s="4">
        <v>0</v>
      </c>
      <c r="H1134" s="4">
        <v>0</v>
      </c>
      <c r="I1134" s="4">
        <v>0</v>
      </c>
      <c r="J1134" s="4">
        <v>0</v>
      </c>
      <c r="K1134" s="4">
        <v>0</v>
      </c>
      <c r="L1134" s="4">
        <v>0</v>
      </c>
      <c r="M1134" s="4">
        <v>0</v>
      </c>
      <c r="N1134" s="4">
        <v>0</v>
      </c>
      <c r="O1134" s="4">
        <v>0</v>
      </c>
      <c r="P1134" s="4">
        <v>0</v>
      </c>
      <c r="Q1134" s="4">
        <v>0</v>
      </c>
      <c r="S1134" s="8">
        <f t="shared" si="51"/>
        <v>0</v>
      </c>
      <c r="T1134" s="8">
        <f t="shared" si="52"/>
        <v>0</v>
      </c>
      <c r="U1134" s="9" t="e">
        <f t="shared" si="53"/>
        <v>#DIV/0!</v>
      </c>
    </row>
    <row r="1135" spans="1:22" outlineLevel="2">
      <c r="A1135" t="s">
        <v>376</v>
      </c>
      <c r="B1135" t="s">
        <v>291</v>
      </c>
      <c r="C1135" t="s">
        <v>63</v>
      </c>
      <c r="D1135" t="s">
        <v>64</v>
      </c>
      <c r="E1135" s="4">
        <v>0</v>
      </c>
      <c r="F1135" s="4">
        <v>0</v>
      </c>
      <c r="G1135" s="4">
        <v>0</v>
      </c>
      <c r="H1135" s="4">
        <v>0</v>
      </c>
      <c r="I1135" s="4">
        <v>0</v>
      </c>
      <c r="J1135" s="4">
        <v>0</v>
      </c>
      <c r="K1135" s="4">
        <v>2.4158453015843406E-13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  <c r="Q1135" s="4">
        <v>0</v>
      </c>
      <c r="S1135" s="8">
        <f t="shared" si="51"/>
        <v>0</v>
      </c>
      <c r="T1135" s="8">
        <f t="shared" si="52"/>
        <v>0</v>
      </c>
      <c r="U1135" s="9" t="e">
        <f t="shared" si="53"/>
        <v>#DIV/0!</v>
      </c>
    </row>
    <row r="1136" spans="1:22" outlineLevel="1">
      <c r="A1136" s="1" t="s">
        <v>746</v>
      </c>
      <c r="E1136" s="4">
        <f>SUBTOTAL(9,E1132:E1135)</f>
        <v>0</v>
      </c>
      <c r="F1136" s="4">
        <f>SUBTOTAL(9,F1132:F1135)</f>
        <v>0</v>
      </c>
      <c r="G1136" s="4">
        <f>SUBTOTAL(9,G1132:G1135)</f>
        <v>0</v>
      </c>
      <c r="H1136" s="4">
        <f>SUBTOTAL(9,H1132:H1135)</f>
        <v>0</v>
      </c>
      <c r="I1136" s="4">
        <f>SUBTOTAL(9,I1132:I1135)</f>
        <v>0</v>
      </c>
      <c r="J1136" s="4">
        <f>SUBTOTAL(9,J1132:J1135)</f>
        <v>0</v>
      </c>
      <c r="K1136" s="4">
        <f>SUBTOTAL(9,K1132:K1135)</f>
        <v>2.4158453015843406E-13</v>
      </c>
      <c r="L1136" s="4">
        <f>SUBTOTAL(9,L1132:L1135)</f>
        <v>0</v>
      </c>
      <c r="M1136" s="4">
        <f>SUBTOTAL(9,M1132:M1135)</f>
        <v>0</v>
      </c>
      <c r="N1136" s="4">
        <f>SUBTOTAL(9,N1132:N1135)</f>
        <v>0</v>
      </c>
      <c r="O1136" s="4">
        <f>SUBTOTAL(9,O1132:O1135)</f>
        <v>0</v>
      </c>
      <c r="P1136" s="4">
        <f>SUBTOTAL(9,P1132:P1135)</f>
        <v>0</v>
      </c>
      <c r="Q1136" s="4">
        <f>SUBTOTAL(9,Q1132:Q1135)</f>
        <v>0</v>
      </c>
      <c r="R1136" s="4">
        <f>SUBTOTAL(9,R1132:R1135)</f>
        <v>0</v>
      </c>
      <c r="S1136" s="8">
        <f t="shared" si="51"/>
        <v>0</v>
      </c>
      <c r="T1136" s="8">
        <f t="shared" si="52"/>
        <v>0</v>
      </c>
      <c r="U1136" s="9" t="e">
        <f t="shared" si="53"/>
        <v>#DIV/0!</v>
      </c>
    </row>
    <row r="1137" spans="1:22" outlineLevel="2">
      <c r="A1137" t="s">
        <v>377</v>
      </c>
      <c r="B1137" t="s">
        <v>378</v>
      </c>
      <c r="C1137" t="s">
        <v>21</v>
      </c>
      <c r="D1137" t="s">
        <v>22</v>
      </c>
      <c r="E1137" s="4">
        <v>0</v>
      </c>
      <c r="F1137" s="4">
        <v>0</v>
      </c>
      <c r="G1137" s="4">
        <v>0</v>
      </c>
      <c r="H1137" s="4">
        <v>109.80000000000001</v>
      </c>
      <c r="I1137" s="4">
        <v>0</v>
      </c>
      <c r="J1137" s="4">
        <v>0</v>
      </c>
      <c r="K1137" s="4">
        <v>0</v>
      </c>
      <c r="L1137" s="4">
        <v>0</v>
      </c>
      <c r="M1137" s="4">
        <v>122.79999999999998</v>
      </c>
      <c r="N1137" s="4">
        <v>49.85</v>
      </c>
      <c r="O1137" s="4">
        <v>0</v>
      </c>
      <c r="P1137" s="4">
        <v>605.56000000000006</v>
      </c>
      <c r="Q1137" s="4">
        <v>524.81000000000006</v>
      </c>
      <c r="R1137" s="4">
        <v>-524.80999999999995</v>
      </c>
      <c r="S1137" s="8">
        <f t="shared" si="51"/>
        <v>217.17</v>
      </c>
      <c r="T1137" s="8">
        <f t="shared" si="52"/>
        <v>-741.9799999999999</v>
      </c>
      <c r="U1137" s="9">
        <f t="shared" si="53"/>
        <v>-3.4165860846341571</v>
      </c>
    </row>
    <row r="1138" spans="1:22" outlineLevel="2">
      <c r="A1138" t="s">
        <v>377</v>
      </c>
      <c r="B1138" t="s">
        <v>378</v>
      </c>
      <c r="C1138" t="s">
        <v>23</v>
      </c>
      <c r="D1138" t="s">
        <v>24</v>
      </c>
      <c r="E1138" s="4">
        <v>0</v>
      </c>
      <c r="F1138" s="4">
        <v>0</v>
      </c>
      <c r="G1138" s="4">
        <v>0</v>
      </c>
      <c r="H1138" s="4">
        <v>1306.8899999999999</v>
      </c>
      <c r="I1138" s="4">
        <v>185.42999999999998</v>
      </c>
      <c r="J1138" s="4">
        <v>0</v>
      </c>
      <c r="K1138" s="4">
        <v>965.99000000000024</v>
      </c>
      <c r="L1138" s="4">
        <v>0</v>
      </c>
      <c r="M1138" s="4">
        <v>262.33</v>
      </c>
      <c r="N1138" s="4">
        <v>144.79</v>
      </c>
      <c r="O1138" s="4">
        <v>21.28</v>
      </c>
      <c r="P1138" s="4">
        <v>1670.6499999999994</v>
      </c>
      <c r="Q1138" s="4">
        <v>1724.2099999999998</v>
      </c>
      <c r="R1138" s="4">
        <v>-1724.21</v>
      </c>
      <c r="S1138" s="8">
        <f t="shared" si="51"/>
        <v>637.20999999999992</v>
      </c>
      <c r="T1138" s="8">
        <f t="shared" si="52"/>
        <v>-2361.42</v>
      </c>
      <c r="U1138" s="9">
        <f t="shared" si="53"/>
        <v>-3.7058740446634553</v>
      </c>
    </row>
    <row r="1139" spans="1:22" outlineLevel="2">
      <c r="A1139" t="s">
        <v>377</v>
      </c>
      <c r="B1139" t="s">
        <v>378</v>
      </c>
      <c r="C1139" t="s">
        <v>25</v>
      </c>
      <c r="D1139" t="s">
        <v>26</v>
      </c>
      <c r="E1139" s="4">
        <v>0</v>
      </c>
      <c r="F1139" s="4">
        <v>0</v>
      </c>
      <c r="G1139" s="4">
        <v>0</v>
      </c>
      <c r="H1139" s="4">
        <v>0</v>
      </c>
      <c r="I1139" s="4">
        <v>0</v>
      </c>
      <c r="J1139" s="4">
        <v>0</v>
      </c>
      <c r="K1139" s="4">
        <v>0</v>
      </c>
      <c r="L1139" s="4">
        <v>0</v>
      </c>
      <c r="M1139" s="4">
        <v>965.5</v>
      </c>
      <c r="N1139" s="4">
        <v>0</v>
      </c>
      <c r="O1139" s="4">
        <v>716.4899999999999</v>
      </c>
      <c r="P1139" s="4">
        <v>2622.5400000000013</v>
      </c>
      <c r="Q1139" s="4">
        <v>1305.7200000000003</v>
      </c>
      <c r="R1139" s="4">
        <v>-1305.72</v>
      </c>
      <c r="S1139" s="8">
        <f t="shared" si="51"/>
        <v>935.04166666666686</v>
      </c>
      <c r="T1139" s="8">
        <f t="shared" si="52"/>
        <v>-2240.7616666666668</v>
      </c>
      <c r="U1139" s="9">
        <f t="shared" si="53"/>
        <v>-2.396429749119914</v>
      </c>
    </row>
    <row r="1140" spans="1:22" outlineLevel="2">
      <c r="A1140" t="s">
        <v>377</v>
      </c>
      <c r="B1140" t="s">
        <v>378</v>
      </c>
      <c r="C1140" t="s">
        <v>27</v>
      </c>
      <c r="D1140" t="s">
        <v>28</v>
      </c>
      <c r="E1140" s="4">
        <v>0</v>
      </c>
      <c r="F1140" s="4">
        <v>0</v>
      </c>
      <c r="G1140" s="4">
        <v>0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597.96</v>
      </c>
      <c r="N1140" s="4">
        <v>693.56</v>
      </c>
      <c r="O1140" s="4">
        <v>1407.71</v>
      </c>
      <c r="P1140" s="4">
        <v>3461.69</v>
      </c>
      <c r="Q1140" s="4">
        <v>2989.9500000000003</v>
      </c>
      <c r="R1140" s="4">
        <v>-2989.9500000000003</v>
      </c>
      <c r="S1140" s="8">
        <f t="shared" si="51"/>
        <v>1525.1450000000002</v>
      </c>
      <c r="T1140" s="8">
        <f t="shared" si="52"/>
        <v>-4515.0950000000003</v>
      </c>
      <c r="U1140" s="9">
        <f t="shared" si="53"/>
        <v>-2.9604365486560291</v>
      </c>
    </row>
    <row r="1141" spans="1:22" outlineLevel="2">
      <c r="A1141" t="s">
        <v>377</v>
      </c>
      <c r="B1141" t="s">
        <v>378</v>
      </c>
      <c r="C1141" t="s">
        <v>33</v>
      </c>
      <c r="D1141" t="s">
        <v>34</v>
      </c>
      <c r="E1141" s="4">
        <v>0</v>
      </c>
      <c r="F1141" s="4">
        <v>0</v>
      </c>
      <c r="G1141" s="4">
        <v>0</v>
      </c>
      <c r="H1141" s="4">
        <v>0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100</v>
      </c>
      <c r="O1141" s="4">
        <v>0</v>
      </c>
      <c r="P1141" s="4">
        <v>0</v>
      </c>
      <c r="Q1141" s="4">
        <v>1655</v>
      </c>
      <c r="R1141" s="4">
        <v>-1655</v>
      </c>
      <c r="S1141" s="8">
        <f t="shared" si="51"/>
        <v>292.5</v>
      </c>
      <c r="T1141" s="8">
        <f t="shared" si="52"/>
        <v>-1947.5</v>
      </c>
      <c r="U1141" s="9">
        <f t="shared" si="53"/>
        <v>-6.6581196581196584</v>
      </c>
    </row>
    <row r="1142" spans="1:22" outlineLevel="2">
      <c r="A1142" t="s">
        <v>377</v>
      </c>
      <c r="B1142" t="s">
        <v>378</v>
      </c>
      <c r="C1142" t="s">
        <v>89</v>
      </c>
      <c r="D1142" t="s">
        <v>90</v>
      </c>
      <c r="E1142" s="4">
        <v>0</v>
      </c>
      <c r="F1142" s="4">
        <v>0</v>
      </c>
      <c r="G1142" s="4">
        <v>0</v>
      </c>
      <c r="H1142" s="4">
        <v>0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  <c r="N1142" s="4">
        <v>0</v>
      </c>
      <c r="O1142" s="4">
        <v>0</v>
      </c>
      <c r="P1142" s="4">
        <v>8950</v>
      </c>
      <c r="Q1142" s="4">
        <v>0</v>
      </c>
      <c r="S1142" s="8">
        <f t="shared" si="51"/>
        <v>1491.6666666666667</v>
      </c>
      <c r="T1142" s="8">
        <f t="shared" si="52"/>
        <v>-1491.6666666666667</v>
      </c>
      <c r="U1142" s="9">
        <f t="shared" si="53"/>
        <v>-1</v>
      </c>
    </row>
    <row r="1143" spans="1:22" outlineLevel="2">
      <c r="A1143" t="s">
        <v>377</v>
      </c>
      <c r="B1143" t="s">
        <v>378</v>
      </c>
      <c r="C1143" t="s">
        <v>101</v>
      </c>
      <c r="D1143" t="s">
        <v>102</v>
      </c>
      <c r="E1143" s="4">
        <v>0</v>
      </c>
      <c r="F1143" s="4">
        <v>0</v>
      </c>
      <c r="G1143" s="4">
        <v>0</v>
      </c>
      <c r="H1143" s="4">
        <v>0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  <c r="Q1143" s="4">
        <v>8208.68</v>
      </c>
      <c r="S1143" s="8">
        <f t="shared" si="51"/>
        <v>1368.1133333333335</v>
      </c>
      <c r="T1143" s="8">
        <f t="shared" si="52"/>
        <v>-1368.1133333333335</v>
      </c>
      <c r="U1143" s="9">
        <f t="shared" si="53"/>
        <v>-1</v>
      </c>
    </row>
    <row r="1144" spans="1:22" outlineLevel="2">
      <c r="A1144" t="s">
        <v>377</v>
      </c>
      <c r="B1144" t="s">
        <v>378</v>
      </c>
      <c r="C1144" t="s">
        <v>111</v>
      </c>
      <c r="D1144" t="s">
        <v>112</v>
      </c>
      <c r="E1144" s="4">
        <v>0</v>
      </c>
      <c r="F1144" s="4">
        <v>0</v>
      </c>
      <c r="G1144" s="4">
        <v>0</v>
      </c>
      <c r="H1144" s="4">
        <v>0</v>
      </c>
      <c r="I1144" s="4">
        <v>0</v>
      </c>
      <c r="J1144" s="4">
        <v>0</v>
      </c>
      <c r="K1144" s="4">
        <v>0</v>
      </c>
      <c r="L1144" s="4">
        <v>0</v>
      </c>
      <c r="M1144" s="4">
        <v>0</v>
      </c>
      <c r="N1144" s="4">
        <v>0</v>
      </c>
      <c r="O1144" s="4">
        <v>0</v>
      </c>
      <c r="P1144" s="4">
        <v>55000</v>
      </c>
      <c r="Q1144" s="4">
        <v>0</v>
      </c>
      <c r="S1144" s="8">
        <f t="shared" si="51"/>
        <v>9166.6666666666661</v>
      </c>
      <c r="T1144" s="8">
        <f t="shared" si="52"/>
        <v>-9166.6666666666661</v>
      </c>
      <c r="U1144" s="9">
        <f t="shared" si="53"/>
        <v>-1</v>
      </c>
    </row>
    <row r="1145" spans="1:22" outlineLevel="2">
      <c r="A1145" t="s">
        <v>377</v>
      </c>
      <c r="B1145" t="s">
        <v>378</v>
      </c>
      <c r="C1145" t="s">
        <v>236</v>
      </c>
      <c r="D1145" t="s">
        <v>237</v>
      </c>
      <c r="E1145" s="4">
        <v>-61484.59</v>
      </c>
      <c r="F1145" s="4">
        <v>212864.22</v>
      </c>
      <c r="G1145" s="4">
        <v>148303.87</v>
      </c>
      <c r="H1145" s="4">
        <v>58455.200000000012</v>
      </c>
      <c r="I1145" s="4">
        <v>72135.520000000019</v>
      </c>
      <c r="J1145" s="4">
        <v>153179.26</v>
      </c>
      <c r="K1145" s="4">
        <v>49513.109999999986</v>
      </c>
      <c r="L1145" s="4">
        <v>42905.239999999991</v>
      </c>
      <c r="M1145" s="4">
        <v>101523.47999999998</v>
      </c>
      <c r="N1145" s="4">
        <v>52678.420000000013</v>
      </c>
      <c r="O1145" s="4">
        <v>47909.279999999999</v>
      </c>
      <c r="P1145" s="4">
        <v>28701.429999999993</v>
      </c>
      <c r="Q1145" s="4">
        <v>38926.560000000005</v>
      </c>
      <c r="R1145" s="4">
        <v>-67627.990000000005</v>
      </c>
      <c r="S1145" s="8">
        <f t="shared" si="51"/>
        <v>52107.401666666665</v>
      </c>
      <c r="T1145" s="8">
        <f t="shared" si="52"/>
        <v>-119735.39166666666</v>
      </c>
      <c r="U1145" s="9">
        <f t="shared" si="53"/>
        <v>-2.2978576524045322</v>
      </c>
      <c r="V1145" t="s">
        <v>897</v>
      </c>
    </row>
    <row r="1146" spans="1:22" outlineLevel="1">
      <c r="A1146" s="1" t="s">
        <v>747</v>
      </c>
      <c r="E1146" s="4">
        <f>SUBTOTAL(9,E1137:E1145)</f>
        <v>-61484.59</v>
      </c>
      <c r="F1146" s="4">
        <f>SUBTOTAL(9,F1137:F1145)</f>
        <v>212864.22</v>
      </c>
      <c r="G1146" s="4">
        <f>SUBTOTAL(9,G1137:G1145)</f>
        <v>148303.87</v>
      </c>
      <c r="H1146" s="4">
        <f>SUBTOTAL(9,H1137:H1145)</f>
        <v>59871.890000000014</v>
      </c>
      <c r="I1146" s="4">
        <f>SUBTOTAL(9,I1137:I1145)</f>
        <v>72320.950000000012</v>
      </c>
      <c r="J1146" s="4">
        <f>SUBTOTAL(9,J1137:J1145)</f>
        <v>153179.26</v>
      </c>
      <c r="K1146" s="4">
        <f>SUBTOTAL(9,K1137:K1145)</f>
        <v>50479.099999999984</v>
      </c>
      <c r="L1146" s="4">
        <f>SUBTOTAL(9,L1137:L1145)</f>
        <v>42905.239999999991</v>
      </c>
      <c r="M1146" s="4">
        <f>SUBTOTAL(9,M1137:M1145)</f>
        <v>103472.06999999998</v>
      </c>
      <c r="N1146" s="4">
        <f>SUBTOTAL(9,N1137:N1145)</f>
        <v>53666.62000000001</v>
      </c>
      <c r="O1146" s="4">
        <f>SUBTOTAL(9,O1137:O1145)</f>
        <v>50054.76</v>
      </c>
      <c r="P1146" s="4">
        <f>SUBTOTAL(9,P1137:P1145)</f>
        <v>101011.87</v>
      </c>
      <c r="Q1146" s="4">
        <f>SUBTOTAL(9,Q1137:Q1145)</f>
        <v>55334.930000000008</v>
      </c>
      <c r="R1146" s="4">
        <f>SUBTOTAL(9,R1137:R1145)</f>
        <v>-75827.680000000008</v>
      </c>
      <c r="S1146" s="8">
        <f t="shared" si="51"/>
        <v>67740.914999999994</v>
      </c>
      <c r="T1146" s="8">
        <f t="shared" si="52"/>
        <v>-143568.595</v>
      </c>
      <c r="U1146" s="9">
        <f t="shared" si="53"/>
        <v>-2.119377853103992</v>
      </c>
      <c r="V1146" t="s">
        <v>897</v>
      </c>
    </row>
    <row r="1147" spans="1:22" outlineLevel="2">
      <c r="A1147" t="s">
        <v>379</v>
      </c>
      <c r="B1147" t="s">
        <v>380</v>
      </c>
      <c r="C1147" t="s">
        <v>196</v>
      </c>
      <c r="D1147" t="s">
        <v>197</v>
      </c>
      <c r="E1147" s="4">
        <v>0</v>
      </c>
      <c r="F1147" s="4">
        <v>0</v>
      </c>
      <c r="G1147" s="4">
        <v>0</v>
      </c>
      <c r="H1147" s="4">
        <v>128.23000000000002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S1147" s="8">
        <f t="shared" si="51"/>
        <v>0</v>
      </c>
      <c r="T1147" s="8">
        <f t="shared" si="52"/>
        <v>0</v>
      </c>
      <c r="U1147" s="9" t="e">
        <f t="shared" si="53"/>
        <v>#DIV/0!</v>
      </c>
    </row>
    <row r="1148" spans="1:22" outlineLevel="1">
      <c r="A1148" s="1" t="s">
        <v>748</v>
      </c>
      <c r="E1148" s="4">
        <f>SUBTOTAL(9,E1147:E1147)</f>
        <v>0</v>
      </c>
      <c r="F1148" s="4">
        <f>SUBTOTAL(9,F1147:F1147)</f>
        <v>0</v>
      </c>
      <c r="G1148" s="4">
        <f>SUBTOTAL(9,G1147:G1147)</f>
        <v>0</v>
      </c>
      <c r="H1148" s="4">
        <f>SUBTOTAL(9,H1147:H1147)</f>
        <v>128.23000000000002</v>
      </c>
      <c r="I1148" s="4">
        <f>SUBTOTAL(9,I1147:I1147)</f>
        <v>0</v>
      </c>
      <c r="J1148" s="4">
        <f>SUBTOTAL(9,J1147:J1147)</f>
        <v>0</v>
      </c>
      <c r="K1148" s="4">
        <f>SUBTOTAL(9,K1147:K1147)</f>
        <v>0</v>
      </c>
      <c r="L1148" s="4">
        <f>SUBTOTAL(9,L1147:L1147)</f>
        <v>0</v>
      </c>
      <c r="M1148" s="4">
        <f>SUBTOTAL(9,M1147:M1147)</f>
        <v>0</v>
      </c>
      <c r="N1148" s="4">
        <f>SUBTOTAL(9,N1147:N1147)</f>
        <v>0</v>
      </c>
      <c r="O1148" s="4">
        <f>SUBTOTAL(9,O1147:O1147)</f>
        <v>0</v>
      </c>
      <c r="P1148" s="4">
        <f>SUBTOTAL(9,P1147:P1147)</f>
        <v>0</v>
      </c>
      <c r="Q1148" s="4">
        <f>SUBTOTAL(9,Q1147:Q1147)</f>
        <v>0</v>
      </c>
      <c r="R1148" s="4">
        <f>SUBTOTAL(9,R1147:R1147)</f>
        <v>0</v>
      </c>
      <c r="S1148" s="8">
        <f t="shared" si="51"/>
        <v>0</v>
      </c>
      <c r="T1148" s="8">
        <f t="shared" si="52"/>
        <v>0</v>
      </c>
      <c r="U1148" s="9" t="e">
        <f t="shared" si="53"/>
        <v>#DIV/0!</v>
      </c>
    </row>
    <row r="1149" spans="1:22" outlineLevel="2">
      <c r="A1149" t="s">
        <v>381</v>
      </c>
      <c r="B1149" t="s">
        <v>382</v>
      </c>
      <c r="C1149" t="s">
        <v>21</v>
      </c>
      <c r="D1149" t="s">
        <v>22</v>
      </c>
      <c r="E1149" s="4">
        <v>0</v>
      </c>
      <c r="F1149" s="4">
        <v>0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207.55</v>
      </c>
      <c r="O1149" s="4">
        <v>0</v>
      </c>
      <c r="P1149" s="4">
        <v>0</v>
      </c>
      <c r="Q1149" s="4">
        <v>0</v>
      </c>
      <c r="R1149" s="4">
        <v>0</v>
      </c>
      <c r="S1149" s="8">
        <f t="shared" si="51"/>
        <v>34.591666666666669</v>
      </c>
      <c r="T1149" s="8">
        <f t="shared" si="52"/>
        <v>-34.591666666666669</v>
      </c>
      <c r="U1149" s="9">
        <f t="shared" si="53"/>
        <v>-1</v>
      </c>
    </row>
    <row r="1150" spans="1:22" outlineLevel="2">
      <c r="A1150" t="s">
        <v>381</v>
      </c>
      <c r="B1150" t="s">
        <v>382</v>
      </c>
      <c r="C1150" t="s">
        <v>136</v>
      </c>
      <c r="D1150" t="s">
        <v>137</v>
      </c>
      <c r="E1150" s="4">
        <v>16456.04</v>
      </c>
      <c r="F1150" s="4">
        <v>16380.35</v>
      </c>
      <c r="G1150" s="4">
        <v>15844.16</v>
      </c>
      <c r="H1150" s="4">
        <v>16231.28</v>
      </c>
      <c r="I1150" s="4">
        <v>16729.600000000002</v>
      </c>
      <c r="J1150" s="4">
        <v>7942.38</v>
      </c>
      <c r="K1150" s="4">
        <v>0</v>
      </c>
      <c r="L1150" s="4">
        <v>0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S1150" s="8">
        <f t="shared" si="51"/>
        <v>0</v>
      </c>
      <c r="T1150" s="8">
        <f t="shared" si="52"/>
        <v>0</v>
      </c>
      <c r="U1150" s="9" t="e">
        <f t="shared" si="53"/>
        <v>#DIV/0!</v>
      </c>
    </row>
    <row r="1151" spans="1:22" outlineLevel="2">
      <c r="A1151" t="s">
        <v>381</v>
      </c>
      <c r="B1151" t="s">
        <v>382</v>
      </c>
      <c r="C1151" t="s">
        <v>148</v>
      </c>
      <c r="D1151" t="s">
        <v>149</v>
      </c>
      <c r="E1151" s="4">
        <v>4300.8600000000006</v>
      </c>
      <c r="F1151" s="4">
        <v>4293.28</v>
      </c>
      <c r="G1151" s="4">
        <v>4152.75</v>
      </c>
      <c r="H1151" s="4">
        <v>4205.88</v>
      </c>
      <c r="I1151" s="4">
        <v>4372.3499999999995</v>
      </c>
      <c r="J1151" s="4">
        <v>2069.98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S1151" s="8">
        <f t="shared" si="51"/>
        <v>0</v>
      </c>
      <c r="T1151" s="8">
        <f t="shared" si="52"/>
        <v>0</v>
      </c>
      <c r="U1151" s="9" t="e">
        <f t="shared" si="53"/>
        <v>#DIV/0!</v>
      </c>
    </row>
    <row r="1152" spans="1:22" outlineLevel="2">
      <c r="A1152" t="s">
        <v>381</v>
      </c>
      <c r="B1152" t="s">
        <v>382</v>
      </c>
      <c r="C1152" t="s">
        <v>150</v>
      </c>
      <c r="D1152" t="s">
        <v>151</v>
      </c>
      <c r="E1152" s="4">
        <v>0</v>
      </c>
      <c r="F1152" s="4">
        <v>0</v>
      </c>
      <c r="G1152" s="4">
        <v>19385.150000000001</v>
      </c>
      <c r="H1152" s="4">
        <v>20818.060000000001</v>
      </c>
      <c r="I1152" s="4">
        <v>9107.9</v>
      </c>
      <c r="J1152" s="4">
        <v>136958.21</v>
      </c>
      <c r="K1152" s="4">
        <v>278.14</v>
      </c>
      <c r="L1152" s="4">
        <v>278.14</v>
      </c>
      <c r="M1152" s="4">
        <v>278.14</v>
      </c>
      <c r="N1152" s="4">
        <v>262.83999999999997</v>
      </c>
      <c r="O1152" s="4">
        <v>262.83999999999997</v>
      </c>
      <c r="P1152" s="4">
        <v>-32323.3</v>
      </c>
      <c r="Q1152" s="4">
        <v>0</v>
      </c>
      <c r="R1152" s="4">
        <v>327.22000000000003</v>
      </c>
      <c r="S1152" s="8">
        <f t="shared" si="51"/>
        <v>-5206.8900000000003</v>
      </c>
      <c r="T1152" s="8">
        <f t="shared" si="52"/>
        <v>5534.1100000000006</v>
      </c>
      <c r="U1152" s="9">
        <f t="shared" si="53"/>
        <v>-1.0628436552337384</v>
      </c>
    </row>
    <row r="1153" spans="1:22" outlineLevel="2">
      <c r="A1153" t="s">
        <v>381</v>
      </c>
      <c r="B1153" t="s">
        <v>382</v>
      </c>
      <c r="C1153" t="s">
        <v>152</v>
      </c>
      <c r="D1153" t="s">
        <v>153</v>
      </c>
      <c r="E1153" s="4">
        <v>1010.57</v>
      </c>
      <c r="F1153" s="4">
        <v>1006.6</v>
      </c>
      <c r="G1153" s="4">
        <v>973.65</v>
      </c>
      <c r="H1153" s="4">
        <v>995.09</v>
      </c>
      <c r="I1153" s="4">
        <v>1027.45</v>
      </c>
      <c r="J1153" s="4">
        <v>628.78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S1153" s="8">
        <f t="shared" si="51"/>
        <v>0</v>
      </c>
      <c r="T1153" s="8">
        <f t="shared" si="52"/>
        <v>0</v>
      </c>
      <c r="U1153" s="9" t="e">
        <f t="shared" si="53"/>
        <v>#DIV/0!</v>
      </c>
    </row>
    <row r="1154" spans="1:22" outlineLevel="2">
      <c r="A1154" t="s">
        <v>381</v>
      </c>
      <c r="B1154" t="s">
        <v>382</v>
      </c>
      <c r="C1154" t="s">
        <v>158</v>
      </c>
      <c r="D1154" t="s">
        <v>159</v>
      </c>
      <c r="E1154" s="4">
        <v>0</v>
      </c>
      <c r="F1154" s="4">
        <v>0</v>
      </c>
      <c r="G1154" s="4">
        <v>34750.32</v>
      </c>
      <c r="H1154" s="4">
        <v>0</v>
      </c>
      <c r="I1154" s="4">
        <v>0</v>
      </c>
      <c r="J1154" s="4">
        <v>-60343.93</v>
      </c>
      <c r="K1154" s="4">
        <v>0</v>
      </c>
      <c r="L1154" s="4">
        <v>0</v>
      </c>
      <c r="M1154" s="4">
        <v>2754.74</v>
      </c>
      <c r="N1154" s="4">
        <v>0</v>
      </c>
      <c r="O1154" s="4">
        <v>0</v>
      </c>
      <c r="P1154" s="4">
        <v>2787.52</v>
      </c>
      <c r="Q1154" s="4">
        <v>0</v>
      </c>
      <c r="S1154" s="8">
        <f t="shared" si="51"/>
        <v>923.71</v>
      </c>
      <c r="T1154" s="8">
        <f t="shared" si="52"/>
        <v>-923.71</v>
      </c>
      <c r="U1154" s="9">
        <f t="shared" si="53"/>
        <v>-1</v>
      </c>
    </row>
    <row r="1155" spans="1:22" outlineLevel="2">
      <c r="A1155" t="s">
        <v>381</v>
      </c>
      <c r="B1155" t="s">
        <v>382</v>
      </c>
      <c r="C1155" t="s">
        <v>47</v>
      </c>
      <c r="D1155" t="s">
        <v>48</v>
      </c>
      <c r="E1155" s="4">
        <v>-1273.9000000000001</v>
      </c>
      <c r="F1155" s="4">
        <v>0</v>
      </c>
      <c r="G1155" s="4">
        <v>0</v>
      </c>
      <c r="H1155" s="4">
        <v>0</v>
      </c>
      <c r="I1155" s="4">
        <v>0</v>
      </c>
      <c r="J1155" s="4">
        <v>0</v>
      </c>
      <c r="K1155" s="4">
        <v>0</v>
      </c>
      <c r="L1155" s="4">
        <v>-3305.33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S1155" s="8">
        <f t="shared" ref="S1155:S1218" si="54">AVERAGE(L1155:Q1155)</f>
        <v>-550.88833333333332</v>
      </c>
      <c r="T1155" s="8">
        <f t="shared" ref="T1155:T1218" si="55">R1155-S1155</f>
        <v>550.88833333333332</v>
      </c>
      <c r="U1155" s="9">
        <f t="shared" ref="U1155:U1218" si="56">(R1155-S1155)/S1155</f>
        <v>-1</v>
      </c>
    </row>
    <row r="1156" spans="1:22" outlineLevel="2">
      <c r="A1156" t="s">
        <v>381</v>
      </c>
      <c r="B1156" t="s">
        <v>382</v>
      </c>
      <c r="C1156" t="s">
        <v>93</v>
      </c>
      <c r="D1156" t="s">
        <v>94</v>
      </c>
      <c r="E1156" s="4">
        <v>0</v>
      </c>
      <c r="F1156" s="4">
        <v>0</v>
      </c>
      <c r="G1156" s="4">
        <v>0</v>
      </c>
      <c r="H1156" s="4">
        <v>0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v>475</v>
      </c>
      <c r="R1156" s="4">
        <v>-475</v>
      </c>
      <c r="S1156" s="8">
        <f t="shared" si="54"/>
        <v>79.166666666666671</v>
      </c>
      <c r="T1156" s="8">
        <f t="shared" si="55"/>
        <v>-554.16666666666663</v>
      </c>
      <c r="U1156" s="9">
        <f t="shared" si="56"/>
        <v>-6.9999999999999991</v>
      </c>
    </row>
    <row r="1157" spans="1:22" outlineLevel="2">
      <c r="A1157" t="s">
        <v>381</v>
      </c>
      <c r="B1157" t="s">
        <v>382</v>
      </c>
      <c r="C1157" t="s">
        <v>101</v>
      </c>
      <c r="D1157" t="s">
        <v>102</v>
      </c>
      <c r="E1157" s="4">
        <v>0</v>
      </c>
      <c r="F1157" s="4">
        <v>0</v>
      </c>
      <c r="G1157" s="4">
        <v>0</v>
      </c>
      <c r="H1157" s="4">
        <v>0</v>
      </c>
      <c r="I1157" s="4">
        <v>0</v>
      </c>
      <c r="J1157" s="4">
        <v>0</v>
      </c>
      <c r="K1157" s="4">
        <v>0</v>
      </c>
      <c r="L1157" s="4">
        <v>9104.5</v>
      </c>
      <c r="M1157" s="4">
        <v>4691.32</v>
      </c>
      <c r="N1157" s="4">
        <v>5060.5</v>
      </c>
      <c r="O1157" s="4">
        <v>5001.4399999999996</v>
      </c>
      <c r="P1157" s="4">
        <v>5114.17</v>
      </c>
      <c r="Q1157" s="4">
        <v>6008.14</v>
      </c>
      <c r="R1157" s="4">
        <v>-1845.22</v>
      </c>
      <c r="S1157" s="8">
        <f t="shared" si="54"/>
        <v>5830.0116666666663</v>
      </c>
      <c r="T1157" s="8">
        <f t="shared" si="55"/>
        <v>-7675.2316666666666</v>
      </c>
      <c r="U1157" s="9">
        <f t="shared" si="56"/>
        <v>-1.3165036547954307</v>
      </c>
    </row>
    <row r="1158" spans="1:22" outlineLevel="2">
      <c r="A1158" t="s">
        <v>381</v>
      </c>
      <c r="B1158" t="s">
        <v>382</v>
      </c>
      <c r="C1158" t="s">
        <v>170</v>
      </c>
      <c r="D1158" t="s">
        <v>171</v>
      </c>
      <c r="E1158" s="4">
        <v>97.7</v>
      </c>
      <c r="F1158" s="4">
        <v>97.3</v>
      </c>
      <c r="G1158" s="4">
        <v>94.12</v>
      </c>
      <c r="H1158" s="4">
        <v>96.19</v>
      </c>
      <c r="I1158" s="4">
        <v>99.32</v>
      </c>
      <c r="J1158" s="4">
        <v>47.09</v>
      </c>
      <c r="K1158" s="4">
        <v>0</v>
      </c>
      <c r="L1158" s="4">
        <v>0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S1158" s="8">
        <f t="shared" si="54"/>
        <v>0</v>
      </c>
      <c r="T1158" s="8">
        <f t="shared" si="55"/>
        <v>0</v>
      </c>
      <c r="U1158" s="9" t="e">
        <f t="shared" si="56"/>
        <v>#DIV/0!</v>
      </c>
    </row>
    <row r="1159" spans="1:22" outlineLevel="2">
      <c r="A1159" t="s">
        <v>381</v>
      </c>
      <c r="B1159" t="s">
        <v>382</v>
      </c>
      <c r="C1159" t="s">
        <v>236</v>
      </c>
      <c r="D1159" t="s">
        <v>237</v>
      </c>
      <c r="E1159" s="4">
        <v>61484.59</v>
      </c>
      <c r="F1159" s="4">
        <v>-212864.22</v>
      </c>
      <c r="G1159" s="4">
        <v>-148303.87</v>
      </c>
      <c r="H1159" s="4">
        <v>-58455.200000000012</v>
      </c>
      <c r="I1159" s="4">
        <v>-72135.520000000019</v>
      </c>
      <c r="J1159" s="4">
        <v>-153179.26</v>
      </c>
      <c r="K1159" s="4">
        <v>-49513.109999999986</v>
      </c>
      <c r="L1159" s="4">
        <v>-42905.239999999991</v>
      </c>
      <c r="M1159" s="4">
        <v>-101523.47999999998</v>
      </c>
      <c r="N1159" s="4">
        <v>-52678.420000000013</v>
      </c>
      <c r="O1159" s="4">
        <v>-47909.279999999999</v>
      </c>
      <c r="P1159" s="4">
        <v>-28701.429999999993</v>
      </c>
      <c r="Q1159" s="4">
        <v>-38926.560000000005</v>
      </c>
      <c r="R1159" s="4">
        <v>67627.990000000005</v>
      </c>
      <c r="S1159" s="8">
        <f t="shared" si="54"/>
        <v>-52107.401666666665</v>
      </c>
      <c r="T1159" s="8">
        <f t="shared" si="55"/>
        <v>119735.39166666666</v>
      </c>
      <c r="U1159" s="9">
        <f t="shared" si="56"/>
        <v>-2.2978576524045322</v>
      </c>
      <c r="V1159" t="s">
        <v>896</v>
      </c>
    </row>
    <row r="1160" spans="1:22" outlineLevel="2">
      <c r="A1160" t="s">
        <v>381</v>
      </c>
      <c r="B1160" t="s">
        <v>382</v>
      </c>
      <c r="C1160" t="s">
        <v>186</v>
      </c>
      <c r="D1160" t="s">
        <v>187</v>
      </c>
      <c r="E1160" s="4">
        <v>53.66</v>
      </c>
      <c r="F1160" s="4">
        <v>48.68</v>
      </c>
      <c r="G1160" s="4">
        <v>214.56</v>
      </c>
      <c r="H1160" s="4">
        <v>50.31</v>
      </c>
      <c r="I1160" s="4">
        <v>53.98</v>
      </c>
      <c r="J1160" s="4">
        <v>231.41</v>
      </c>
      <c r="K1160" s="4">
        <v>97.81</v>
      </c>
      <c r="L1160" s="4">
        <v>59.55</v>
      </c>
      <c r="M1160" s="4">
        <v>232.58</v>
      </c>
      <c r="N1160" s="4">
        <v>60.41</v>
      </c>
      <c r="O1160" s="4">
        <v>61.11</v>
      </c>
      <c r="P1160" s="4">
        <v>342.06</v>
      </c>
      <c r="Q1160" s="4">
        <v>66.58</v>
      </c>
      <c r="R1160" s="4">
        <v>58.47</v>
      </c>
      <c r="S1160" s="8">
        <f t="shared" si="54"/>
        <v>137.04833333333335</v>
      </c>
      <c r="T1160" s="8">
        <f t="shared" si="55"/>
        <v>-78.578333333333347</v>
      </c>
      <c r="U1160" s="9">
        <f t="shared" si="56"/>
        <v>-0.57336219581899339</v>
      </c>
    </row>
    <row r="1161" spans="1:22" outlineLevel="1">
      <c r="A1161" s="1" t="s">
        <v>749</v>
      </c>
      <c r="E1161" s="4">
        <f>SUBTOTAL(9,E1149:E1160)</f>
        <v>82129.52</v>
      </c>
      <c r="F1161" s="4">
        <f>SUBTOTAL(9,F1149:F1160)</f>
        <v>-191038.01</v>
      </c>
      <c r="G1161" s="4">
        <f>SUBTOTAL(9,G1149:G1160)</f>
        <v>-72889.16</v>
      </c>
      <c r="H1161" s="4">
        <f>SUBTOTAL(9,H1149:H1160)</f>
        <v>-16058.390000000012</v>
      </c>
      <c r="I1161" s="4">
        <f>SUBTOTAL(9,I1149:I1160)</f>
        <v>-40744.92000000002</v>
      </c>
      <c r="J1161" s="4">
        <f>SUBTOTAL(9,J1149:J1160)</f>
        <v>-65645.34</v>
      </c>
      <c r="K1161" s="4">
        <f>SUBTOTAL(9,K1149:K1160)</f>
        <v>-49137.159999999989</v>
      </c>
      <c r="L1161" s="4">
        <f>SUBTOTAL(9,L1149:L1160)</f>
        <v>-36768.37999999999</v>
      </c>
      <c r="M1161" s="4">
        <f>SUBTOTAL(9,M1149:M1160)</f>
        <v>-93566.699999999983</v>
      </c>
      <c r="N1161" s="4">
        <f>SUBTOTAL(9,N1149:N1160)</f>
        <v>-47087.12000000001</v>
      </c>
      <c r="O1161" s="4">
        <f>SUBTOTAL(9,O1149:O1160)</f>
        <v>-42583.89</v>
      </c>
      <c r="P1161" s="4">
        <f>SUBTOTAL(9,P1149:P1160)</f>
        <v>-52780.979999999996</v>
      </c>
      <c r="Q1161" s="4">
        <f>SUBTOTAL(9,Q1149:Q1160)</f>
        <v>-32376.840000000004</v>
      </c>
      <c r="R1161" s="4">
        <f>SUBTOTAL(9,R1149:R1160)</f>
        <v>65693.460000000006</v>
      </c>
      <c r="S1161" s="8">
        <f t="shared" si="54"/>
        <v>-50860.651666666665</v>
      </c>
      <c r="T1161" s="8">
        <f t="shared" si="55"/>
        <v>116554.11166666666</v>
      </c>
      <c r="U1161" s="9">
        <f t="shared" si="56"/>
        <v>-2.2916362226450695</v>
      </c>
      <c r="V1161" t="s">
        <v>896</v>
      </c>
    </row>
    <row r="1162" spans="1:22" outlineLevel="2">
      <c r="A1162" t="s">
        <v>383</v>
      </c>
      <c r="B1162" t="s">
        <v>384</v>
      </c>
      <c r="C1162" t="s">
        <v>21</v>
      </c>
      <c r="D1162" t="s">
        <v>22</v>
      </c>
      <c r="E1162" s="4">
        <v>1.4210854715202004E-14</v>
      </c>
      <c r="F1162" s="4">
        <v>0</v>
      </c>
      <c r="G1162" s="4">
        <v>0</v>
      </c>
      <c r="H1162" s="4">
        <v>0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S1162" s="8">
        <f t="shared" si="54"/>
        <v>0</v>
      </c>
      <c r="T1162" s="8">
        <f t="shared" si="55"/>
        <v>0</v>
      </c>
      <c r="U1162" s="9" t="e">
        <f t="shared" si="56"/>
        <v>#DIV/0!</v>
      </c>
    </row>
    <row r="1163" spans="1:22" outlineLevel="2">
      <c r="A1163" t="s">
        <v>383</v>
      </c>
      <c r="B1163" t="s">
        <v>384</v>
      </c>
      <c r="C1163" t="s">
        <v>33</v>
      </c>
      <c r="D1163" t="s">
        <v>34</v>
      </c>
      <c r="E1163" s="4">
        <v>0</v>
      </c>
      <c r="F1163" s="4">
        <v>0</v>
      </c>
      <c r="G1163" s="4">
        <v>0</v>
      </c>
      <c r="H1163" s="4">
        <v>135.04999999999995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S1163" s="8">
        <f t="shared" si="54"/>
        <v>0</v>
      </c>
      <c r="T1163" s="8">
        <f t="shared" si="55"/>
        <v>0</v>
      </c>
      <c r="U1163" s="9" t="e">
        <f t="shared" si="56"/>
        <v>#DIV/0!</v>
      </c>
    </row>
    <row r="1164" spans="1:22" outlineLevel="2">
      <c r="A1164" t="s">
        <v>383</v>
      </c>
      <c r="B1164" t="s">
        <v>384</v>
      </c>
      <c r="C1164" t="s">
        <v>93</v>
      </c>
      <c r="D1164" t="s">
        <v>94</v>
      </c>
      <c r="E1164" s="4">
        <v>0</v>
      </c>
      <c r="F1164" s="4">
        <v>0</v>
      </c>
      <c r="G1164" s="4">
        <v>0</v>
      </c>
      <c r="H1164" s="4">
        <v>0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S1164" s="8">
        <f t="shared" si="54"/>
        <v>0</v>
      </c>
      <c r="T1164" s="8">
        <f t="shared" si="55"/>
        <v>0</v>
      </c>
      <c r="U1164" s="9" t="e">
        <f t="shared" si="56"/>
        <v>#DIV/0!</v>
      </c>
    </row>
    <row r="1165" spans="1:22" outlineLevel="2">
      <c r="A1165" t="s">
        <v>383</v>
      </c>
      <c r="B1165" t="s">
        <v>384</v>
      </c>
      <c r="C1165" t="s">
        <v>127</v>
      </c>
      <c r="D1165" t="s">
        <v>120</v>
      </c>
      <c r="E1165" s="4">
        <v>-4.2632564145606011E-14</v>
      </c>
      <c r="F1165" s="4">
        <v>0</v>
      </c>
      <c r="G1165" s="4">
        <v>0</v>
      </c>
      <c r="H1165" s="4">
        <v>0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S1165" s="8">
        <f t="shared" si="54"/>
        <v>0</v>
      </c>
      <c r="T1165" s="8">
        <f t="shared" si="55"/>
        <v>0</v>
      </c>
      <c r="U1165" s="9" t="e">
        <f t="shared" si="56"/>
        <v>#DIV/0!</v>
      </c>
    </row>
    <row r="1166" spans="1:22" outlineLevel="1">
      <c r="A1166" s="1" t="s">
        <v>750</v>
      </c>
      <c r="E1166" s="4">
        <f>SUBTOTAL(9,E1162:E1165)</f>
        <v>-2.8421709430404007E-14</v>
      </c>
      <c r="F1166" s="4">
        <f>SUBTOTAL(9,F1162:F1165)</f>
        <v>0</v>
      </c>
      <c r="G1166" s="4">
        <f>SUBTOTAL(9,G1162:G1165)</f>
        <v>0</v>
      </c>
      <c r="H1166" s="4">
        <f>SUBTOTAL(9,H1162:H1165)</f>
        <v>135.04999999999995</v>
      </c>
      <c r="I1166" s="4">
        <f>SUBTOTAL(9,I1162:I1165)</f>
        <v>0</v>
      </c>
      <c r="J1166" s="4">
        <f>SUBTOTAL(9,J1162:J1165)</f>
        <v>0</v>
      </c>
      <c r="K1166" s="4">
        <f>SUBTOTAL(9,K1162:K1165)</f>
        <v>0</v>
      </c>
      <c r="L1166" s="4">
        <f>SUBTOTAL(9,L1162:L1165)</f>
        <v>0</v>
      </c>
      <c r="M1166" s="4">
        <f>SUBTOTAL(9,M1162:M1165)</f>
        <v>0</v>
      </c>
      <c r="N1166" s="4">
        <f>SUBTOTAL(9,N1162:N1165)</f>
        <v>0</v>
      </c>
      <c r="O1166" s="4">
        <f>SUBTOTAL(9,O1162:O1165)</f>
        <v>0</v>
      </c>
      <c r="P1166" s="4">
        <f>SUBTOTAL(9,P1162:P1165)</f>
        <v>0</v>
      </c>
      <c r="Q1166" s="4">
        <f>SUBTOTAL(9,Q1162:Q1165)</f>
        <v>0</v>
      </c>
      <c r="R1166" s="4">
        <f>SUBTOTAL(9,R1162:R1165)</f>
        <v>0</v>
      </c>
      <c r="S1166" s="8">
        <f t="shared" si="54"/>
        <v>0</v>
      </c>
      <c r="T1166" s="8">
        <f t="shared" si="55"/>
        <v>0</v>
      </c>
      <c r="U1166" s="9" t="e">
        <f t="shared" si="56"/>
        <v>#DIV/0!</v>
      </c>
    </row>
    <row r="1167" spans="1:22" outlineLevel="2">
      <c r="A1167" t="s">
        <v>385</v>
      </c>
      <c r="B1167" t="s">
        <v>386</v>
      </c>
      <c r="C1167" t="s">
        <v>21</v>
      </c>
      <c r="D1167" t="s">
        <v>22</v>
      </c>
      <c r="E1167" s="4">
        <v>0</v>
      </c>
      <c r="F1167" s="4">
        <v>0</v>
      </c>
      <c r="G1167" s="4">
        <v>0</v>
      </c>
      <c r="H1167" s="4">
        <v>0</v>
      </c>
      <c r="I1167" s="4">
        <v>0</v>
      </c>
      <c r="J1167" s="4">
        <v>0</v>
      </c>
      <c r="K1167" s="4">
        <v>143.44</v>
      </c>
      <c r="L1167" s="4">
        <v>0</v>
      </c>
      <c r="M1167" s="4">
        <v>0</v>
      </c>
      <c r="N1167" s="4">
        <v>0</v>
      </c>
      <c r="O1167" s="4">
        <v>0</v>
      </c>
      <c r="P1167" s="4">
        <v>0</v>
      </c>
      <c r="Q1167" s="4">
        <v>0</v>
      </c>
      <c r="S1167" s="8">
        <f t="shared" si="54"/>
        <v>0</v>
      </c>
      <c r="T1167" s="8">
        <f t="shared" si="55"/>
        <v>0</v>
      </c>
      <c r="U1167" s="9" t="e">
        <f t="shared" si="56"/>
        <v>#DIV/0!</v>
      </c>
    </row>
    <row r="1168" spans="1:22" outlineLevel="2">
      <c r="A1168" t="s">
        <v>385</v>
      </c>
      <c r="B1168" t="s">
        <v>386</v>
      </c>
      <c r="C1168" t="s">
        <v>23</v>
      </c>
      <c r="D1168" t="s">
        <v>24</v>
      </c>
      <c r="E1168" s="4">
        <v>0</v>
      </c>
      <c r="F1168" s="4">
        <v>0</v>
      </c>
      <c r="G1168" s="4">
        <v>0</v>
      </c>
      <c r="H1168" s="4">
        <v>0</v>
      </c>
      <c r="I1168" s="4">
        <v>0</v>
      </c>
      <c r="J1168" s="4">
        <v>0</v>
      </c>
      <c r="K1168" s="4">
        <v>1687.42</v>
      </c>
      <c r="L1168" s="4">
        <v>0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S1168" s="8">
        <f t="shared" si="54"/>
        <v>0</v>
      </c>
      <c r="T1168" s="8">
        <f t="shared" si="55"/>
        <v>0</v>
      </c>
      <c r="U1168" s="9" t="e">
        <f t="shared" si="56"/>
        <v>#DIV/0!</v>
      </c>
    </row>
    <row r="1169" spans="1:21" outlineLevel="2">
      <c r="A1169" t="s">
        <v>385</v>
      </c>
      <c r="B1169" t="s">
        <v>386</v>
      </c>
      <c r="C1169" t="s">
        <v>194</v>
      </c>
      <c r="D1169" t="s">
        <v>195</v>
      </c>
      <c r="E1169" s="4">
        <v>0</v>
      </c>
      <c r="F1169" s="4">
        <v>0</v>
      </c>
      <c r="G1169" s="4">
        <v>0</v>
      </c>
      <c r="H1169" s="4">
        <v>0</v>
      </c>
      <c r="I1169" s="4">
        <v>0</v>
      </c>
      <c r="J1169" s="4">
        <v>0</v>
      </c>
      <c r="K1169" s="4">
        <v>188.62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v>426.93</v>
      </c>
      <c r="S1169" s="8">
        <f t="shared" si="54"/>
        <v>71.155000000000001</v>
      </c>
      <c r="T1169" s="8">
        <f t="shared" si="55"/>
        <v>-71.155000000000001</v>
      </c>
      <c r="U1169" s="9">
        <f t="shared" si="56"/>
        <v>-1</v>
      </c>
    </row>
    <row r="1170" spans="1:21" outlineLevel="2">
      <c r="A1170" t="s">
        <v>385</v>
      </c>
      <c r="B1170" t="s">
        <v>386</v>
      </c>
      <c r="C1170" t="s">
        <v>136</v>
      </c>
      <c r="D1170" t="s">
        <v>137</v>
      </c>
      <c r="E1170" s="4">
        <v>17253.87</v>
      </c>
      <c r="F1170" s="4">
        <v>17184.63</v>
      </c>
      <c r="G1170" s="4">
        <v>16622.13</v>
      </c>
      <c r="H1170" s="4">
        <v>16988.07</v>
      </c>
      <c r="I1170" s="4">
        <v>17540.669999999998</v>
      </c>
      <c r="J1170" s="4">
        <v>18305.920000000002</v>
      </c>
      <c r="K1170" s="4">
        <v>18351.27</v>
      </c>
      <c r="L1170" s="4">
        <v>18448.09</v>
      </c>
      <c r="M1170" s="4">
        <v>18678.66</v>
      </c>
      <c r="N1170" s="4">
        <v>18990.809999999998</v>
      </c>
      <c r="O1170" s="4">
        <v>18948.16</v>
      </c>
      <c r="P1170" s="4">
        <v>19526.82</v>
      </c>
      <c r="Q1170" s="4">
        <v>3289.09</v>
      </c>
      <c r="R1170" s="4">
        <v>3249.52</v>
      </c>
      <c r="S1170" s="8">
        <f t="shared" si="54"/>
        <v>16313.605000000001</v>
      </c>
      <c r="T1170" s="8">
        <f t="shared" si="55"/>
        <v>-13064.085000000001</v>
      </c>
      <c r="U1170" s="9">
        <f t="shared" si="56"/>
        <v>-0.80080920189007887</v>
      </c>
    </row>
    <row r="1171" spans="1:21" outlineLevel="2">
      <c r="A1171" t="s">
        <v>385</v>
      </c>
      <c r="B1171" t="s">
        <v>386</v>
      </c>
      <c r="C1171" t="s">
        <v>387</v>
      </c>
      <c r="D1171" t="s">
        <v>388</v>
      </c>
      <c r="E1171" s="4">
        <v>4940.6000000000004</v>
      </c>
      <c r="F1171" s="4">
        <v>4920.78</v>
      </c>
      <c r="G1171" s="4">
        <v>4759.71</v>
      </c>
      <c r="H1171" s="4">
        <v>4864.49</v>
      </c>
      <c r="I1171" s="4">
        <v>5022.7299999999996</v>
      </c>
      <c r="J1171" s="4">
        <v>5241.8600000000006</v>
      </c>
      <c r="K1171" s="4">
        <v>5219.55</v>
      </c>
      <c r="L1171" s="4">
        <v>5282.57</v>
      </c>
      <c r="M1171" s="4">
        <v>5348.58</v>
      </c>
      <c r="N1171" s="4">
        <v>5437.97</v>
      </c>
      <c r="O1171" s="4">
        <v>5425.76</v>
      </c>
      <c r="P1171" s="4">
        <v>5553.9000000000005</v>
      </c>
      <c r="Q1171" s="4">
        <v>1547.81</v>
      </c>
      <c r="R1171" s="4">
        <v>1529.18</v>
      </c>
      <c r="S1171" s="8">
        <f t="shared" si="54"/>
        <v>4766.0983333333334</v>
      </c>
      <c r="T1171" s="8">
        <f t="shared" si="55"/>
        <v>-3236.9183333333331</v>
      </c>
      <c r="U1171" s="9">
        <f t="shared" si="56"/>
        <v>-0.6791547523673277</v>
      </c>
    </row>
    <row r="1172" spans="1:21" outlineLevel="2">
      <c r="A1172" t="s">
        <v>385</v>
      </c>
      <c r="B1172" t="s">
        <v>386</v>
      </c>
      <c r="C1172" t="s">
        <v>206</v>
      </c>
      <c r="D1172" t="s">
        <v>207</v>
      </c>
      <c r="E1172" s="4">
        <v>1953.91</v>
      </c>
      <c r="F1172" s="4">
        <v>-1946.07</v>
      </c>
      <c r="G1172" s="4">
        <v>0</v>
      </c>
      <c r="H1172" s="4">
        <v>0</v>
      </c>
      <c r="I1172" s="4">
        <v>0</v>
      </c>
      <c r="J1172" s="4">
        <v>0</v>
      </c>
      <c r="K1172" s="4">
        <v>0</v>
      </c>
      <c r="L1172" s="4">
        <v>0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S1172" s="8">
        <f t="shared" si="54"/>
        <v>0</v>
      </c>
      <c r="T1172" s="8">
        <f t="shared" si="55"/>
        <v>0</v>
      </c>
      <c r="U1172" s="9" t="e">
        <f t="shared" si="56"/>
        <v>#DIV/0!</v>
      </c>
    </row>
    <row r="1173" spans="1:21" outlineLevel="2">
      <c r="A1173" t="s">
        <v>385</v>
      </c>
      <c r="B1173" t="s">
        <v>386</v>
      </c>
      <c r="C1173" t="s">
        <v>144</v>
      </c>
      <c r="D1173" t="s">
        <v>145</v>
      </c>
      <c r="E1173" s="4">
        <v>-5.6843418860808015E-14</v>
      </c>
      <c r="F1173" s="4">
        <v>0</v>
      </c>
      <c r="G1173" s="4">
        <v>0</v>
      </c>
      <c r="H1173" s="4">
        <v>0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S1173" s="8">
        <f t="shared" si="54"/>
        <v>0</v>
      </c>
      <c r="T1173" s="8">
        <f t="shared" si="55"/>
        <v>0</v>
      </c>
      <c r="U1173" s="9" t="e">
        <f t="shared" si="56"/>
        <v>#DIV/0!</v>
      </c>
    </row>
    <row r="1174" spans="1:21" outlineLevel="2">
      <c r="A1174" t="s">
        <v>385</v>
      </c>
      <c r="B1174" t="s">
        <v>386</v>
      </c>
      <c r="C1174" t="s">
        <v>148</v>
      </c>
      <c r="D1174" t="s">
        <v>149</v>
      </c>
      <c r="E1174" s="4">
        <v>3484.5799999999995</v>
      </c>
      <c r="F1174" s="4">
        <v>4272.8999999999996</v>
      </c>
      <c r="G1174" s="4">
        <v>5792.2000000000007</v>
      </c>
      <c r="H1174" s="4">
        <v>4351.4400000000005</v>
      </c>
      <c r="I1174" s="4">
        <v>4492.9900000000007</v>
      </c>
      <c r="J1174" s="4">
        <v>4689</v>
      </c>
      <c r="K1174" s="4">
        <v>5408.65</v>
      </c>
      <c r="L1174" s="4">
        <v>4725.4199999999992</v>
      </c>
      <c r="M1174" s="4">
        <v>4784.4800000000005</v>
      </c>
      <c r="N1174" s="4">
        <v>4864.4299999999994</v>
      </c>
      <c r="O1174" s="4">
        <v>4853.5200000000004</v>
      </c>
      <c r="P1174" s="4">
        <v>-91478.940000000017</v>
      </c>
      <c r="Q1174" s="4">
        <v>1563.77</v>
      </c>
      <c r="R1174" s="4">
        <v>1544.9599999999998</v>
      </c>
      <c r="S1174" s="8">
        <f t="shared" si="54"/>
        <v>-11781.220000000003</v>
      </c>
      <c r="T1174" s="8">
        <f t="shared" si="55"/>
        <v>13326.180000000002</v>
      </c>
      <c r="U1174" s="9">
        <f t="shared" si="56"/>
        <v>-1.1311375222600035</v>
      </c>
    </row>
    <row r="1175" spans="1:21" outlineLevel="2">
      <c r="A1175" t="s">
        <v>385</v>
      </c>
      <c r="B1175" t="s">
        <v>386</v>
      </c>
      <c r="C1175" t="s">
        <v>150</v>
      </c>
      <c r="D1175" t="s">
        <v>151</v>
      </c>
      <c r="E1175" s="4">
        <v>0</v>
      </c>
      <c r="F1175" s="4">
        <v>9234</v>
      </c>
      <c r="G1175" s="4">
        <v>24220.489999999998</v>
      </c>
      <c r="H1175" s="4">
        <v>12002.55</v>
      </c>
      <c r="I1175" s="4">
        <v>10098.970000000001</v>
      </c>
      <c r="J1175" s="4">
        <v>6694.17</v>
      </c>
      <c r="K1175" s="4">
        <v>8083.79</v>
      </c>
      <c r="L1175" s="4">
        <v>8083.79</v>
      </c>
      <c r="M1175" s="4">
        <v>8083.79</v>
      </c>
      <c r="N1175" s="4">
        <v>7639.18</v>
      </c>
      <c r="O1175" s="4">
        <v>7639.18</v>
      </c>
      <c r="P1175" s="4">
        <v>-79301.919999999998</v>
      </c>
      <c r="Q1175" s="4">
        <v>5712.13</v>
      </c>
      <c r="R1175" s="4">
        <v>-5712.13</v>
      </c>
      <c r="S1175" s="8">
        <f t="shared" si="54"/>
        <v>-7023.9749999999995</v>
      </c>
      <c r="T1175" s="8">
        <f t="shared" si="55"/>
        <v>1311.8449999999993</v>
      </c>
      <c r="U1175" s="9">
        <f t="shared" si="56"/>
        <v>-0.18676675244430674</v>
      </c>
    </row>
    <row r="1176" spans="1:21" outlineLevel="2">
      <c r="A1176" t="s">
        <v>385</v>
      </c>
      <c r="B1176" t="s">
        <v>386</v>
      </c>
      <c r="C1176" t="s">
        <v>152</v>
      </c>
      <c r="D1176" t="s">
        <v>153</v>
      </c>
      <c r="E1176" s="4">
        <v>1295.7</v>
      </c>
      <c r="F1176" s="4">
        <v>1304.0999999999999</v>
      </c>
      <c r="G1176" s="4">
        <v>1264.8800000000001</v>
      </c>
      <c r="H1176" s="4">
        <v>1273.5999999999999</v>
      </c>
      <c r="I1176" s="4">
        <v>1317.29</v>
      </c>
      <c r="J1176" s="4">
        <v>1374.76</v>
      </c>
      <c r="K1176" s="4">
        <v>1368.91</v>
      </c>
      <c r="L1176" s="4">
        <v>1385.4399999999998</v>
      </c>
      <c r="M1176" s="4">
        <v>1402.75</v>
      </c>
      <c r="N1176" s="4">
        <v>1426.2</v>
      </c>
      <c r="O1176" s="4">
        <v>1422.99</v>
      </c>
      <c r="P1176" s="4">
        <v>1456.6</v>
      </c>
      <c r="Q1176" s="4">
        <v>327.45</v>
      </c>
      <c r="R1176" s="4">
        <v>323.51</v>
      </c>
      <c r="S1176" s="8">
        <f t="shared" si="54"/>
        <v>1236.905</v>
      </c>
      <c r="T1176" s="8">
        <f t="shared" si="55"/>
        <v>-913.39499999999998</v>
      </c>
      <c r="U1176" s="9">
        <f t="shared" si="56"/>
        <v>-0.73845202339710814</v>
      </c>
    </row>
    <row r="1177" spans="1:21" outlineLevel="2">
      <c r="A1177" t="s">
        <v>385</v>
      </c>
      <c r="B1177" t="s">
        <v>386</v>
      </c>
      <c r="C1177" t="s">
        <v>158</v>
      </c>
      <c r="D1177" t="s">
        <v>159</v>
      </c>
      <c r="E1177" s="4">
        <v>4000</v>
      </c>
      <c r="F1177" s="4">
        <v>4000</v>
      </c>
      <c r="G1177" s="4">
        <v>6962.1399999999994</v>
      </c>
      <c r="H1177" s="4">
        <v>4000</v>
      </c>
      <c r="I1177" s="4">
        <v>4000</v>
      </c>
      <c r="J1177" s="4">
        <v>7414.1299999999992</v>
      </c>
      <c r="K1177" s="4">
        <v>4000</v>
      </c>
      <c r="L1177" s="4">
        <v>4000</v>
      </c>
      <c r="M1177" s="4">
        <v>6422.6900000000005</v>
      </c>
      <c r="N1177" s="4">
        <v>4000</v>
      </c>
      <c r="O1177" s="4">
        <v>4000</v>
      </c>
      <c r="P1177" s="4">
        <v>6962.07</v>
      </c>
      <c r="Q1177" s="4">
        <v>4000</v>
      </c>
      <c r="R1177" s="4">
        <v>4000</v>
      </c>
      <c r="S1177" s="8">
        <f t="shared" si="54"/>
        <v>4897.46</v>
      </c>
      <c r="T1177" s="8">
        <f t="shared" si="55"/>
        <v>-897.46</v>
      </c>
      <c r="U1177" s="9">
        <f t="shared" si="56"/>
        <v>-0.18325009290530195</v>
      </c>
    </row>
    <row r="1178" spans="1:21" outlineLevel="2">
      <c r="A1178" t="s">
        <v>385</v>
      </c>
      <c r="B1178" t="s">
        <v>386</v>
      </c>
      <c r="C1178" t="s">
        <v>190</v>
      </c>
      <c r="D1178" t="s">
        <v>191</v>
      </c>
      <c r="E1178" s="4">
        <v>0</v>
      </c>
      <c r="F1178" s="4">
        <v>0</v>
      </c>
      <c r="G1178" s="4">
        <v>0</v>
      </c>
      <c r="H1178" s="4">
        <v>0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0</v>
      </c>
      <c r="O1178" s="4">
        <v>0</v>
      </c>
      <c r="P1178" s="4">
        <v>205544.88</v>
      </c>
      <c r="Q1178" s="4">
        <v>0</v>
      </c>
      <c r="S1178" s="8">
        <f t="shared" si="54"/>
        <v>34257.480000000003</v>
      </c>
      <c r="T1178" s="8">
        <f t="shared" si="55"/>
        <v>-34257.480000000003</v>
      </c>
      <c r="U1178" s="9">
        <f t="shared" si="56"/>
        <v>-1</v>
      </c>
    </row>
    <row r="1179" spans="1:21" outlineLevel="1">
      <c r="A1179" s="1" t="s">
        <v>751</v>
      </c>
      <c r="E1179" s="4">
        <f>SUBTOTAL(9,E1167:E1178)</f>
        <v>32928.660000000003</v>
      </c>
      <c r="F1179" s="4">
        <f>SUBTOTAL(9,F1167:F1178)</f>
        <v>38970.339999999997</v>
      </c>
      <c r="G1179" s="4">
        <f>SUBTOTAL(9,G1167:G1178)</f>
        <v>59621.549999999996</v>
      </c>
      <c r="H1179" s="4">
        <f>SUBTOTAL(9,H1167:H1178)</f>
        <v>43480.15</v>
      </c>
      <c r="I1179" s="4">
        <f>SUBTOTAL(9,I1167:I1178)</f>
        <v>42472.65</v>
      </c>
      <c r="J1179" s="4">
        <f>SUBTOTAL(9,J1167:J1178)</f>
        <v>43719.840000000004</v>
      </c>
      <c r="K1179" s="4">
        <f>SUBTOTAL(9,K1167:K1178)</f>
        <v>44451.65</v>
      </c>
      <c r="L1179" s="4">
        <f>SUBTOTAL(9,L1167:L1178)</f>
        <v>41925.31</v>
      </c>
      <c r="M1179" s="4">
        <f>SUBTOTAL(9,M1167:M1178)</f>
        <v>44720.95</v>
      </c>
      <c r="N1179" s="4">
        <f>SUBTOTAL(9,N1167:N1178)</f>
        <v>42358.59</v>
      </c>
      <c r="O1179" s="4">
        <f>SUBTOTAL(9,O1167:O1178)</f>
        <v>42289.609999999993</v>
      </c>
      <c r="P1179" s="4">
        <f>SUBTOTAL(9,P1167:P1178)</f>
        <v>68263.41</v>
      </c>
      <c r="Q1179" s="4">
        <f>SUBTOTAL(9,Q1167:Q1178)</f>
        <v>16867.18</v>
      </c>
      <c r="R1179" s="4">
        <f>SUBTOTAL(9,R1167:R1178)</f>
        <v>4935.04</v>
      </c>
      <c r="S1179" s="8">
        <f t="shared" si="54"/>
        <v>42737.508333333331</v>
      </c>
      <c r="T1179" s="8">
        <f t="shared" si="55"/>
        <v>-37802.468333333331</v>
      </c>
      <c r="U1179" s="9">
        <f t="shared" si="56"/>
        <v>-0.88452672623053008</v>
      </c>
    </row>
    <row r="1180" spans="1:21" outlineLevel="2">
      <c r="A1180" t="s">
        <v>389</v>
      </c>
      <c r="B1180" t="s">
        <v>390</v>
      </c>
      <c r="C1180" t="s">
        <v>218</v>
      </c>
      <c r="D1180" t="s">
        <v>219</v>
      </c>
      <c r="E1180" s="4">
        <v>0</v>
      </c>
      <c r="F1180" s="4">
        <v>0</v>
      </c>
      <c r="G1180" s="4">
        <v>0</v>
      </c>
      <c r="H1180" s="4">
        <v>0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S1180" s="8">
        <f t="shared" si="54"/>
        <v>0</v>
      </c>
      <c r="T1180" s="8">
        <f t="shared" si="55"/>
        <v>0</v>
      </c>
      <c r="U1180" s="9" t="e">
        <f t="shared" si="56"/>
        <v>#DIV/0!</v>
      </c>
    </row>
    <row r="1181" spans="1:21" outlineLevel="2">
      <c r="A1181" t="s">
        <v>389</v>
      </c>
      <c r="B1181" t="s">
        <v>390</v>
      </c>
      <c r="C1181" t="s">
        <v>51</v>
      </c>
      <c r="D1181" t="s">
        <v>52</v>
      </c>
      <c r="E1181" s="4">
        <v>0</v>
      </c>
      <c r="F1181" s="4">
        <v>0</v>
      </c>
      <c r="G1181" s="4">
        <v>0</v>
      </c>
      <c r="H1181" s="4">
        <v>0</v>
      </c>
      <c r="I1181" s="4">
        <v>515</v>
      </c>
      <c r="J1181" s="4">
        <v>10</v>
      </c>
      <c r="K1181" s="4">
        <v>0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S1181" s="8">
        <f t="shared" si="54"/>
        <v>0</v>
      </c>
      <c r="T1181" s="8">
        <f t="shared" si="55"/>
        <v>0</v>
      </c>
      <c r="U1181" s="9" t="e">
        <f t="shared" si="56"/>
        <v>#DIV/0!</v>
      </c>
    </row>
    <row r="1182" spans="1:21" outlineLevel="2">
      <c r="A1182" t="s">
        <v>389</v>
      </c>
      <c r="B1182" t="s">
        <v>390</v>
      </c>
      <c r="C1182" t="s">
        <v>186</v>
      </c>
      <c r="D1182" t="s">
        <v>187</v>
      </c>
      <c r="E1182" s="4">
        <v>605.98999999999933</v>
      </c>
      <c r="F1182" s="4">
        <v>619.71</v>
      </c>
      <c r="G1182" s="4">
        <v>599.02</v>
      </c>
      <c r="H1182" s="4">
        <v>646.88999999999965</v>
      </c>
      <c r="I1182" s="4">
        <v>296.01000000000022</v>
      </c>
      <c r="J1182" s="4">
        <v>286.46000000000004</v>
      </c>
      <c r="K1182" s="4">
        <v>296.01000000000022</v>
      </c>
      <c r="L1182" s="4">
        <v>296.00999999999976</v>
      </c>
      <c r="M1182" s="4">
        <v>286.46000000000004</v>
      </c>
      <c r="N1182" s="4">
        <v>296.01000000000022</v>
      </c>
      <c r="O1182" s="4">
        <v>286.46000000000049</v>
      </c>
      <c r="P1182" s="4">
        <v>296.00999999999931</v>
      </c>
      <c r="Q1182" s="4">
        <v>296.00999999999931</v>
      </c>
      <c r="R1182" s="4">
        <v>-296.01</v>
      </c>
      <c r="S1182" s="8">
        <f t="shared" si="54"/>
        <v>292.82666666666654</v>
      </c>
      <c r="T1182" s="8">
        <f t="shared" si="55"/>
        <v>-588.83666666666659</v>
      </c>
      <c r="U1182" s="9">
        <f t="shared" si="56"/>
        <v>-2.0108710499954472</v>
      </c>
    </row>
    <row r="1183" spans="1:21" outlineLevel="2">
      <c r="A1183" t="s">
        <v>389</v>
      </c>
      <c r="B1183" t="s">
        <v>390</v>
      </c>
      <c r="C1183" t="s">
        <v>188</v>
      </c>
      <c r="D1183" t="s">
        <v>189</v>
      </c>
      <c r="E1183" s="4">
        <v>7500</v>
      </c>
      <c r="F1183" s="4">
        <v>7500</v>
      </c>
      <c r="G1183" s="4">
        <v>7500</v>
      </c>
      <c r="H1183" s="4">
        <v>7500</v>
      </c>
      <c r="I1183" s="4">
        <v>8750</v>
      </c>
      <c r="J1183" s="4">
        <v>8125</v>
      </c>
      <c r="K1183" s="4">
        <v>8125</v>
      </c>
      <c r="L1183" s="4">
        <v>8125</v>
      </c>
      <c r="M1183" s="4">
        <v>8125</v>
      </c>
      <c r="N1183" s="4">
        <v>8125</v>
      </c>
      <c r="O1183" s="4">
        <v>8125</v>
      </c>
      <c r="P1183" s="4">
        <v>8125</v>
      </c>
      <c r="Q1183" s="4">
        <v>8125</v>
      </c>
      <c r="R1183" s="4">
        <v>-8125</v>
      </c>
      <c r="S1183" s="8">
        <f t="shared" si="54"/>
        <v>8125</v>
      </c>
      <c r="T1183" s="8">
        <f t="shared" si="55"/>
        <v>-16250</v>
      </c>
      <c r="U1183" s="9">
        <f t="shared" si="56"/>
        <v>-2</v>
      </c>
    </row>
    <row r="1184" spans="1:21" outlineLevel="2">
      <c r="A1184" t="s">
        <v>389</v>
      </c>
      <c r="B1184" t="s">
        <v>390</v>
      </c>
      <c r="C1184" t="s">
        <v>127</v>
      </c>
      <c r="D1184" t="s">
        <v>120</v>
      </c>
      <c r="E1184" s="4">
        <v>6042.9100000000035</v>
      </c>
      <c r="F1184" s="4">
        <v>6042.91</v>
      </c>
      <c r="G1184" s="4">
        <v>6052.91</v>
      </c>
      <c r="H1184" s="4">
        <v>6042.91</v>
      </c>
      <c r="I1184" s="4">
        <v>6042.9100000000017</v>
      </c>
      <c r="J1184" s="4">
        <v>6032.9299999999967</v>
      </c>
      <c r="K1184" s="4">
        <v>6042.91</v>
      </c>
      <c r="L1184" s="4">
        <v>6042.91</v>
      </c>
      <c r="M1184" s="4">
        <v>6042.9100000000035</v>
      </c>
      <c r="N1184" s="4">
        <v>6042.9100000000035</v>
      </c>
      <c r="O1184" s="4">
        <v>8153.5599999999977</v>
      </c>
      <c r="P1184" s="4">
        <v>6234.8100000000049</v>
      </c>
      <c r="Q1184" s="4">
        <v>6234.8099999999904</v>
      </c>
      <c r="R1184" s="4">
        <v>-6234.8099999999995</v>
      </c>
      <c r="S1184" s="8">
        <f t="shared" si="54"/>
        <v>6458.6516666666676</v>
      </c>
      <c r="T1184" s="8">
        <f t="shared" si="55"/>
        <v>-12693.461666666666</v>
      </c>
      <c r="U1184" s="9">
        <f t="shared" si="56"/>
        <v>-1.9653423534478685</v>
      </c>
    </row>
    <row r="1185" spans="1:22" outlineLevel="1">
      <c r="A1185" s="1" t="s">
        <v>752</v>
      </c>
      <c r="E1185" s="4">
        <f>SUBTOTAL(9,E1180:E1184)</f>
        <v>14148.900000000003</v>
      </c>
      <c r="F1185" s="4">
        <f>SUBTOTAL(9,F1180:F1184)</f>
        <v>14162.619999999999</v>
      </c>
      <c r="G1185" s="4">
        <f>SUBTOTAL(9,G1180:G1184)</f>
        <v>14151.93</v>
      </c>
      <c r="H1185" s="4">
        <f>SUBTOTAL(9,H1180:H1184)</f>
        <v>14189.8</v>
      </c>
      <c r="I1185" s="4">
        <f>SUBTOTAL(9,I1180:I1184)</f>
        <v>15603.920000000002</v>
      </c>
      <c r="J1185" s="4">
        <f>SUBTOTAL(9,J1180:J1184)</f>
        <v>14454.389999999996</v>
      </c>
      <c r="K1185" s="4">
        <f>SUBTOTAL(9,K1180:K1184)</f>
        <v>14463.92</v>
      </c>
      <c r="L1185" s="4">
        <f>SUBTOTAL(9,L1180:L1184)</f>
        <v>14463.92</v>
      </c>
      <c r="M1185" s="4">
        <f>SUBTOTAL(9,M1180:M1184)</f>
        <v>14454.370000000003</v>
      </c>
      <c r="N1185" s="4">
        <f>SUBTOTAL(9,N1180:N1184)</f>
        <v>14463.920000000004</v>
      </c>
      <c r="O1185" s="4">
        <f>SUBTOTAL(9,O1180:O1184)</f>
        <v>16565.019999999997</v>
      </c>
      <c r="P1185" s="4">
        <f>SUBTOTAL(9,P1180:P1184)</f>
        <v>14655.820000000003</v>
      </c>
      <c r="Q1185" s="4">
        <f>SUBTOTAL(9,Q1180:Q1184)</f>
        <v>14655.819999999989</v>
      </c>
      <c r="R1185" s="4">
        <f>SUBTOTAL(9,R1180:R1184)</f>
        <v>-14655.82</v>
      </c>
      <c r="S1185" s="8">
        <f t="shared" si="54"/>
        <v>14876.478333333333</v>
      </c>
      <c r="T1185" s="8">
        <f t="shared" si="55"/>
        <v>-29532.298333333332</v>
      </c>
      <c r="U1185" s="9">
        <f t="shared" si="56"/>
        <v>-1.9851673004598871</v>
      </c>
    </row>
    <row r="1186" spans="1:22" outlineLevel="2">
      <c r="A1186" t="s">
        <v>391</v>
      </c>
      <c r="B1186" t="s">
        <v>269</v>
      </c>
      <c r="C1186" t="s">
        <v>101</v>
      </c>
      <c r="D1186" t="s">
        <v>102</v>
      </c>
      <c r="E1186" s="4">
        <v>0</v>
      </c>
      <c r="F1186" s="4">
        <v>0</v>
      </c>
      <c r="G1186" s="4">
        <v>0</v>
      </c>
      <c r="H1186" s="4">
        <v>0</v>
      </c>
      <c r="I1186" s="4">
        <v>0</v>
      </c>
      <c r="J1186" s="4">
        <v>0</v>
      </c>
      <c r="K1186" s="4">
        <v>0</v>
      </c>
      <c r="L1186" s="4">
        <v>0</v>
      </c>
      <c r="M1186" s="4">
        <v>0</v>
      </c>
      <c r="N1186" s="4">
        <v>0</v>
      </c>
      <c r="O1186" s="4">
        <v>0</v>
      </c>
      <c r="P1186" s="4">
        <v>0</v>
      </c>
      <c r="Q1186" s="4">
        <v>0</v>
      </c>
      <c r="S1186" s="8">
        <f t="shared" si="54"/>
        <v>0</v>
      </c>
      <c r="T1186" s="8">
        <f t="shared" si="55"/>
        <v>0</v>
      </c>
      <c r="U1186" s="9" t="e">
        <f t="shared" si="56"/>
        <v>#DIV/0!</v>
      </c>
    </row>
    <row r="1187" spans="1:22" outlineLevel="1">
      <c r="A1187" s="1" t="s">
        <v>753</v>
      </c>
      <c r="E1187" s="4">
        <f>SUBTOTAL(9,E1186:E1186)</f>
        <v>0</v>
      </c>
      <c r="F1187" s="4">
        <f>SUBTOTAL(9,F1186:F1186)</f>
        <v>0</v>
      </c>
      <c r="G1187" s="4">
        <f>SUBTOTAL(9,G1186:G1186)</f>
        <v>0</v>
      </c>
      <c r="H1187" s="4">
        <f>SUBTOTAL(9,H1186:H1186)</f>
        <v>0</v>
      </c>
      <c r="I1187" s="4">
        <f>SUBTOTAL(9,I1186:I1186)</f>
        <v>0</v>
      </c>
      <c r="J1187" s="4">
        <f>SUBTOTAL(9,J1186:J1186)</f>
        <v>0</v>
      </c>
      <c r="K1187" s="4">
        <f>SUBTOTAL(9,K1186:K1186)</f>
        <v>0</v>
      </c>
      <c r="L1187" s="4">
        <f>SUBTOTAL(9,L1186:L1186)</f>
        <v>0</v>
      </c>
      <c r="M1187" s="4">
        <f>SUBTOTAL(9,M1186:M1186)</f>
        <v>0</v>
      </c>
      <c r="N1187" s="4">
        <f>SUBTOTAL(9,N1186:N1186)</f>
        <v>0</v>
      </c>
      <c r="O1187" s="4">
        <f>SUBTOTAL(9,O1186:O1186)</f>
        <v>0</v>
      </c>
      <c r="P1187" s="4">
        <f>SUBTOTAL(9,P1186:P1186)</f>
        <v>0</v>
      </c>
      <c r="Q1187" s="4">
        <f>SUBTOTAL(9,Q1186:Q1186)</f>
        <v>0</v>
      </c>
      <c r="R1187" s="4">
        <f>SUBTOTAL(9,R1186:R1186)</f>
        <v>0</v>
      </c>
      <c r="S1187" s="8">
        <f t="shared" si="54"/>
        <v>0</v>
      </c>
      <c r="T1187" s="8">
        <f t="shared" si="55"/>
        <v>0</v>
      </c>
      <c r="U1187" s="9" t="e">
        <f t="shared" si="56"/>
        <v>#DIV/0!</v>
      </c>
    </row>
    <row r="1188" spans="1:22" outlineLevel="2">
      <c r="A1188" t="s">
        <v>392</v>
      </c>
      <c r="B1188" t="s">
        <v>247</v>
      </c>
      <c r="C1188" t="s">
        <v>21</v>
      </c>
      <c r="D1188" t="s">
        <v>22</v>
      </c>
      <c r="E1188" s="4">
        <v>0</v>
      </c>
      <c r="F1188" s="4">
        <v>0</v>
      </c>
      <c r="G1188" s="4">
        <v>0</v>
      </c>
      <c r="H1188" s="4">
        <v>0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S1188" s="8">
        <f t="shared" si="54"/>
        <v>0</v>
      </c>
      <c r="T1188" s="8">
        <f t="shared" si="55"/>
        <v>0</v>
      </c>
      <c r="U1188" s="9" t="e">
        <f t="shared" si="56"/>
        <v>#DIV/0!</v>
      </c>
    </row>
    <row r="1189" spans="1:22" outlineLevel="1">
      <c r="A1189" s="1" t="s">
        <v>754</v>
      </c>
      <c r="E1189" s="4">
        <f>SUBTOTAL(9,E1188:E1188)</f>
        <v>0</v>
      </c>
      <c r="F1189" s="4">
        <f>SUBTOTAL(9,F1188:F1188)</f>
        <v>0</v>
      </c>
      <c r="G1189" s="4">
        <f>SUBTOTAL(9,G1188:G1188)</f>
        <v>0</v>
      </c>
      <c r="H1189" s="4">
        <f>SUBTOTAL(9,H1188:H1188)</f>
        <v>0</v>
      </c>
      <c r="I1189" s="4">
        <f>SUBTOTAL(9,I1188:I1188)</f>
        <v>0</v>
      </c>
      <c r="J1189" s="4">
        <f>SUBTOTAL(9,J1188:J1188)</f>
        <v>0</v>
      </c>
      <c r="K1189" s="4">
        <f>SUBTOTAL(9,K1188:K1188)</f>
        <v>0</v>
      </c>
      <c r="L1189" s="4">
        <f>SUBTOTAL(9,L1188:L1188)</f>
        <v>0</v>
      </c>
      <c r="M1189" s="4">
        <f>SUBTOTAL(9,M1188:M1188)</f>
        <v>0</v>
      </c>
      <c r="N1189" s="4">
        <f>SUBTOTAL(9,N1188:N1188)</f>
        <v>0</v>
      </c>
      <c r="O1189" s="4">
        <f>SUBTOTAL(9,O1188:O1188)</f>
        <v>0</v>
      </c>
      <c r="P1189" s="4">
        <f>SUBTOTAL(9,P1188:P1188)</f>
        <v>0</v>
      </c>
      <c r="Q1189" s="4">
        <f>SUBTOTAL(9,Q1188:Q1188)</f>
        <v>0</v>
      </c>
      <c r="R1189" s="4">
        <f>SUBTOTAL(9,R1188:R1188)</f>
        <v>0</v>
      </c>
      <c r="S1189" s="8">
        <f t="shared" si="54"/>
        <v>0</v>
      </c>
      <c r="T1189" s="8">
        <f t="shared" si="55"/>
        <v>0</v>
      </c>
      <c r="U1189" s="9" t="e">
        <f t="shared" si="56"/>
        <v>#DIV/0!</v>
      </c>
    </row>
    <row r="1190" spans="1:22" outlineLevel="2">
      <c r="A1190" t="s">
        <v>393</v>
      </c>
      <c r="B1190" t="s">
        <v>394</v>
      </c>
      <c r="C1190" t="s">
        <v>230</v>
      </c>
      <c r="D1190" t="s">
        <v>231</v>
      </c>
      <c r="E1190" s="4">
        <v>8317.3100000000013</v>
      </c>
      <c r="F1190" s="4">
        <v>10749.88</v>
      </c>
      <c r="G1190" s="4">
        <v>8317.31</v>
      </c>
      <c r="H1190" s="4">
        <v>8428.2099999999991</v>
      </c>
      <c r="I1190" s="4">
        <v>8428.2099999999991</v>
      </c>
      <c r="J1190" s="4">
        <v>2282.4899999999998</v>
      </c>
      <c r="K1190" s="4">
        <v>8676.32</v>
      </c>
      <c r="L1190" s="4">
        <v>11653.720000000001</v>
      </c>
      <c r="M1190" s="4">
        <v>8676.32</v>
      </c>
      <c r="N1190" s="4">
        <v>8676.32</v>
      </c>
      <c r="O1190" s="4">
        <v>8676.32</v>
      </c>
      <c r="P1190" s="4">
        <v>8676.32</v>
      </c>
      <c r="Q1190" s="4">
        <v>9956.1</v>
      </c>
      <c r="R1190" s="4">
        <v>9316.2099999999991</v>
      </c>
      <c r="S1190" s="8">
        <f t="shared" si="54"/>
        <v>9385.85</v>
      </c>
      <c r="T1190" s="8">
        <f t="shared" si="55"/>
        <v>-69.640000000001237</v>
      </c>
      <c r="U1190" s="9">
        <f t="shared" si="56"/>
        <v>-7.4196796241151556E-3</v>
      </c>
    </row>
    <row r="1191" spans="1:22" outlineLevel="2">
      <c r="A1191" t="s">
        <v>393</v>
      </c>
      <c r="B1191" t="s">
        <v>394</v>
      </c>
      <c r="C1191" t="s">
        <v>186</v>
      </c>
      <c r="D1191" t="s">
        <v>187</v>
      </c>
      <c r="E1191" s="4">
        <v>0</v>
      </c>
      <c r="F1191" s="4">
        <v>0</v>
      </c>
      <c r="G1191" s="4">
        <v>0</v>
      </c>
      <c r="H1191" s="4">
        <v>0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  <c r="O1191" s="4">
        <v>0</v>
      </c>
      <c r="P1191" s="4">
        <v>-1258.5999999999999</v>
      </c>
      <c r="Q1191" s="4">
        <v>0</v>
      </c>
      <c r="S1191" s="8">
        <f t="shared" si="54"/>
        <v>-209.76666666666665</v>
      </c>
      <c r="T1191" s="8">
        <f t="shared" si="55"/>
        <v>209.76666666666665</v>
      </c>
      <c r="U1191" s="9">
        <f t="shared" si="56"/>
        <v>-1</v>
      </c>
    </row>
    <row r="1192" spans="1:22" outlineLevel="1">
      <c r="A1192" s="1" t="s">
        <v>755</v>
      </c>
      <c r="E1192" s="4">
        <f>SUBTOTAL(9,E1190:E1191)</f>
        <v>8317.3100000000013</v>
      </c>
      <c r="F1192" s="4">
        <f>SUBTOTAL(9,F1190:F1191)</f>
        <v>10749.88</v>
      </c>
      <c r="G1192" s="4">
        <f>SUBTOTAL(9,G1190:G1191)</f>
        <v>8317.31</v>
      </c>
      <c r="H1192" s="4">
        <f>SUBTOTAL(9,H1190:H1191)</f>
        <v>8428.2099999999991</v>
      </c>
      <c r="I1192" s="4">
        <f>SUBTOTAL(9,I1190:I1191)</f>
        <v>8428.2099999999991</v>
      </c>
      <c r="J1192" s="4">
        <f>SUBTOTAL(9,J1190:J1191)</f>
        <v>2282.4899999999998</v>
      </c>
      <c r="K1192" s="4">
        <f>SUBTOTAL(9,K1190:K1191)</f>
        <v>8676.32</v>
      </c>
      <c r="L1192" s="4">
        <f>SUBTOTAL(9,L1190:L1191)</f>
        <v>11653.720000000001</v>
      </c>
      <c r="M1192" s="4">
        <f>SUBTOTAL(9,M1190:M1191)</f>
        <v>8676.32</v>
      </c>
      <c r="N1192" s="4">
        <f>SUBTOTAL(9,N1190:N1191)</f>
        <v>8676.32</v>
      </c>
      <c r="O1192" s="4">
        <f>SUBTOTAL(9,O1190:O1191)</f>
        <v>8676.32</v>
      </c>
      <c r="P1192" s="4">
        <f>SUBTOTAL(9,P1190:P1191)</f>
        <v>7417.7199999999993</v>
      </c>
      <c r="Q1192" s="4">
        <f>SUBTOTAL(9,Q1190:Q1191)</f>
        <v>9956.1</v>
      </c>
      <c r="R1192" s="4">
        <f>SUBTOTAL(9,R1190:R1191)</f>
        <v>9316.2099999999991</v>
      </c>
      <c r="S1192" s="8">
        <f t="shared" si="54"/>
        <v>9176.0833333333339</v>
      </c>
      <c r="T1192" s="8">
        <f t="shared" si="55"/>
        <v>140.12666666666519</v>
      </c>
      <c r="U1192" s="9">
        <f t="shared" si="56"/>
        <v>1.5270858118478128E-2</v>
      </c>
    </row>
    <row r="1193" spans="1:22" outlineLevel="2">
      <c r="A1193" t="s">
        <v>395</v>
      </c>
      <c r="B1193" t="s">
        <v>371</v>
      </c>
      <c r="C1193" t="s">
        <v>372</v>
      </c>
      <c r="D1193" t="s">
        <v>373</v>
      </c>
      <c r="E1193" s="4">
        <v>-47779.95</v>
      </c>
      <c r="F1193" s="4">
        <v>3218.33</v>
      </c>
      <c r="G1193" s="4">
        <v>3218.33</v>
      </c>
      <c r="H1193" s="4">
        <v>3218.33</v>
      </c>
      <c r="I1193" s="4">
        <v>3218.33</v>
      </c>
      <c r="J1193" s="4">
        <v>3218.33</v>
      </c>
      <c r="K1193" s="4">
        <v>3218.33</v>
      </c>
      <c r="L1193" s="4">
        <v>3218.33</v>
      </c>
      <c r="M1193" s="4">
        <v>3218.33</v>
      </c>
      <c r="N1193" s="4">
        <v>3218.33</v>
      </c>
      <c r="O1193" s="4">
        <v>3218.33</v>
      </c>
      <c r="P1193" s="4">
        <v>39269.550000000003</v>
      </c>
      <c r="Q1193" s="4">
        <v>0</v>
      </c>
      <c r="S1193" s="8">
        <f t="shared" si="54"/>
        <v>8690.4783333333344</v>
      </c>
      <c r="T1193" s="8">
        <f t="shared" si="55"/>
        <v>-8690.4783333333344</v>
      </c>
      <c r="U1193" s="9">
        <f t="shared" si="56"/>
        <v>-1</v>
      </c>
    </row>
    <row r="1194" spans="1:22" outlineLevel="2">
      <c r="A1194" t="s">
        <v>395</v>
      </c>
      <c r="B1194" t="s">
        <v>371</v>
      </c>
      <c r="C1194" t="s">
        <v>238</v>
      </c>
      <c r="D1194" t="s">
        <v>239</v>
      </c>
      <c r="E1194" s="4">
        <v>0</v>
      </c>
      <c r="F1194" s="4">
        <v>0</v>
      </c>
      <c r="G1194" s="4">
        <v>0</v>
      </c>
      <c r="H1194" s="4">
        <v>0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  <c r="O1194" s="4">
        <v>0</v>
      </c>
      <c r="P1194" s="4">
        <v>0</v>
      </c>
      <c r="Q1194" s="4">
        <v>40</v>
      </c>
      <c r="S1194" s="8">
        <f t="shared" si="54"/>
        <v>6.666666666666667</v>
      </c>
      <c r="T1194" s="8">
        <f t="shared" si="55"/>
        <v>-6.666666666666667</v>
      </c>
      <c r="U1194" s="9">
        <f t="shared" si="56"/>
        <v>-1</v>
      </c>
    </row>
    <row r="1195" spans="1:22" outlineLevel="2">
      <c r="A1195" t="s">
        <v>395</v>
      </c>
      <c r="B1195" t="s">
        <v>371</v>
      </c>
      <c r="C1195" t="s">
        <v>172</v>
      </c>
      <c r="D1195" t="s">
        <v>173</v>
      </c>
      <c r="E1195" s="4">
        <v>27469.42</v>
      </c>
      <c r="F1195" s="4">
        <v>27469.42</v>
      </c>
      <c r="G1195" s="4">
        <v>-54094.59</v>
      </c>
      <c r="H1195" s="4">
        <v>281.42</v>
      </c>
      <c r="I1195" s="4">
        <v>281.42</v>
      </c>
      <c r="J1195" s="4">
        <v>281.42</v>
      </c>
      <c r="K1195" s="4">
        <v>281.42</v>
      </c>
      <c r="L1195" s="4">
        <v>281.42</v>
      </c>
      <c r="M1195" s="4">
        <v>281.42</v>
      </c>
      <c r="N1195" s="4">
        <v>281.42</v>
      </c>
      <c r="O1195" s="4">
        <v>-281.42</v>
      </c>
      <c r="P1195" s="4">
        <v>0</v>
      </c>
      <c r="Q1195" s="4">
        <v>305.89999999999998</v>
      </c>
      <c r="S1195" s="8">
        <f t="shared" si="54"/>
        <v>144.79</v>
      </c>
      <c r="T1195" s="8">
        <f t="shared" si="55"/>
        <v>-144.79</v>
      </c>
      <c r="U1195" s="9">
        <f t="shared" si="56"/>
        <v>-1</v>
      </c>
    </row>
    <row r="1196" spans="1:22" outlineLevel="1">
      <c r="A1196" s="1" t="s">
        <v>756</v>
      </c>
      <c r="E1196" s="4">
        <f>SUBTOTAL(9,E1193:E1195)</f>
        <v>-20310.53</v>
      </c>
      <c r="F1196" s="4">
        <f>SUBTOTAL(9,F1193:F1195)</f>
        <v>30687.75</v>
      </c>
      <c r="G1196" s="4">
        <f>SUBTOTAL(9,G1193:G1195)</f>
        <v>-50876.259999999995</v>
      </c>
      <c r="H1196" s="4">
        <f>SUBTOTAL(9,H1193:H1195)</f>
        <v>3499.75</v>
      </c>
      <c r="I1196" s="4">
        <f>SUBTOTAL(9,I1193:I1195)</f>
        <v>3499.75</v>
      </c>
      <c r="J1196" s="4">
        <f>SUBTOTAL(9,J1193:J1195)</f>
        <v>3499.75</v>
      </c>
      <c r="K1196" s="4">
        <f>SUBTOTAL(9,K1193:K1195)</f>
        <v>3499.75</v>
      </c>
      <c r="L1196" s="4">
        <f>SUBTOTAL(9,L1193:L1195)</f>
        <v>3499.75</v>
      </c>
      <c r="M1196" s="4">
        <f>SUBTOTAL(9,M1193:M1195)</f>
        <v>3499.75</v>
      </c>
      <c r="N1196" s="4">
        <f>SUBTOTAL(9,N1193:N1195)</f>
        <v>3499.75</v>
      </c>
      <c r="O1196" s="4">
        <f>SUBTOTAL(9,O1193:O1195)</f>
        <v>2936.91</v>
      </c>
      <c r="P1196" s="4">
        <f>SUBTOTAL(9,P1193:P1195)</f>
        <v>39269.550000000003</v>
      </c>
      <c r="Q1196" s="4">
        <f>SUBTOTAL(9,Q1193:Q1195)</f>
        <v>345.9</v>
      </c>
      <c r="R1196" s="4">
        <f>SUBTOTAL(9,R1193:R1195)</f>
        <v>0</v>
      </c>
      <c r="S1196" s="8">
        <f t="shared" si="54"/>
        <v>8841.9350000000013</v>
      </c>
      <c r="T1196" s="8">
        <f t="shared" si="55"/>
        <v>-8841.9350000000013</v>
      </c>
      <c r="U1196" s="9">
        <f t="shared" si="56"/>
        <v>-1</v>
      </c>
    </row>
    <row r="1197" spans="1:22" outlineLevel="2">
      <c r="A1197" t="s">
        <v>396</v>
      </c>
      <c r="B1197" t="s">
        <v>397</v>
      </c>
      <c r="C1197" t="s">
        <v>21</v>
      </c>
      <c r="D1197" t="s">
        <v>22</v>
      </c>
      <c r="E1197" s="4">
        <v>0</v>
      </c>
      <c r="F1197" s="4">
        <v>0</v>
      </c>
      <c r="G1197" s="4">
        <v>0</v>
      </c>
      <c r="H1197" s="4">
        <v>0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  <c r="O1197" s="4">
        <v>0</v>
      </c>
      <c r="P1197" s="4">
        <v>0</v>
      </c>
      <c r="Q1197" s="4">
        <v>0</v>
      </c>
      <c r="S1197" s="8">
        <f t="shared" si="54"/>
        <v>0</v>
      </c>
      <c r="T1197" s="8">
        <f t="shared" si="55"/>
        <v>0</v>
      </c>
      <c r="U1197" s="9" t="e">
        <f t="shared" si="56"/>
        <v>#DIV/0!</v>
      </c>
    </row>
    <row r="1198" spans="1:22" outlineLevel="2">
      <c r="A1198" t="s">
        <v>396</v>
      </c>
      <c r="B1198" t="s">
        <v>397</v>
      </c>
      <c r="C1198" t="s">
        <v>25</v>
      </c>
      <c r="D1198" t="s">
        <v>26</v>
      </c>
      <c r="E1198" s="4">
        <v>0</v>
      </c>
      <c r="F1198" s="4">
        <v>0</v>
      </c>
      <c r="G1198" s="4">
        <v>0</v>
      </c>
      <c r="H1198" s="4">
        <v>0</v>
      </c>
      <c r="I1198" s="4">
        <v>0</v>
      </c>
      <c r="J1198" s="4">
        <v>0</v>
      </c>
      <c r="K1198" s="4">
        <v>0</v>
      </c>
      <c r="L1198" s="4">
        <v>0</v>
      </c>
      <c r="M1198" s="4">
        <v>0</v>
      </c>
      <c r="N1198" s="4">
        <v>0</v>
      </c>
      <c r="O1198" s="4">
        <v>0</v>
      </c>
      <c r="P1198" s="4">
        <v>0</v>
      </c>
      <c r="Q1198" s="4">
        <v>0</v>
      </c>
      <c r="S1198" s="8">
        <f t="shared" si="54"/>
        <v>0</v>
      </c>
      <c r="T1198" s="8">
        <f t="shared" si="55"/>
        <v>0</v>
      </c>
      <c r="U1198" s="9" t="e">
        <f t="shared" si="56"/>
        <v>#DIV/0!</v>
      </c>
    </row>
    <row r="1199" spans="1:22" outlineLevel="2">
      <c r="A1199" t="s">
        <v>396</v>
      </c>
      <c r="B1199" t="s">
        <v>397</v>
      </c>
      <c r="C1199" t="s">
        <v>27</v>
      </c>
      <c r="D1199" t="s">
        <v>28</v>
      </c>
      <c r="E1199" s="4">
        <v>0</v>
      </c>
      <c r="F1199" s="4">
        <v>-7.1054273576010019E-15</v>
      </c>
      <c r="G1199" s="4">
        <v>0</v>
      </c>
      <c r="H1199" s="4">
        <v>0</v>
      </c>
      <c r="I1199" s="4">
        <v>0</v>
      </c>
      <c r="J1199" s="4">
        <v>0</v>
      </c>
      <c r="K1199" s="4">
        <v>0</v>
      </c>
      <c r="L1199" s="4">
        <v>0</v>
      </c>
      <c r="M1199" s="4">
        <v>-2.2737367544323206E-13</v>
      </c>
      <c r="N1199" s="4">
        <v>-5.6843418860808015E-14</v>
      </c>
      <c r="O1199" s="4">
        <v>-1.1368683772161603E-13</v>
      </c>
      <c r="P1199" s="4">
        <v>0</v>
      </c>
      <c r="Q1199" s="4">
        <v>0</v>
      </c>
      <c r="R1199" s="4">
        <v>207.96</v>
      </c>
      <c r="S1199" s="8">
        <f t="shared" si="54"/>
        <v>-6.6317322004276022E-14</v>
      </c>
      <c r="T1199" s="8">
        <f t="shared" si="55"/>
        <v>207.96000000000006</v>
      </c>
      <c r="U1199" s="9">
        <f t="shared" si="56"/>
        <v>-3135832294111502</v>
      </c>
      <c r="V1199" t="s">
        <v>895</v>
      </c>
    </row>
    <row r="1200" spans="1:22" outlineLevel="2">
      <c r="A1200" t="s">
        <v>396</v>
      </c>
      <c r="B1200" t="s">
        <v>397</v>
      </c>
      <c r="C1200" t="s">
        <v>194</v>
      </c>
      <c r="D1200" t="s">
        <v>195</v>
      </c>
      <c r="E1200" s="4">
        <v>0</v>
      </c>
      <c r="F1200" s="4">
        <v>6.34</v>
      </c>
      <c r="G1200" s="4">
        <v>0</v>
      </c>
      <c r="H1200" s="4">
        <v>0</v>
      </c>
      <c r="I1200" s="4">
        <v>0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S1200" s="8">
        <f t="shared" si="54"/>
        <v>0</v>
      </c>
      <c r="T1200" s="8">
        <f t="shared" si="55"/>
        <v>0</v>
      </c>
      <c r="U1200" s="9" t="e">
        <f t="shared" si="56"/>
        <v>#DIV/0!</v>
      </c>
    </row>
    <row r="1201" spans="1:22" outlineLevel="2">
      <c r="A1201" t="s">
        <v>396</v>
      </c>
      <c r="B1201" t="s">
        <v>397</v>
      </c>
      <c r="C1201" t="s">
        <v>136</v>
      </c>
      <c r="D1201" t="s">
        <v>137</v>
      </c>
      <c r="E1201" s="4">
        <v>-1.4551915228366852E-11</v>
      </c>
      <c r="F1201" s="4">
        <v>2.9103830456733704E-11</v>
      </c>
      <c r="G1201" s="4">
        <v>-5.8207660913467407E-11</v>
      </c>
      <c r="H1201" s="4">
        <v>1.4551915228366852E-11</v>
      </c>
      <c r="I1201" s="4">
        <v>5.8207660913467407E-11</v>
      </c>
      <c r="J1201" s="4">
        <v>0</v>
      </c>
      <c r="K1201" s="4">
        <v>-5.8207660913467407E-11</v>
      </c>
      <c r="L1201" s="4">
        <v>5.8207660913467407E-11</v>
      </c>
      <c r="M1201" s="4">
        <v>4.3655745685100555E-11</v>
      </c>
      <c r="N1201" s="4">
        <v>5.8207660913467407E-11</v>
      </c>
      <c r="O1201" s="4">
        <v>0</v>
      </c>
      <c r="P1201" s="4">
        <v>0</v>
      </c>
      <c r="Q1201" s="4">
        <v>1.3642420526593924E-12</v>
      </c>
      <c r="R1201" s="4">
        <v>18455.240000000002</v>
      </c>
      <c r="S1201" s="8">
        <f t="shared" si="54"/>
        <v>2.6905884927449126E-11</v>
      </c>
      <c r="T1201" s="8">
        <f t="shared" si="55"/>
        <v>18455.239999999976</v>
      </c>
      <c r="U1201" s="9">
        <f t="shared" si="56"/>
        <v>685918342762706</v>
      </c>
      <c r="V1201" t="s">
        <v>895</v>
      </c>
    </row>
    <row r="1202" spans="1:22" outlineLevel="2">
      <c r="A1202" t="s">
        <v>396</v>
      </c>
      <c r="B1202" t="s">
        <v>397</v>
      </c>
      <c r="C1202" t="s">
        <v>138</v>
      </c>
      <c r="D1202" t="s">
        <v>139</v>
      </c>
      <c r="E1202" s="4">
        <v>-9.0949470177292824E-13</v>
      </c>
      <c r="F1202" s="4">
        <v>0</v>
      </c>
      <c r="G1202" s="4">
        <v>0</v>
      </c>
      <c r="H1202" s="4">
        <v>0</v>
      </c>
      <c r="I1202" s="4">
        <v>0</v>
      </c>
      <c r="J1202" s="4">
        <v>0</v>
      </c>
      <c r="K1202" s="4">
        <v>0</v>
      </c>
      <c r="L1202" s="4">
        <v>-9.0949470177292824E-13</v>
      </c>
      <c r="M1202" s="4">
        <v>4.5474735088646412E-13</v>
      </c>
      <c r="N1202" s="4">
        <v>0</v>
      </c>
      <c r="O1202" s="4">
        <v>9.0949470177292824E-13</v>
      </c>
      <c r="P1202" s="4">
        <v>-9.0949470177292824E-13</v>
      </c>
      <c r="Q1202" s="4">
        <v>2.2737367544323206E-13</v>
      </c>
      <c r="R1202" s="4">
        <v>5612.8</v>
      </c>
      <c r="S1202" s="8">
        <f t="shared" si="54"/>
        <v>-3.7895612573872008E-14</v>
      </c>
      <c r="T1202" s="8">
        <f t="shared" si="55"/>
        <v>5612.8</v>
      </c>
      <c r="U1202" s="9">
        <f t="shared" si="56"/>
        <v>-1.481121327451472E+17</v>
      </c>
      <c r="V1202" t="s">
        <v>895</v>
      </c>
    </row>
    <row r="1203" spans="1:22" outlineLevel="2">
      <c r="A1203" t="s">
        <v>396</v>
      </c>
      <c r="B1203" t="s">
        <v>397</v>
      </c>
      <c r="C1203" t="s">
        <v>29</v>
      </c>
      <c r="D1203" t="s">
        <v>30</v>
      </c>
      <c r="E1203" s="4">
        <v>0</v>
      </c>
      <c r="F1203" s="4">
        <v>0</v>
      </c>
      <c r="G1203" s="4">
        <v>0</v>
      </c>
      <c r="H1203" s="4">
        <v>-8.5265128291212022E-14</v>
      </c>
      <c r="I1203" s="4">
        <v>0</v>
      </c>
      <c r="J1203" s="4">
        <v>-2.1316282072803006E-14</v>
      </c>
      <c r="K1203" s="4">
        <v>0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251</v>
      </c>
      <c r="S1203" s="8">
        <f t="shared" si="54"/>
        <v>0</v>
      </c>
      <c r="T1203" s="8">
        <f t="shared" si="55"/>
        <v>251</v>
      </c>
      <c r="U1203" s="9" t="e">
        <f t="shared" si="56"/>
        <v>#DIV/0!</v>
      </c>
      <c r="V1203" t="s">
        <v>895</v>
      </c>
    </row>
    <row r="1204" spans="1:22" outlineLevel="2">
      <c r="A1204" t="s">
        <v>396</v>
      </c>
      <c r="B1204" t="s">
        <v>397</v>
      </c>
      <c r="C1204" t="s">
        <v>142</v>
      </c>
      <c r="D1204" t="s">
        <v>143</v>
      </c>
      <c r="E1204" s="4">
        <v>0</v>
      </c>
      <c r="F1204" s="4">
        <v>0</v>
      </c>
      <c r="G1204" s="4">
        <v>0</v>
      </c>
      <c r="H1204" s="4">
        <v>0</v>
      </c>
      <c r="I1204" s="4">
        <v>0</v>
      </c>
      <c r="J1204" s="4">
        <v>0</v>
      </c>
      <c r="K1204" s="4">
        <v>0</v>
      </c>
      <c r="L1204" s="4">
        <v>10000</v>
      </c>
      <c r="M1204" s="4">
        <v>10000</v>
      </c>
      <c r="N1204" s="4">
        <v>0</v>
      </c>
      <c r="O1204" s="4">
        <v>0</v>
      </c>
      <c r="P1204" s="4">
        <v>0</v>
      </c>
      <c r="Q1204" s="4">
        <v>0</v>
      </c>
      <c r="S1204" s="8">
        <f t="shared" si="54"/>
        <v>3333.3333333333335</v>
      </c>
      <c r="T1204" s="8">
        <f t="shared" si="55"/>
        <v>-3333.3333333333335</v>
      </c>
      <c r="U1204" s="9">
        <f t="shared" si="56"/>
        <v>-1</v>
      </c>
    </row>
    <row r="1205" spans="1:22" outlineLevel="2">
      <c r="A1205" t="s">
        <v>396</v>
      </c>
      <c r="B1205" t="s">
        <v>397</v>
      </c>
      <c r="C1205" t="s">
        <v>144</v>
      </c>
      <c r="D1205" t="s">
        <v>145</v>
      </c>
      <c r="E1205" s="4">
        <v>0</v>
      </c>
      <c r="F1205" s="4">
        <v>0</v>
      </c>
      <c r="G1205" s="4">
        <v>0</v>
      </c>
      <c r="H1205" s="4">
        <v>-1.3642420526593924E-11</v>
      </c>
      <c r="I1205" s="4">
        <v>0</v>
      </c>
      <c r="J1205" s="4">
        <v>0</v>
      </c>
      <c r="K1205" s="4">
        <v>9.0949470177292824E-13</v>
      </c>
      <c r="L1205" s="4">
        <v>1.4551915228366852E-11</v>
      </c>
      <c r="M1205" s="4">
        <v>3.2741809263825417E-11</v>
      </c>
      <c r="N1205" s="4">
        <v>1.4551915228366852E-11</v>
      </c>
      <c r="O1205" s="4">
        <v>0</v>
      </c>
      <c r="P1205" s="4">
        <v>0</v>
      </c>
      <c r="Q1205" s="4">
        <v>0</v>
      </c>
      <c r="R1205" s="4">
        <v>-283186.45</v>
      </c>
      <c r="S1205" s="8">
        <f t="shared" si="54"/>
        <v>1.0307606620093187E-11</v>
      </c>
      <c r="T1205" s="8">
        <f t="shared" si="55"/>
        <v>-283186.45</v>
      </c>
      <c r="U1205" s="9">
        <f t="shared" si="56"/>
        <v>-2.7473540700318248E+16</v>
      </c>
      <c r="V1205" t="s">
        <v>897</v>
      </c>
    </row>
    <row r="1206" spans="1:22" outlineLevel="2">
      <c r="A1206" t="s">
        <v>396</v>
      </c>
      <c r="B1206" t="s">
        <v>397</v>
      </c>
      <c r="C1206" t="s">
        <v>146</v>
      </c>
      <c r="D1206" t="s">
        <v>147</v>
      </c>
      <c r="E1206" s="4">
        <v>0</v>
      </c>
      <c r="F1206" s="4">
        <v>0</v>
      </c>
      <c r="G1206" s="4">
        <v>0</v>
      </c>
      <c r="H1206" s="4">
        <v>1.8189894035458565E-12</v>
      </c>
      <c r="I1206" s="4">
        <v>3.637978807091713E-12</v>
      </c>
      <c r="J1206" s="4">
        <v>-7.2759576141834259E-12</v>
      </c>
      <c r="K1206" s="4">
        <v>0</v>
      </c>
      <c r="L1206" s="4">
        <v>0</v>
      </c>
      <c r="M1206" s="4">
        <v>1.8189894035458565E-12</v>
      </c>
      <c r="N1206" s="4">
        <v>0</v>
      </c>
      <c r="O1206" s="4">
        <v>0</v>
      </c>
      <c r="P1206" s="4">
        <v>0</v>
      </c>
      <c r="Q1206" s="4">
        <v>0</v>
      </c>
      <c r="R1206" s="4">
        <v>2431.9</v>
      </c>
      <c r="S1206" s="8">
        <f t="shared" si="54"/>
        <v>3.0316490059097606E-13</v>
      </c>
      <c r="T1206" s="8">
        <f t="shared" si="55"/>
        <v>2431.8999999999996</v>
      </c>
      <c r="U1206" s="9">
        <f t="shared" si="56"/>
        <v>8021706982765362</v>
      </c>
      <c r="V1206" t="s">
        <v>895</v>
      </c>
    </row>
    <row r="1207" spans="1:22" outlineLevel="2">
      <c r="A1207" t="s">
        <v>396</v>
      </c>
      <c r="B1207" t="s">
        <v>397</v>
      </c>
      <c r="C1207" t="s">
        <v>372</v>
      </c>
      <c r="D1207" t="s">
        <v>373</v>
      </c>
      <c r="E1207" s="4">
        <v>0</v>
      </c>
      <c r="F1207" s="4">
        <v>0</v>
      </c>
      <c r="G1207" s="4">
        <v>0</v>
      </c>
      <c r="H1207" s="4">
        <v>0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  <c r="O1207" s="4">
        <v>0</v>
      </c>
      <c r="P1207" s="4">
        <v>0</v>
      </c>
      <c r="Q1207" s="4">
        <v>0</v>
      </c>
      <c r="S1207" s="8">
        <f t="shared" si="54"/>
        <v>0</v>
      </c>
      <c r="T1207" s="8">
        <f t="shared" si="55"/>
        <v>0</v>
      </c>
      <c r="U1207" s="9" t="e">
        <f t="shared" si="56"/>
        <v>#DIV/0!</v>
      </c>
    </row>
    <row r="1208" spans="1:22" outlineLevel="2">
      <c r="A1208" t="s">
        <v>396</v>
      </c>
      <c r="B1208" t="s">
        <v>397</v>
      </c>
      <c r="C1208" t="s">
        <v>150</v>
      </c>
      <c r="D1208" t="s">
        <v>151</v>
      </c>
      <c r="E1208" s="4">
        <v>0</v>
      </c>
      <c r="F1208" s="4">
        <v>131624</v>
      </c>
      <c r="G1208" s="4">
        <v>26324.799999999988</v>
      </c>
      <c r="H1208" s="4">
        <v>17640.260000000006</v>
      </c>
      <c r="I1208" s="4">
        <v>76820.209999999992</v>
      </c>
      <c r="J1208" s="4">
        <v>50920.83</v>
      </c>
      <c r="K1208" s="4">
        <v>61411.83</v>
      </c>
      <c r="L1208" s="4">
        <v>61411.83</v>
      </c>
      <c r="M1208" s="4">
        <v>61411.83</v>
      </c>
      <c r="N1208" s="4">
        <v>57499.78</v>
      </c>
      <c r="O1208" s="4">
        <v>57499.78</v>
      </c>
      <c r="P1208" s="4">
        <v>57499.78</v>
      </c>
      <c r="Q1208" s="4">
        <v>1887.03</v>
      </c>
      <c r="R1208" s="4">
        <v>3397.7800000000007</v>
      </c>
      <c r="S1208" s="8">
        <f t="shared" si="54"/>
        <v>49535.005000000005</v>
      </c>
      <c r="T1208" s="8">
        <f t="shared" si="55"/>
        <v>-46137.225000000006</v>
      </c>
      <c r="U1208" s="9">
        <f t="shared" si="56"/>
        <v>-0.93140648719022034</v>
      </c>
    </row>
    <row r="1209" spans="1:22" outlineLevel="2">
      <c r="A1209" t="s">
        <v>396</v>
      </c>
      <c r="B1209" t="s">
        <v>397</v>
      </c>
      <c r="C1209" t="s">
        <v>152</v>
      </c>
      <c r="D1209" t="s">
        <v>153</v>
      </c>
      <c r="E1209" s="4">
        <v>-1.8189894035458565E-12</v>
      </c>
      <c r="F1209" s="4">
        <v>0</v>
      </c>
      <c r="G1209" s="4">
        <v>0</v>
      </c>
      <c r="H1209" s="4">
        <v>0</v>
      </c>
      <c r="I1209" s="4">
        <v>-3.637978807091713E-12</v>
      </c>
      <c r="J1209" s="4">
        <v>0</v>
      </c>
      <c r="K1209" s="4">
        <v>0</v>
      </c>
      <c r="L1209" s="4">
        <v>0</v>
      </c>
      <c r="M1209" s="4">
        <v>1.8189894035458565E-12</v>
      </c>
      <c r="N1209" s="4">
        <v>0</v>
      </c>
      <c r="O1209" s="4">
        <v>1.8189894035458565E-12</v>
      </c>
      <c r="P1209" s="4">
        <v>0</v>
      </c>
      <c r="Q1209" s="4">
        <v>-5.6843418860808015E-14</v>
      </c>
      <c r="R1209" s="4">
        <v>1796.4</v>
      </c>
      <c r="S1209" s="8">
        <f t="shared" si="54"/>
        <v>5.9685589803848416E-13</v>
      </c>
      <c r="T1209" s="8">
        <f t="shared" si="55"/>
        <v>1796.3999999999994</v>
      </c>
      <c r="U1209" s="9">
        <f t="shared" si="56"/>
        <v>3009771715256085</v>
      </c>
      <c r="V1209" t="s">
        <v>895</v>
      </c>
    </row>
    <row r="1210" spans="1:22" outlineLevel="2">
      <c r="A1210" t="s">
        <v>396</v>
      </c>
      <c r="B1210" t="s">
        <v>397</v>
      </c>
      <c r="C1210" t="s">
        <v>154</v>
      </c>
      <c r="D1210" t="s">
        <v>155</v>
      </c>
      <c r="E1210" s="4">
        <v>1.1368683772161603E-12</v>
      </c>
      <c r="F1210" s="4">
        <v>0</v>
      </c>
      <c r="G1210" s="4">
        <v>0</v>
      </c>
      <c r="H1210" s="4">
        <v>-3.5527136788005009E-15</v>
      </c>
      <c r="I1210" s="4">
        <v>0</v>
      </c>
      <c r="J1210" s="4">
        <v>0</v>
      </c>
      <c r="K1210" s="4">
        <v>0</v>
      </c>
      <c r="L1210" s="4">
        <v>0</v>
      </c>
      <c r="M1210" s="4">
        <v>0</v>
      </c>
      <c r="N1210" s="4">
        <v>0</v>
      </c>
      <c r="O1210" s="4">
        <v>0</v>
      </c>
      <c r="P1210" s="4">
        <v>0</v>
      </c>
      <c r="Q1210" s="4">
        <v>3.5527136788005009E-15</v>
      </c>
      <c r="S1210" s="8">
        <f t="shared" si="54"/>
        <v>5.9211894646675012E-16</v>
      </c>
      <c r="T1210" s="8">
        <f t="shared" si="55"/>
        <v>-5.9211894646675012E-16</v>
      </c>
      <c r="U1210" s="9">
        <f t="shared" si="56"/>
        <v>-1</v>
      </c>
    </row>
    <row r="1211" spans="1:22" outlineLevel="2">
      <c r="A1211" t="s">
        <v>396</v>
      </c>
      <c r="B1211" t="s">
        <v>397</v>
      </c>
      <c r="C1211" t="s">
        <v>33</v>
      </c>
      <c r="D1211" t="s">
        <v>34</v>
      </c>
      <c r="E1211" s="4">
        <v>0</v>
      </c>
      <c r="F1211" s="4">
        <v>0</v>
      </c>
      <c r="G1211" s="4">
        <v>0</v>
      </c>
      <c r="H1211" s="4">
        <v>0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  <c r="O1211" s="4">
        <v>0</v>
      </c>
      <c r="P1211" s="4">
        <v>0</v>
      </c>
      <c r="Q1211" s="4">
        <v>0</v>
      </c>
      <c r="S1211" s="8">
        <f t="shared" si="54"/>
        <v>0</v>
      </c>
      <c r="T1211" s="8">
        <f t="shared" si="55"/>
        <v>0</v>
      </c>
      <c r="U1211" s="9" t="e">
        <f t="shared" si="56"/>
        <v>#DIV/0!</v>
      </c>
    </row>
    <row r="1212" spans="1:22" outlineLevel="2">
      <c r="A1212" t="s">
        <v>396</v>
      </c>
      <c r="B1212" t="s">
        <v>397</v>
      </c>
      <c r="C1212" t="s">
        <v>156</v>
      </c>
      <c r="D1212" t="s">
        <v>157</v>
      </c>
      <c r="E1212" s="4">
        <v>0</v>
      </c>
      <c r="F1212" s="4">
        <v>0</v>
      </c>
      <c r="G1212" s="4">
        <v>0</v>
      </c>
      <c r="H1212" s="4">
        <v>0</v>
      </c>
      <c r="I1212" s="4">
        <v>0</v>
      </c>
      <c r="J1212" s="4">
        <v>0</v>
      </c>
      <c r="K1212" s="4">
        <v>0</v>
      </c>
      <c r="L1212" s="4">
        <v>0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S1212" s="8">
        <f t="shared" si="54"/>
        <v>0</v>
      </c>
      <c r="T1212" s="8">
        <f t="shared" si="55"/>
        <v>0</v>
      </c>
      <c r="U1212" s="9" t="e">
        <f t="shared" si="56"/>
        <v>#DIV/0!</v>
      </c>
    </row>
    <row r="1213" spans="1:22" outlineLevel="2">
      <c r="A1213" t="s">
        <v>396</v>
      </c>
      <c r="B1213" t="s">
        <v>397</v>
      </c>
      <c r="C1213" t="s">
        <v>158</v>
      </c>
      <c r="D1213" t="s">
        <v>159</v>
      </c>
      <c r="E1213" s="4">
        <v>24800</v>
      </c>
      <c r="F1213" s="4">
        <v>66670</v>
      </c>
      <c r="G1213" s="4">
        <v>-19219.89</v>
      </c>
      <c r="H1213" s="4">
        <v>46851.62</v>
      </c>
      <c r="I1213" s="4">
        <v>45735</v>
      </c>
      <c r="J1213" s="4">
        <v>-15333.560000000005</v>
      </c>
      <c r="K1213" s="4">
        <v>45735</v>
      </c>
      <c r="L1213" s="4">
        <v>45735</v>
      </c>
      <c r="M1213" s="4">
        <v>-19711.679999999993</v>
      </c>
      <c r="N1213" s="4">
        <v>45735</v>
      </c>
      <c r="O1213" s="4">
        <v>45735</v>
      </c>
      <c r="P1213" s="4">
        <v>-30720.050000000003</v>
      </c>
      <c r="Q1213" s="4">
        <v>800</v>
      </c>
      <c r="R1213" s="4">
        <v>245733.34</v>
      </c>
      <c r="S1213" s="8">
        <f t="shared" si="54"/>
        <v>14595.545</v>
      </c>
      <c r="T1213" s="8">
        <f t="shared" si="55"/>
        <v>231137.79499999998</v>
      </c>
      <c r="U1213" s="9">
        <f t="shared" si="56"/>
        <v>15.836188028607358</v>
      </c>
      <c r="V1213" t="s">
        <v>896</v>
      </c>
    </row>
    <row r="1214" spans="1:22" outlineLevel="2">
      <c r="A1214" t="s">
        <v>396</v>
      </c>
      <c r="B1214" t="s">
        <v>397</v>
      </c>
      <c r="C1214" t="s">
        <v>160</v>
      </c>
      <c r="D1214" t="s">
        <v>161</v>
      </c>
      <c r="E1214" s="4">
        <v>0</v>
      </c>
      <c r="F1214" s="4">
        <v>0</v>
      </c>
      <c r="G1214" s="4">
        <v>0</v>
      </c>
      <c r="H1214" s="4">
        <v>0</v>
      </c>
      <c r="I1214" s="4">
        <v>0</v>
      </c>
      <c r="J1214" s="4">
        <v>0</v>
      </c>
      <c r="K1214" s="4">
        <v>0</v>
      </c>
      <c r="L1214" s="4">
        <v>0</v>
      </c>
      <c r="M1214" s="4">
        <v>5568.7900000000009</v>
      </c>
      <c r="N1214" s="4">
        <v>0</v>
      </c>
      <c r="O1214" s="4">
        <v>0</v>
      </c>
      <c r="P1214" s="4">
        <v>1275.45</v>
      </c>
      <c r="Q1214" s="4">
        <v>0</v>
      </c>
      <c r="S1214" s="8">
        <f t="shared" si="54"/>
        <v>1140.7066666666667</v>
      </c>
      <c r="T1214" s="8">
        <f t="shared" si="55"/>
        <v>-1140.7066666666667</v>
      </c>
      <c r="U1214" s="9">
        <f t="shared" si="56"/>
        <v>-1</v>
      </c>
    </row>
    <row r="1215" spans="1:22" outlineLevel="2">
      <c r="A1215" t="s">
        <v>396</v>
      </c>
      <c r="B1215" t="s">
        <v>397</v>
      </c>
      <c r="C1215" t="s">
        <v>39</v>
      </c>
      <c r="D1215" t="s">
        <v>40</v>
      </c>
      <c r="E1215" s="4">
        <v>2676.78</v>
      </c>
      <c r="F1215" s="4">
        <v>0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0</v>
      </c>
      <c r="O1215" s="4">
        <v>0</v>
      </c>
      <c r="P1215" s="4">
        <v>0</v>
      </c>
      <c r="Q1215" s="4">
        <v>0</v>
      </c>
      <c r="S1215" s="8">
        <f t="shared" si="54"/>
        <v>0</v>
      </c>
      <c r="T1215" s="8">
        <f t="shared" si="55"/>
        <v>0</v>
      </c>
      <c r="U1215" s="9" t="e">
        <f t="shared" si="56"/>
        <v>#DIV/0!</v>
      </c>
    </row>
    <row r="1216" spans="1:22" outlineLevel="2">
      <c r="A1216" t="s">
        <v>396</v>
      </c>
      <c r="B1216" t="s">
        <v>397</v>
      </c>
      <c r="C1216" t="s">
        <v>232</v>
      </c>
      <c r="D1216" t="s">
        <v>233</v>
      </c>
      <c r="E1216" s="4">
        <v>3889.86</v>
      </c>
      <c r="F1216" s="4">
        <v>3889.86</v>
      </c>
      <c r="G1216" s="4">
        <v>3889.86</v>
      </c>
      <c r="H1216" s="4">
        <v>3889.86</v>
      </c>
      <c r="I1216" s="4">
        <v>3889.86</v>
      </c>
      <c r="J1216" s="4">
        <v>1482.35</v>
      </c>
      <c r="K1216" s="4">
        <v>3996.77</v>
      </c>
      <c r="L1216" s="4">
        <v>5279.77</v>
      </c>
      <c r="M1216" s="4">
        <v>3996.77</v>
      </c>
      <c r="N1216" s="4">
        <v>3996.77</v>
      </c>
      <c r="O1216" s="4">
        <v>3996.77</v>
      </c>
      <c r="P1216" s="4">
        <v>3996.77</v>
      </c>
      <c r="Q1216" s="4">
        <v>4540.08</v>
      </c>
      <c r="R1216" s="4">
        <v>4268.43</v>
      </c>
      <c r="S1216" s="8">
        <f t="shared" si="54"/>
        <v>4301.1549999999997</v>
      </c>
      <c r="T1216" s="8">
        <f t="shared" si="55"/>
        <v>-32.724999999999454</v>
      </c>
      <c r="U1216" s="9">
        <f t="shared" si="56"/>
        <v>-7.6084214588870791E-3</v>
      </c>
    </row>
    <row r="1217" spans="1:22" outlineLevel="2">
      <c r="A1217" t="s">
        <v>396</v>
      </c>
      <c r="B1217" t="s">
        <v>397</v>
      </c>
      <c r="C1217" t="s">
        <v>47</v>
      </c>
      <c r="D1217" t="s">
        <v>48</v>
      </c>
      <c r="E1217" s="4">
        <v>0</v>
      </c>
      <c r="F1217" s="4">
        <v>7.49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S1217" s="8">
        <f t="shared" si="54"/>
        <v>0</v>
      </c>
      <c r="T1217" s="8">
        <f t="shared" si="55"/>
        <v>0</v>
      </c>
      <c r="U1217" s="9" t="e">
        <f t="shared" si="56"/>
        <v>#DIV/0!</v>
      </c>
    </row>
    <row r="1218" spans="1:22" outlineLevel="2">
      <c r="A1218" t="s">
        <v>396</v>
      </c>
      <c r="B1218" t="s">
        <v>397</v>
      </c>
      <c r="C1218" t="s">
        <v>49</v>
      </c>
      <c r="D1218" t="s">
        <v>50</v>
      </c>
      <c r="E1218" s="4">
        <v>0</v>
      </c>
      <c r="F1218" s="4">
        <v>90.289999999999992</v>
      </c>
      <c r="G1218" s="4">
        <v>35.08</v>
      </c>
      <c r="H1218" s="4">
        <v>65.61999999999999</v>
      </c>
      <c r="I1218" s="4">
        <v>52.04</v>
      </c>
      <c r="J1218" s="4">
        <v>34.239999999999995</v>
      </c>
      <c r="K1218" s="4">
        <v>74.399999999999991</v>
      </c>
      <c r="L1218" s="4">
        <v>34.24</v>
      </c>
      <c r="M1218" s="4">
        <v>0</v>
      </c>
      <c r="N1218" s="4">
        <v>68.990000000000009</v>
      </c>
      <c r="O1218" s="4">
        <v>34.24</v>
      </c>
      <c r="P1218" s="4">
        <v>61.929999999999993</v>
      </c>
      <c r="Q1218" s="4">
        <v>34.24</v>
      </c>
      <c r="R1218" s="4">
        <v>34.75</v>
      </c>
      <c r="S1218" s="8">
        <f t="shared" si="54"/>
        <v>38.940000000000005</v>
      </c>
      <c r="T1218" s="8">
        <f t="shared" si="55"/>
        <v>-4.1900000000000048</v>
      </c>
      <c r="U1218" s="9">
        <f t="shared" si="56"/>
        <v>-0.10760143810991279</v>
      </c>
    </row>
    <row r="1219" spans="1:22" outlineLevel="2">
      <c r="A1219" t="s">
        <v>396</v>
      </c>
      <c r="B1219" t="s">
        <v>397</v>
      </c>
      <c r="C1219" t="s">
        <v>51</v>
      </c>
      <c r="D1219" t="s">
        <v>52</v>
      </c>
      <c r="E1219" s="4">
        <v>0</v>
      </c>
      <c r="F1219" s="4">
        <v>0</v>
      </c>
      <c r="G1219" s="4">
        <v>0</v>
      </c>
      <c r="H1219" s="4">
        <v>0</v>
      </c>
      <c r="I1219" s="4">
        <v>135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  <c r="O1219" s="4">
        <v>0</v>
      </c>
      <c r="P1219" s="4">
        <v>0</v>
      </c>
      <c r="Q1219" s="4">
        <v>0</v>
      </c>
      <c r="S1219" s="8">
        <f t="shared" ref="S1219:S1282" si="57">AVERAGE(L1219:Q1219)</f>
        <v>0</v>
      </c>
      <c r="T1219" s="8">
        <f t="shared" ref="T1219:T1282" si="58">R1219-S1219</f>
        <v>0</v>
      </c>
      <c r="U1219" s="9" t="e">
        <f t="shared" ref="U1219:U1282" si="59">(R1219-S1219)/S1219</f>
        <v>#DIV/0!</v>
      </c>
    </row>
    <row r="1220" spans="1:22" outlineLevel="2">
      <c r="A1220" t="s">
        <v>396</v>
      </c>
      <c r="B1220" t="s">
        <v>397</v>
      </c>
      <c r="C1220" t="s">
        <v>164</v>
      </c>
      <c r="D1220" t="s">
        <v>165</v>
      </c>
      <c r="E1220" s="4">
        <v>0</v>
      </c>
      <c r="F1220" s="4">
        <v>0</v>
      </c>
      <c r="G1220" s="4">
        <v>0</v>
      </c>
      <c r="H1220" s="4">
        <v>0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210</v>
      </c>
      <c r="S1220" s="8">
        <f t="shared" si="57"/>
        <v>0</v>
      </c>
      <c r="T1220" s="8">
        <f t="shared" si="58"/>
        <v>210</v>
      </c>
      <c r="U1220" s="9" t="e">
        <f t="shared" si="59"/>
        <v>#DIV/0!</v>
      </c>
      <c r="V1220" t="s">
        <v>895</v>
      </c>
    </row>
    <row r="1221" spans="1:22" outlineLevel="2">
      <c r="A1221" t="s">
        <v>396</v>
      </c>
      <c r="B1221" t="s">
        <v>397</v>
      </c>
      <c r="C1221" t="s">
        <v>53</v>
      </c>
      <c r="D1221" t="s">
        <v>54</v>
      </c>
      <c r="E1221" s="4">
        <v>0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S1221" s="8">
        <f t="shared" si="57"/>
        <v>0</v>
      </c>
      <c r="T1221" s="8">
        <f t="shared" si="58"/>
        <v>0</v>
      </c>
      <c r="U1221" s="9" t="e">
        <f t="shared" si="59"/>
        <v>#DIV/0!</v>
      </c>
    </row>
    <row r="1222" spans="1:22" outlineLevel="2">
      <c r="A1222" t="s">
        <v>396</v>
      </c>
      <c r="B1222" t="s">
        <v>397</v>
      </c>
      <c r="C1222" t="s">
        <v>63</v>
      </c>
      <c r="D1222" t="s">
        <v>64</v>
      </c>
      <c r="E1222" s="4">
        <v>16612.990000000002</v>
      </c>
      <c r="F1222" s="4">
        <v>0</v>
      </c>
      <c r="G1222" s="4">
        <v>89.41</v>
      </c>
      <c r="H1222" s="4">
        <v>278.85000000000002</v>
      </c>
      <c r="I1222" s="4">
        <v>208.75000000000003</v>
      </c>
      <c r="J1222" s="4">
        <v>0</v>
      </c>
      <c r="K1222" s="4">
        <v>0</v>
      </c>
      <c r="L1222" s="4">
        <v>0</v>
      </c>
      <c r="M1222" s="4">
        <v>0</v>
      </c>
      <c r="N1222" s="4">
        <v>76.05</v>
      </c>
      <c r="O1222" s="4">
        <v>0</v>
      </c>
      <c r="P1222" s="4">
        <v>0</v>
      </c>
      <c r="Q1222" s="4">
        <v>0</v>
      </c>
      <c r="S1222" s="8">
        <f t="shared" si="57"/>
        <v>12.674999999999999</v>
      </c>
      <c r="T1222" s="8">
        <f t="shared" si="58"/>
        <v>-12.674999999999999</v>
      </c>
      <c r="U1222" s="9">
        <f t="shared" si="59"/>
        <v>-1</v>
      </c>
    </row>
    <row r="1223" spans="1:22" outlineLevel="2">
      <c r="A1223" t="s">
        <v>396</v>
      </c>
      <c r="B1223" t="s">
        <v>397</v>
      </c>
      <c r="C1223" t="s">
        <v>87</v>
      </c>
      <c r="D1223" t="s">
        <v>88</v>
      </c>
      <c r="E1223" s="4">
        <v>127.74</v>
      </c>
      <c r="F1223" s="4">
        <v>0</v>
      </c>
      <c r="G1223" s="4">
        <v>0</v>
      </c>
      <c r="H1223" s="4">
        <v>0</v>
      </c>
      <c r="I1223" s="4">
        <v>0</v>
      </c>
      <c r="J1223" s="4">
        <v>0</v>
      </c>
      <c r="K1223" s="4">
        <v>0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S1223" s="8">
        <f t="shared" si="57"/>
        <v>0</v>
      </c>
      <c r="T1223" s="8">
        <f t="shared" si="58"/>
        <v>0</v>
      </c>
      <c r="U1223" s="9" t="e">
        <f t="shared" si="59"/>
        <v>#DIV/0!</v>
      </c>
    </row>
    <row r="1224" spans="1:22" outlineLevel="2">
      <c r="A1224" t="s">
        <v>396</v>
      </c>
      <c r="B1224" t="s">
        <v>397</v>
      </c>
      <c r="C1224" t="s">
        <v>89</v>
      </c>
      <c r="D1224" t="s">
        <v>90</v>
      </c>
      <c r="E1224" s="4">
        <v>699.02</v>
      </c>
      <c r="F1224" s="4">
        <v>0</v>
      </c>
      <c r="G1224" s="4">
        <v>0</v>
      </c>
      <c r="H1224" s="4">
        <v>0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S1224" s="8">
        <f t="shared" si="57"/>
        <v>0</v>
      </c>
      <c r="T1224" s="8">
        <f t="shared" si="58"/>
        <v>0</v>
      </c>
      <c r="U1224" s="9" t="e">
        <f t="shared" si="59"/>
        <v>#DIV/0!</v>
      </c>
    </row>
    <row r="1225" spans="1:22" outlineLevel="2">
      <c r="A1225" t="s">
        <v>396</v>
      </c>
      <c r="B1225" t="s">
        <v>397</v>
      </c>
      <c r="C1225" t="s">
        <v>182</v>
      </c>
      <c r="D1225" t="s">
        <v>183</v>
      </c>
      <c r="E1225" s="4">
        <v>15.81</v>
      </c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S1225" s="8">
        <f t="shared" si="57"/>
        <v>0</v>
      </c>
      <c r="T1225" s="8">
        <f t="shared" si="58"/>
        <v>0</v>
      </c>
      <c r="U1225" s="9" t="e">
        <f t="shared" si="59"/>
        <v>#DIV/0!</v>
      </c>
    </row>
    <row r="1226" spans="1:22" outlineLevel="2">
      <c r="A1226" t="s">
        <v>396</v>
      </c>
      <c r="B1226" t="s">
        <v>397</v>
      </c>
      <c r="C1226" t="s">
        <v>93</v>
      </c>
      <c r="D1226" t="s">
        <v>94</v>
      </c>
      <c r="E1226" s="4">
        <v>1143.8900000000001</v>
      </c>
      <c r="F1226" s="4">
        <v>259.11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  <c r="L1226" s="4">
        <v>0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S1226" s="8">
        <f t="shared" si="57"/>
        <v>0</v>
      </c>
      <c r="T1226" s="8">
        <f t="shared" si="58"/>
        <v>0</v>
      </c>
      <c r="U1226" s="9" t="e">
        <f t="shared" si="59"/>
        <v>#DIV/0!</v>
      </c>
    </row>
    <row r="1227" spans="1:22" outlineLevel="2">
      <c r="A1227" t="s">
        <v>396</v>
      </c>
      <c r="B1227" t="s">
        <v>397</v>
      </c>
      <c r="C1227" t="s">
        <v>101</v>
      </c>
      <c r="D1227" t="s">
        <v>102</v>
      </c>
      <c r="E1227" s="4">
        <v>0</v>
      </c>
      <c r="F1227" s="4">
        <v>0</v>
      </c>
      <c r="G1227" s="4">
        <v>24799.360000000001</v>
      </c>
      <c r="H1227" s="4">
        <v>0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S1227" s="8">
        <f t="shared" si="57"/>
        <v>0</v>
      </c>
      <c r="T1227" s="8">
        <f t="shared" si="58"/>
        <v>0</v>
      </c>
      <c r="U1227" s="9" t="e">
        <f t="shared" si="59"/>
        <v>#DIV/0!</v>
      </c>
    </row>
    <row r="1228" spans="1:22" outlineLevel="2">
      <c r="A1228" t="s">
        <v>396</v>
      </c>
      <c r="B1228" t="s">
        <v>397</v>
      </c>
      <c r="C1228" t="s">
        <v>398</v>
      </c>
      <c r="D1228" t="s">
        <v>399</v>
      </c>
      <c r="E1228" s="4">
        <v>108.34</v>
      </c>
      <c r="F1228" s="4">
        <v>0</v>
      </c>
      <c r="G1228" s="4">
        <v>0</v>
      </c>
      <c r="H1228" s="4">
        <v>0</v>
      </c>
      <c r="I1228" s="4">
        <v>0</v>
      </c>
      <c r="J1228" s="4">
        <v>0</v>
      </c>
      <c r="K1228" s="4">
        <v>0</v>
      </c>
      <c r="L1228" s="4">
        <v>0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S1228" s="8">
        <f t="shared" si="57"/>
        <v>0</v>
      </c>
      <c r="T1228" s="8">
        <f t="shared" si="58"/>
        <v>0</v>
      </c>
      <c r="U1228" s="9" t="e">
        <f t="shared" si="59"/>
        <v>#DIV/0!</v>
      </c>
    </row>
    <row r="1229" spans="1:22" outlineLevel="2">
      <c r="A1229" t="s">
        <v>396</v>
      </c>
      <c r="B1229" t="s">
        <v>397</v>
      </c>
      <c r="C1229" t="s">
        <v>170</v>
      </c>
      <c r="D1229" t="s">
        <v>171</v>
      </c>
      <c r="E1229" s="4">
        <v>0</v>
      </c>
      <c r="F1229" s="4">
        <v>0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v>0</v>
      </c>
      <c r="O1229" s="4">
        <v>0</v>
      </c>
      <c r="P1229" s="4">
        <v>0</v>
      </c>
      <c r="Q1229" s="4">
        <v>0</v>
      </c>
      <c r="S1229" s="8">
        <f t="shared" si="57"/>
        <v>0</v>
      </c>
      <c r="T1229" s="8">
        <f t="shared" si="58"/>
        <v>0</v>
      </c>
      <c r="U1229" s="9" t="e">
        <f t="shared" si="59"/>
        <v>#DIV/0!</v>
      </c>
    </row>
    <row r="1230" spans="1:22" outlineLevel="2">
      <c r="A1230" t="s">
        <v>396</v>
      </c>
      <c r="B1230" t="s">
        <v>397</v>
      </c>
      <c r="C1230" t="s">
        <v>119</v>
      </c>
      <c r="D1230" t="s">
        <v>120</v>
      </c>
      <c r="E1230" s="4">
        <v>1574.36</v>
      </c>
      <c r="F1230" s="4">
        <v>0</v>
      </c>
      <c r="G1230" s="4">
        <v>0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S1230" s="8">
        <f t="shared" si="57"/>
        <v>0</v>
      </c>
      <c r="T1230" s="8">
        <f t="shared" si="58"/>
        <v>0</v>
      </c>
      <c r="U1230" s="9" t="e">
        <f t="shared" si="59"/>
        <v>#DIV/0!</v>
      </c>
    </row>
    <row r="1231" spans="1:22" outlineLevel="2">
      <c r="A1231" t="s">
        <v>396</v>
      </c>
      <c r="B1231" t="s">
        <v>397</v>
      </c>
      <c r="C1231" t="s">
        <v>127</v>
      </c>
      <c r="D1231" t="s">
        <v>120</v>
      </c>
      <c r="E1231" s="4">
        <v>397.1</v>
      </c>
      <c r="F1231" s="4">
        <v>0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0</v>
      </c>
      <c r="O1231" s="4">
        <v>0</v>
      </c>
      <c r="P1231" s="4">
        <v>0</v>
      </c>
      <c r="Q1231" s="4">
        <v>0</v>
      </c>
      <c r="S1231" s="8">
        <f t="shared" si="57"/>
        <v>0</v>
      </c>
      <c r="T1231" s="8">
        <f t="shared" si="58"/>
        <v>0</v>
      </c>
      <c r="U1231" s="9" t="e">
        <f t="shared" si="59"/>
        <v>#DIV/0!</v>
      </c>
    </row>
    <row r="1232" spans="1:22" outlineLevel="2">
      <c r="A1232" t="s">
        <v>396</v>
      </c>
      <c r="B1232" t="s">
        <v>397</v>
      </c>
      <c r="C1232" t="s">
        <v>172</v>
      </c>
      <c r="D1232" t="s">
        <v>173</v>
      </c>
      <c r="E1232" s="4">
        <v>0</v>
      </c>
      <c r="F1232" s="4">
        <v>0</v>
      </c>
      <c r="G1232" s="4">
        <v>1540.75</v>
      </c>
      <c r="H1232" s="4">
        <v>513.58000000000004</v>
      </c>
      <c r="I1232" s="4">
        <v>513.58000000000004</v>
      </c>
      <c r="J1232" s="4">
        <v>513.58000000000004</v>
      </c>
      <c r="K1232" s="4">
        <v>513.58000000000004</v>
      </c>
      <c r="L1232" s="4">
        <v>513.58000000000004</v>
      </c>
      <c r="M1232" s="4">
        <v>513.58000000000004</v>
      </c>
      <c r="N1232" s="4">
        <v>513.58000000000004</v>
      </c>
      <c r="O1232" s="4">
        <v>-513.58000000000004</v>
      </c>
      <c r="P1232" s="4">
        <v>-1.1368683772161603E-13</v>
      </c>
      <c r="Q1232" s="4">
        <v>8.33</v>
      </c>
      <c r="S1232" s="8">
        <f t="shared" si="57"/>
        <v>172.58166666666671</v>
      </c>
      <c r="T1232" s="8">
        <f t="shared" si="58"/>
        <v>-172.58166666666671</v>
      </c>
      <c r="U1232" s="9">
        <f t="shared" si="59"/>
        <v>-1</v>
      </c>
    </row>
    <row r="1233" spans="1:22" outlineLevel="1">
      <c r="A1233" s="1" t="s">
        <v>757</v>
      </c>
      <c r="E1233" s="4">
        <f>SUBTOTAL(9,E1197:E1232)</f>
        <v>52045.889999999978</v>
      </c>
      <c r="F1233" s="4">
        <f>SUBTOTAL(9,F1197:F1232)</f>
        <v>202547.09</v>
      </c>
      <c r="G1233" s="4">
        <f>SUBTOTAL(9,G1197:G1232)</f>
        <v>37459.36999999993</v>
      </c>
      <c r="H1233" s="4">
        <f>SUBTOTAL(9,H1197:H1232)</f>
        <v>69239.790000000008</v>
      </c>
      <c r="I1233" s="4">
        <f>SUBTOTAL(9,I1197:I1232)</f>
        <v>127354.44000000005</v>
      </c>
      <c r="J1233" s="4">
        <f>SUBTOTAL(9,J1197:J1232)</f>
        <v>37617.439999999988</v>
      </c>
      <c r="K1233" s="4">
        <f>SUBTOTAL(9,K1197:K1232)</f>
        <v>111731.57999999994</v>
      </c>
      <c r="L1233" s="4">
        <f>SUBTOTAL(9,L1197:L1232)</f>
        <v>122974.42000000009</v>
      </c>
      <c r="M1233" s="4">
        <f>SUBTOTAL(9,M1197:M1232)</f>
        <v>61779.290000000081</v>
      </c>
      <c r="N1233" s="4">
        <f>SUBTOTAL(9,N1197:N1232)</f>
        <v>107890.17000000009</v>
      </c>
      <c r="O1233" s="4">
        <f>SUBTOTAL(9,O1197:O1232)</f>
        <v>106752.21</v>
      </c>
      <c r="P1233" s="4">
        <f>SUBTOTAL(9,P1197:P1232)</f>
        <v>32113.879999999997</v>
      </c>
      <c r="Q1233" s="4">
        <f>SUBTOTAL(9,Q1197:Q1232)</f>
        <v>7269.6800000000012</v>
      </c>
      <c r="R1233" s="4">
        <f>SUBTOTAL(9,R1197:R1232)</f>
        <v>-786.85000000002765</v>
      </c>
      <c r="S1233" s="8">
        <f t="shared" si="57"/>
        <v>73129.941666666709</v>
      </c>
      <c r="T1233" s="8">
        <f t="shared" si="58"/>
        <v>-73916.791666666744</v>
      </c>
      <c r="U1233" s="9">
        <f t="shared" si="59"/>
        <v>-1.010759614763356</v>
      </c>
      <c r="V1233" t="s">
        <v>897</v>
      </c>
    </row>
    <row r="1234" spans="1:22" outlineLevel="2">
      <c r="A1234" t="s">
        <v>400</v>
      </c>
      <c r="B1234" t="s">
        <v>401</v>
      </c>
      <c r="C1234" t="s">
        <v>21</v>
      </c>
      <c r="D1234" t="s">
        <v>22</v>
      </c>
      <c r="E1234" s="4">
        <v>0</v>
      </c>
      <c r="F1234" s="4">
        <v>0</v>
      </c>
      <c r="G1234" s="4">
        <v>0</v>
      </c>
      <c r="H1234" s="4">
        <v>0</v>
      </c>
      <c r="I1234" s="4">
        <v>0</v>
      </c>
      <c r="J1234" s="4">
        <v>0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S1234" s="8">
        <f t="shared" si="57"/>
        <v>0</v>
      </c>
      <c r="T1234" s="8">
        <f t="shared" si="58"/>
        <v>0</v>
      </c>
      <c r="U1234" s="9" t="e">
        <f t="shared" si="59"/>
        <v>#DIV/0!</v>
      </c>
    </row>
    <row r="1235" spans="1:22" outlineLevel="2">
      <c r="A1235" t="s">
        <v>400</v>
      </c>
      <c r="B1235" t="s">
        <v>401</v>
      </c>
      <c r="C1235" t="s">
        <v>25</v>
      </c>
      <c r="D1235" t="s">
        <v>26</v>
      </c>
      <c r="E1235" s="4">
        <v>0</v>
      </c>
      <c r="F1235" s="4">
        <v>0</v>
      </c>
      <c r="G1235" s="4">
        <v>0</v>
      </c>
      <c r="H1235" s="4">
        <v>0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0</v>
      </c>
      <c r="O1235" s="4">
        <v>0</v>
      </c>
      <c r="P1235" s="4">
        <v>0</v>
      </c>
      <c r="Q1235" s="4">
        <v>-7.1054273576010019E-15</v>
      </c>
      <c r="S1235" s="8">
        <f t="shared" si="57"/>
        <v>-1.1842378929335002E-15</v>
      </c>
      <c r="T1235" s="8">
        <f t="shared" si="58"/>
        <v>1.1842378929335002E-15</v>
      </c>
      <c r="U1235" s="9">
        <f t="shared" si="59"/>
        <v>-1</v>
      </c>
    </row>
    <row r="1236" spans="1:22" outlineLevel="2">
      <c r="A1236" t="s">
        <v>400</v>
      </c>
      <c r="B1236" t="s">
        <v>401</v>
      </c>
      <c r="C1236" t="s">
        <v>27</v>
      </c>
      <c r="D1236" t="s">
        <v>28</v>
      </c>
      <c r="E1236" s="4">
        <v>0</v>
      </c>
      <c r="F1236" s="4">
        <v>0</v>
      </c>
      <c r="G1236" s="4">
        <v>0</v>
      </c>
      <c r="H1236" s="4">
        <v>0</v>
      </c>
      <c r="I1236" s="4">
        <v>0</v>
      </c>
      <c r="J1236" s="4">
        <v>0</v>
      </c>
      <c r="K1236" s="4">
        <v>0</v>
      </c>
      <c r="L1236" s="4">
        <v>0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S1236" s="8">
        <f t="shared" si="57"/>
        <v>0</v>
      </c>
      <c r="T1236" s="8">
        <f t="shared" si="58"/>
        <v>0</v>
      </c>
      <c r="U1236" s="9" t="e">
        <f t="shared" si="59"/>
        <v>#DIV/0!</v>
      </c>
    </row>
    <row r="1237" spans="1:22" outlineLevel="2">
      <c r="A1237" t="s">
        <v>400</v>
      </c>
      <c r="B1237" t="s">
        <v>401</v>
      </c>
      <c r="C1237" t="s">
        <v>136</v>
      </c>
      <c r="D1237" t="s">
        <v>137</v>
      </c>
      <c r="E1237" s="4">
        <v>-7.2759576141834259E-12</v>
      </c>
      <c r="F1237" s="4">
        <v>0</v>
      </c>
      <c r="G1237" s="4">
        <v>-7.2759576141834259E-12</v>
      </c>
      <c r="H1237" s="4">
        <v>-3.637978807091713E-12</v>
      </c>
      <c r="I1237" s="4">
        <v>0</v>
      </c>
      <c r="J1237" s="4">
        <v>0</v>
      </c>
      <c r="K1237" s="4">
        <v>0</v>
      </c>
      <c r="L1237" s="4">
        <v>7.2759576141834259E-12</v>
      </c>
      <c r="M1237" s="4">
        <v>-3.637978807091713E-12</v>
      </c>
      <c r="N1237" s="4">
        <v>0</v>
      </c>
      <c r="O1237" s="4">
        <v>0</v>
      </c>
      <c r="P1237" s="4">
        <v>0</v>
      </c>
      <c r="Q1237" s="4">
        <v>-1.8189894035458565E-12</v>
      </c>
      <c r="R1237" s="4">
        <v>55845.84</v>
      </c>
      <c r="S1237" s="8">
        <f t="shared" si="57"/>
        <v>3.0316490059097606E-13</v>
      </c>
      <c r="T1237" s="8">
        <f t="shared" si="58"/>
        <v>55845.84</v>
      </c>
      <c r="U1237" s="9">
        <f t="shared" si="59"/>
        <v>1.8420945132875414E+17</v>
      </c>
      <c r="V1237" t="s">
        <v>896</v>
      </c>
    </row>
    <row r="1238" spans="1:22" outlineLevel="2">
      <c r="A1238" t="s">
        <v>400</v>
      </c>
      <c r="B1238" t="s">
        <v>401</v>
      </c>
      <c r="C1238" t="s">
        <v>138</v>
      </c>
      <c r="D1238" t="s">
        <v>139</v>
      </c>
      <c r="E1238" s="4">
        <v>0</v>
      </c>
      <c r="F1238" s="4">
        <v>-5.8207660913467407E-11</v>
      </c>
      <c r="G1238" s="4">
        <v>0</v>
      </c>
      <c r="H1238" s="4">
        <v>0</v>
      </c>
      <c r="I1238" s="4">
        <v>0</v>
      </c>
      <c r="J1238" s="4">
        <v>5.8207660913467407E-11</v>
      </c>
      <c r="K1238" s="4">
        <v>2.9103830456733704E-11</v>
      </c>
      <c r="L1238" s="4">
        <v>-5.8207660913467407E-11</v>
      </c>
      <c r="M1238" s="4">
        <v>2.9103830456733704E-11</v>
      </c>
      <c r="N1238" s="4">
        <v>1.1641576591614466E-11</v>
      </c>
      <c r="O1238" s="4">
        <v>-5.8207660913467407E-11</v>
      </c>
      <c r="P1238" s="4">
        <v>1.1641532182693481E-10</v>
      </c>
      <c r="Q1238" s="4">
        <v>-4.3655745685100555E-11</v>
      </c>
      <c r="R1238" s="4">
        <v>350495.47000000003</v>
      </c>
      <c r="S1238" s="8">
        <f t="shared" si="57"/>
        <v>-4.8505643945873089E-13</v>
      </c>
      <c r="T1238" s="8">
        <f t="shared" si="58"/>
        <v>350495.47000000003</v>
      </c>
      <c r="U1238" s="9">
        <f t="shared" si="59"/>
        <v>-7.2258698470453056E+17</v>
      </c>
      <c r="V1238" t="s">
        <v>895</v>
      </c>
    </row>
    <row r="1239" spans="1:22" outlineLevel="2">
      <c r="A1239" t="s">
        <v>400</v>
      </c>
      <c r="B1239" t="s">
        <v>401</v>
      </c>
      <c r="C1239" t="s">
        <v>29</v>
      </c>
      <c r="D1239" t="s">
        <v>30</v>
      </c>
      <c r="E1239" s="4">
        <v>-1.4551915228366852E-11</v>
      </c>
      <c r="F1239" s="4">
        <v>0</v>
      </c>
      <c r="G1239" s="4">
        <v>-2.9103830456733704E-11</v>
      </c>
      <c r="H1239" s="4">
        <v>-1.4551915228366852E-11</v>
      </c>
      <c r="I1239" s="4">
        <v>2.9103830456733704E-11</v>
      </c>
      <c r="J1239" s="4">
        <v>0</v>
      </c>
      <c r="K1239" s="4">
        <v>2.9103830456733704E-11</v>
      </c>
      <c r="L1239" s="4">
        <v>0</v>
      </c>
      <c r="M1239" s="4">
        <v>1.4551915228366852E-11</v>
      </c>
      <c r="N1239" s="4">
        <v>0</v>
      </c>
      <c r="O1239" s="4">
        <v>0</v>
      </c>
      <c r="P1239" s="4">
        <v>-1.4551915228366852E-11</v>
      </c>
      <c r="Q1239" s="4">
        <v>1.4551915228366852E-11</v>
      </c>
      <c r="R1239" s="4">
        <v>200516.25</v>
      </c>
      <c r="S1239" s="8">
        <f t="shared" si="57"/>
        <v>2.4253192047278085E-12</v>
      </c>
      <c r="T1239" s="8">
        <f t="shared" si="58"/>
        <v>200516.25</v>
      </c>
      <c r="U1239" s="9">
        <f t="shared" si="59"/>
        <v>8.267623066238976E+16</v>
      </c>
      <c r="V1239" t="s">
        <v>896</v>
      </c>
    </row>
    <row r="1240" spans="1:22" outlineLevel="2">
      <c r="A1240" t="s">
        <v>400</v>
      </c>
      <c r="B1240" t="s">
        <v>401</v>
      </c>
      <c r="C1240" t="s">
        <v>142</v>
      </c>
      <c r="D1240" t="s">
        <v>143</v>
      </c>
      <c r="E1240" s="4">
        <v>0</v>
      </c>
      <c r="F1240" s="4">
        <v>0</v>
      </c>
      <c r="G1240" s="4">
        <v>0</v>
      </c>
      <c r="H1240" s="4">
        <v>0</v>
      </c>
      <c r="I1240" s="4">
        <v>0</v>
      </c>
      <c r="J1240" s="4">
        <v>0</v>
      </c>
      <c r="K1240" s="4">
        <v>25000</v>
      </c>
      <c r="L1240" s="4">
        <v>0</v>
      </c>
      <c r="M1240" s="4">
        <v>3000</v>
      </c>
      <c r="N1240" s="4">
        <v>0</v>
      </c>
      <c r="O1240" s="4">
        <v>0</v>
      </c>
      <c r="P1240" s="4">
        <v>47500</v>
      </c>
      <c r="Q1240" s="4">
        <v>0</v>
      </c>
      <c r="S1240" s="8">
        <f t="shared" si="57"/>
        <v>8416.6666666666661</v>
      </c>
      <c r="T1240" s="8">
        <f t="shared" si="58"/>
        <v>-8416.6666666666661</v>
      </c>
      <c r="U1240" s="9">
        <f t="shared" si="59"/>
        <v>-1</v>
      </c>
    </row>
    <row r="1241" spans="1:22" outlineLevel="2">
      <c r="A1241" t="s">
        <v>400</v>
      </c>
      <c r="B1241" t="s">
        <v>401</v>
      </c>
      <c r="C1241" t="s">
        <v>144</v>
      </c>
      <c r="D1241" t="s">
        <v>145</v>
      </c>
      <c r="E1241" s="4">
        <v>0</v>
      </c>
      <c r="F1241" s="4">
        <v>0</v>
      </c>
      <c r="G1241" s="4">
        <v>0</v>
      </c>
      <c r="H1241" s="4">
        <v>0</v>
      </c>
      <c r="I1241" s="4">
        <v>3.637978807091713E-12</v>
      </c>
      <c r="J1241" s="4">
        <v>0</v>
      </c>
      <c r="K1241" s="4">
        <v>0</v>
      </c>
      <c r="L1241" s="4">
        <v>-3.637978807091713E-12</v>
      </c>
      <c r="M1241" s="4">
        <v>0</v>
      </c>
      <c r="N1241" s="4">
        <v>3.637978807091713E-12</v>
      </c>
      <c r="O1241" s="4">
        <v>0</v>
      </c>
      <c r="P1241" s="4">
        <v>0</v>
      </c>
      <c r="Q1241" s="4">
        <v>-1.8189894035458565E-12</v>
      </c>
      <c r="R1241" s="4">
        <v>-19129.759999999998</v>
      </c>
      <c r="S1241" s="8">
        <f t="shared" si="57"/>
        <v>-3.0316490059097606E-13</v>
      </c>
      <c r="T1241" s="8">
        <f t="shared" si="58"/>
        <v>-19129.759999999998</v>
      </c>
      <c r="U1241" s="9">
        <f t="shared" si="59"/>
        <v>6.310018066969264E+16</v>
      </c>
      <c r="V1241" t="s">
        <v>897</v>
      </c>
    </row>
    <row r="1242" spans="1:22" outlineLevel="2">
      <c r="A1242" t="s">
        <v>400</v>
      </c>
      <c r="B1242" t="s">
        <v>401</v>
      </c>
      <c r="C1242" t="s">
        <v>146</v>
      </c>
      <c r="D1242" t="s">
        <v>147</v>
      </c>
      <c r="E1242" s="4">
        <v>1.4551915228366852E-11</v>
      </c>
      <c r="F1242" s="4">
        <v>0</v>
      </c>
      <c r="G1242" s="4">
        <v>0</v>
      </c>
      <c r="H1242" s="4">
        <v>5.8264504332328215E-13</v>
      </c>
      <c r="I1242" s="4">
        <v>0</v>
      </c>
      <c r="J1242" s="4">
        <v>0</v>
      </c>
      <c r="K1242" s="4">
        <v>1.0913936421275139E-11</v>
      </c>
      <c r="L1242" s="4">
        <v>0</v>
      </c>
      <c r="M1242" s="4">
        <v>3.637978807091713E-12</v>
      </c>
      <c r="N1242" s="4">
        <v>0</v>
      </c>
      <c r="O1242" s="4">
        <v>-7.2759576141834259E-12</v>
      </c>
      <c r="P1242" s="4">
        <v>0</v>
      </c>
      <c r="Q1242" s="4">
        <v>3.637978807091713E-12</v>
      </c>
      <c r="R1242" s="4">
        <v>52736.34</v>
      </c>
      <c r="S1242" s="8">
        <f t="shared" si="57"/>
        <v>0</v>
      </c>
      <c r="T1242" s="8">
        <f t="shared" si="58"/>
        <v>52736.34</v>
      </c>
      <c r="U1242" s="9" t="e">
        <f t="shared" si="59"/>
        <v>#DIV/0!</v>
      </c>
      <c r="V1242" t="s">
        <v>895</v>
      </c>
    </row>
    <row r="1243" spans="1:22" outlineLevel="2">
      <c r="A1243" t="s">
        <v>400</v>
      </c>
      <c r="B1243" t="s">
        <v>401</v>
      </c>
      <c r="C1243" t="s">
        <v>150</v>
      </c>
      <c r="D1243" t="s">
        <v>151</v>
      </c>
      <c r="E1243" s="4">
        <v>0</v>
      </c>
      <c r="F1243" s="4">
        <v>43308</v>
      </c>
      <c r="G1243" s="4">
        <v>8661.6000000000058</v>
      </c>
      <c r="H1243" s="4">
        <v>58029.89</v>
      </c>
      <c r="I1243" s="4">
        <v>48124.770000000004</v>
      </c>
      <c r="J1243" s="4">
        <v>31899.85</v>
      </c>
      <c r="K1243" s="4">
        <v>37310.71</v>
      </c>
      <c r="L1243" s="4">
        <v>37310.71</v>
      </c>
      <c r="M1243" s="4">
        <v>37310.71</v>
      </c>
      <c r="N1243" s="4">
        <v>40162.15</v>
      </c>
      <c r="O1243" s="4">
        <v>40162.15</v>
      </c>
      <c r="P1243" s="4">
        <v>40162.15</v>
      </c>
      <c r="Q1243" s="4">
        <v>33753.67</v>
      </c>
      <c r="R1243" s="4">
        <v>21833.03</v>
      </c>
      <c r="S1243" s="8">
        <f t="shared" si="57"/>
        <v>38143.589999999997</v>
      </c>
      <c r="T1243" s="8">
        <f t="shared" si="58"/>
        <v>-16310.559999999998</v>
      </c>
      <c r="U1243" s="9">
        <f t="shared" si="59"/>
        <v>-0.42760946203542977</v>
      </c>
    </row>
    <row r="1244" spans="1:22" outlineLevel="2">
      <c r="A1244" t="s">
        <v>400</v>
      </c>
      <c r="B1244" t="s">
        <v>401</v>
      </c>
      <c r="C1244" t="s">
        <v>152</v>
      </c>
      <c r="D1244" t="s">
        <v>153</v>
      </c>
      <c r="E1244" s="4">
        <v>3.637978807091713E-12</v>
      </c>
      <c r="F1244" s="4">
        <v>7.2759576141834259E-12</v>
      </c>
      <c r="G1244" s="4">
        <v>7.2759576141834259E-12</v>
      </c>
      <c r="H1244" s="4">
        <v>5.8264504332328215E-13</v>
      </c>
      <c r="I1244" s="4">
        <v>0</v>
      </c>
      <c r="J1244" s="4">
        <v>0</v>
      </c>
      <c r="K1244" s="4">
        <v>3.637978807091713E-12</v>
      </c>
      <c r="L1244" s="4">
        <v>0</v>
      </c>
      <c r="M1244" s="4">
        <v>3.637978807091713E-12</v>
      </c>
      <c r="N1244" s="4">
        <v>6.4028435331486833E-12</v>
      </c>
      <c r="O1244" s="4">
        <v>0</v>
      </c>
      <c r="P1244" s="4">
        <v>7.2759576141834259E-12</v>
      </c>
      <c r="Q1244" s="4">
        <v>5.4569682106375694E-12</v>
      </c>
      <c r="R1244" s="4">
        <v>44944.54</v>
      </c>
      <c r="S1244" s="8">
        <f t="shared" si="57"/>
        <v>3.7956246941768983E-12</v>
      </c>
      <c r="T1244" s="8">
        <f t="shared" si="58"/>
        <v>44944.539999999994</v>
      </c>
      <c r="U1244" s="9">
        <f t="shared" si="59"/>
        <v>1.1841144375773554E+16</v>
      </c>
      <c r="V1244" t="s">
        <v>895</v>
      </c>
    </row>
    <row r="1245" spans="1:22" outlineLevel="2">
      <c r="A1245" t="s">
        <v>400</v>
      </c>
      <c r="B1245" t="s">
        <v>401</v>
      </c>
      <c r="C1245" t="s">
        <v>154</v>
      </c>
      <c r="D1245" t="s">
        <v>155</v>
      </c>
      <c r="E1245" s="4">
        <v>0</v>
      </c>
      <c r="F1245" s="4">
        <v>9.0949470177292824E-13</v>
      </c>
      <c r="G1245" s="4">
        <v>0</v>
      </c>
      <c r="H1245" s="4">
        <v>-1.1368683772161603E-13</v>
      </c>
      <c r="I1245" s="4">
        <v>0</v>
      </c>
      <c r="J1245" s="4">
        <v>0</v>
      </c>
      <c r="K1245" s="4">
        <v>0</v>
      </c>
      <c r="L1245" s="4">
        <v>1.1368683772161603E-13</v>
      </c>
      <c r="M1245" s="4">
        <v>5.6843418860808015E-14</v>
      </c>
      <c r="N1245" s="4">
        <v>1.1368683772161603E-13</v>
      </c>
      <c r="O1245" s="4">
        <v>0</v>
      </c>
      <c r="P1245" s="4">
        <v>0</v>
      </c>
      <c r="Q1245" s="4">
        <v>0</v>
      </c>
      <c r="R1245" s="4">
        <v>5600.1399999999994</v>
      </c>
      <c r="S1245" s="8">
        <f t="shared" si="57"/>
        <v>4.7369515717340014E-14</v>
      </c>
      <c r="T1245" s="8">
        <f t="shared" si="58"/>
        <v>5600.1399999999994</v>
      </c>
      <c r="U1245" s="9">
        <f t="shared" si="59"/>
        <v>1.1822244570573096E+17</v>
      </c>
      <c r="V1245" t="s">
        <v>895</v>
      </c>
    </row>
    <row r="1246" spans="1:22" outlineLevel="2">
      <c r="A1246" t="s">
        <v>400</v>
      </c>
      <c r="B1246" t="s">
        <v>401</v>
      </c>
      <c r="C1246" t="s">
        <v>35</v>
      </c>
      <c r="D1246" t="s">
        <v>36</v>
      </c>
      <c r="E1246" s="4">
        <v>0</v>
      </c>
      <c r="F1246" s="4">
        <v>0</v>
      </c>
      <c r="G1246" s="4">
        <v>0</v>
      </c>
      <c r="H1246" s="4">
        <v>0</v>
      </c>
      <c r="I1246" s="4">
        <v>0</v>
      </c>
      <c r="J1246" s="4">
        <v>0</v>
      </c>
      <c r="K1246" s="4">
        <v>0</v>
      </c>
      <c r="L1246" s="4">
        <v>0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S1246" s="8">
        <f t="shared" si="57"/>
        <v>0</v>
      </c>
      <c r="T1246" s="8">
        <f t="shared" si="58"/>
        <v>0</v>
      </c>
      <c r="U1246" s="9" t="e">
        <f t="shared" si="59"/>
        <v>#DIV/0!</v>
      </c>
    </row>
    <row r="1247" spans="1:22" outlineLevel="2">
      <c r="A1247" t="s">
        <v>400</v>
      </c>
      <c r="B1247" t="s">
        <v>401</v>
      </c>
      <c r="C1247" t="s">
        <v>156</v>
      </c>
      <c r="D1247" t="s">
        <v>157</v>
      </c>
      <c r="E1247" s="4">
        <v>0</v>
      </c>
      <c r="F1247" s="4">
        <v>0</v>
      </c>
      <c r="G1247" s="4">
        <v>0</v>
      </c>
      <c r="H1247" s="4">
        <v>0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S1247" s="8">
        <f t="shared" si="57"/>
        <v>0</v>
      </c>
      <c r="T1247" s="8">
        <f t="shared" si="58"/>
        <v>0</v>
      </c>
      <c r="U1247" s="9" t="e">
        <f t="shared" si="59"/>
        <v>#DIV/0!</v>
      </c>
    </row>
    <row r="1248" spans="1:22" outlineLevel="2">
      <c r="A1248" t="s">
        <v>400</v>
      </c>
      <c r="B1248" t="s">
        <v>401</v>
      </c>
      <c r="C1248" t="s">
        <v>158</v>
      </c>
      <c r="D1248" t="s">
        <v>159</v>
      </c>
      <c r="E1248" s="4">
        <v>3466.67</v>
      </c>
      <c r="F1248" s="4">
        <v>3467</v>
      </c>
      <c r="G1248" s="4">
        <v>4296.01</v>
      </c>
      <c r="H1248" s="4">
        <v>4550.95</v>
      </c>
      <c r="I1248" s="4">
        <v>3467</v>
      </c>
      <c r="J1248" s="4">
        <v>4795.6400000000003</v>
      </c>
      <c r="K1248" s="4">
        <v>3467</v>
      </c>
      <c r="L1248" s="4">
        <v>3467</v>
      </c>
      <c r="M1248" s="4">
        <v>1463.6499999999996</v>
      </c>
      <c r="N1248" s="4">
        <v>3467</v>
      </c>
      <c r="O1248" s="4">
        <v>3467</v>
      </c>
      <c r="P1248" s="4">
        <v>-4127.07</v>
      </c>
      <c r="Q1248" s="4">
        <v>4166.67</v>
      </c>
      <c r="R1248" s="4">
        <v>-4166.67</v>
      </c>
      <c r="S1248" s="8">
        <f t="shared" si="57"/>
        <v>1984.0416666666667</v>
      </c>
      <c r="T1248" s="8">
        <f t="shared" si="58"/>
        <v>-6150.711666666667</v>
      </c>
      <c r="U1248" s="9">
        <f t="shared" si="59"/>
        <v>-3.10009198395531</v>
      </c>
    </row>
    <row r="1249" spans="1:22" outlineLevel="2">
      <c r="A1249" t="s">
        <v>400</v>
      </c>
      <c r="B1249" t="s">
        <v>401</v>
      </c>
      <c r="C1249" t="s">
        <v>160</v>
      </c>
      <c r="D1249" t="s">
        <v>161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5454.7400000000007</v>
      </c>
      <c r="N1249" s="4">
        <v>0</v>
      </c>
      <c r="O1249" s="4">
        <v>0</v>
      </c>
      <c r="P1249" s="4">
        <v>1941.45</v>
      </c>
      <c r="Q1249" s="4">
        <v>0</v>
      </c>
      <c r="S1249" s="8">
        <f t="shared" si="57"/>
        <v>1232.6983333333335</v>
      </c>
      <c r="T1249" s="8">
        <f t="shared" si="58"/>
        <v>-1232.6983333333335</v>
      </c>
      <c r="U1249" s="9">
        <f t="shared" si="59"/>
        <v>-1</v>
      </c>
    </row>
    <row r="1250" spans="1:22" outlineLevel="2">
      <c r="A1250" t="s">
        <v>400</v>
      </c>
      <c r="B1250" t="s">
        <v>401</v>
      </c>
      <c r="C1250" t="s">
        <v>164</v>
      </c>
      <c r="D1250" t="s">
        <v>165</v>
      </c>
      <c r="E1250" s="4">
        <v>0</v>
      </c>
      <c r="F1250" s="4">
        <v>0</v>
      </c>
      <c r="G1250" s="4">
        <v>0</v>
      </c>
      <c r="H1250" s="4">
        <v>0</v>
      </c>
      <c r="I1250" s="4">
        <v>0</v>
      </c>
      <c r="J1250" s="4">
        <v>0</v>
      </c>
      <c r="K1250" s="4">
        <v>0</v>
      </c>
      <c r="L1250" s="4">
        <v>0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1890</v>
      </c>
      <c r="S1250" s="8">
        <f t="shared" si="57"/>
        <v>0</v>
      </c>
      <c r="T1250" s="8">
        <f t="shared" si="58"/>
        <v>1890</v>
      </c>
      <c r="U1250" s="9" t="e">
        <f t="shared" si="59"/>
        <v>#DIV/0!</v>
      </c>
      <c r="V1250" t="s">
        <v>895</v>
      </c>
    </row>
    <row r="1251" spans="1:22" outlineLevel="2">
      <c r="A1251" t="s">
        <v>400</v>
      </c>
      <c r="B1251" t="s">
        <v>401</v>
      </c>
      <c r="C1251" t="s">
        <v>55</v>
      </c>
      <c r="D1251" t="s">
        <v>56</v>
      </c>
      <c r="E1251" s="4">
        <v>59.56</v>
      </c>
      <c r="F1251" s="4">
        <v>0</v>
      </c>
      <c r="G1251" s="4">
        <v>0</v>
      </c>
      <c r="H1251" s="4">
        <v>0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0</v>
      </c>
      <c r="O1251" s="4">
        <v>0</v>
      </c>
      <c r="P1251" s="4">
        <v>0</v>
      </c>
      <c r="Q1251" s="4">
        <v>0</v>
      </c>
      <c r="S1251" s="8">
        <f t="shared" si="57"/>
        <v>0</v>
      </c>
      <c r="T1251" s="8">
        <f t="shared" si="58"/>
        <v>0</v>
      </c>
      <c r="U1251" s="9" t="e">
        <f t="shared" si="59"/>
        <v>#DIV/0!</v>
      </c>
    </row>
    <row r="1252" spans="1:22" outlineLevel="2">
      <c r="A1252" t="s">
        <v>400</v>
      </c>
      <c r="B1252" t="s">
        <v>401</v>
      </c>
      <c r="C1252" t="s">
        <v>61</v>
      </c>
      <c r="D1252" t="s">
        <v>62</v>
      </c>
      <c r="E1252" s="4">
        <v>148.68</v>
      </c>
      <c r="F1252" s="4">
        <v>0</v>
      </c>
      <c r="G1252" s="4">
        <v>0</v>
      </c>
      <c r="H1252" s="4">
        <v>0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S1252" s="8">
        <f t="shared" si="57"/>
        <v>0</v>
      </c>
      <c r="T1252" s="8">
        <f t="shared" si="58"/>
        <v>0</v>
      </c>
      <c r="U1252" s="9" t="e">
        <f t="shared" si="59"/>
        <v>#DIV/0!</v>
      </c>
    </row>
    <row r="1253" spans="1:22" outlineLevel="2">
      <c r="A1253" t="s">
        <v>400</v>
      </c>
      <c r="B1253" t="s">
        <v>401</v>
      </c>
      <c r="C1253" t="s">
        <v>196</v>
      </c>
      <c r="D1253" t="s">
        <v>197</v>
      </c>
      <c r="E1253" s="4">
        <v>1600</v>
      </c>
      <c r="F1253" s="4">
        <v>148.22</v>
      </c>
      <c r="G1253" s="4">
        <v>0</v>
      </c>
      <c r="H1253" s="4">
        <v>0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S1253" s="8">
        <f t="shared" si="57"/>
        <v>0</v>
      </c>
      <c r="T1253" s="8">
        <f t="shared" si="58"/>
        <v>0</v>
      </c>
      <c r="U1253" s="9" t="e">
        <f t="shared" si="59"/>
        <v>#DIV/0!</v>
      </c>
    </row>
    <row r="1254" spans="1:22" outlineLevel="2">
      <c r="A1254" t="s">
        <v>400</v>
      </c>
      <c r="B1254" t="s">
        <v>401</v>
      </c>
      <c r="C1254" t="s">
        <v>63</v>
      </c>
      <c r="D1254" t="s">
        <v>64</v>
      </c>
      <c r="E1254" s="4">
        <v>299.23</v>
      </c>
      <c r="F1254" s="4">
        <v>0</v>
      </c>
      <c r="G1254" s="4">
        <v>0</v>
      </c>
      <c r="H1254" s="4">
        <v>0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S1254" s="8">
        <f t="shared" si="57"/>
        <v>0</v>
      </c>
      <c r="T1254" s="8">
        <f t="shared" si="58"/>
        <v>0</v>
      </c>
      <c r="U1254" s="9" t="e">
        <f t="shared" si="59"/>
        <v>#DIV/0!</v>
      </c>
    </row>
    <row r="1255" spans="1:22" outlineLevel="2">
      <c r="A1255" t="s">
        <v>400</v>
      </c>
      <c r="B1255" t="s">
        <v>401</v>
      </c>
      <c r="C1255" t="s">
        <v>83</v>
      </c>
      <c r="D1255" t="s">
        <v>84</v>
      </c>
      <c r="E1255" s="4">
        <v>1480.75</v>
      </c>
      <c r="F1255" s="4">
        <v>0</v>
      </c>
      <c r="G1255" s="4">
        <v>0</v>
      </c>
      <c r="H1255" s="4">
        <v>0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S1255" s="8">
        <f t="shared" si="57"/>
        <v>0</v>
      </c>
      <c r="T1255" s="8">
        <f t="shared" si="58"/>
        <v>0</v>
      </c>
      <c r="U1255" s="9" t="e">
        <f t="shared" si="59"/>
        <v>#DIV/0!</v>
      </c>
    </row>
    <row r="1256" spans="1:22" outlineLevel="2">
      <c r="A1256" t="s">
        <v>400</v>
      </c>
      <c r="B1256" t="s">
        <v>401</v>
      </c>
      <c r="C1256" t="s">
        <v>93</v>
      </c>
      <c r="D1256" t="s">
        <v>94</v>
      </c>
      <c r="E1256" s="4">
        <v>328.36</v>
      </c>
      <c r="F1256" s="4">
        <v>0</v>
      </c>
      <c r="G1256" s="4">
        <v>0</v>
      </c>
      <c r="H1256" s="4">
        <v>0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S1256" s="8">
        <f t="shared" si="57"/>
        <v>0</v>
      </c>
      <c r="T1256" s="8">
        <f t="shared" si="58"/>
        <v>0</v>
      </c>
      <c r="U1256" s="9" t="e">
        <f t="shared" si="59"/>
        <v>#DIV/0!</v>
      </c>
    </row>
    <row r="1257" spans="1:22" outlineLevel="2">
      <c r="A1257" t="s">
        <v>400</v>
      </c>
      <c r="B1257" t="s">
        <v>401</v>
      </c>
      <c r="C1257" t="s">
        <v>170</v>
      </c>
      <c r="D1257" t="s">
        <v>171</v>
      </c>
      <c r="E1257" s="4">
        <v>0</v>
      </c>
      <c r="F1257" s="4">
        <v>0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0</v>
      </c>
      <c r="O1257" s="4">
        <v>0</v>
      </c>
      <c r="P1257" s="4">
        <v>0</v>
      </c>
      <c r="Q1257" s="4">
        <v>0</v>
      </c>
      <c r="S1257" s="8">
        <f t="shared" si="57"/>
        <v>0</v>
      </c>
      <c r="T1257" s="8">
        <f t="shared" si="58"/>
        <v>0</v>
      </c>
      <c r="U1257" s="9" t="e">
        <f t="shared" si="59"/>
        <v>#DIV/0!</v>
      </c>
    </row>
    <row r="1258" spans="1:22" outlineLevel="2">
      <c r="A1258" t="s">
        <v>400</v>
      </c>
      <c r="B1258" t="s">
        <v>401</v>
      </c>
      <c r="C1258" t="s">
        <v>127</v>
      </c>
      <c r="D1258" t="s">
        <v>120</v>
      </c>
      <c r="E1258" s="4">
        <v>0</v>
      </c>
      <c r="F1258" s="4">
        <v>199.08</v>
      </c>
      <c r="G1258" s="4">
        <v>0</v>
      </c>
      <c r="H1258" s="4">
        <v>-11.49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S1258" s="8">
        <f t="shared" si="57"/>
        <v>0</v>
      </c>
      <c r="T1258" s="8">
        <f t="shared" si="58"/>
        <v>0</v>
      </c>
      <c r="U1258" s="9" t="e">
        <f t="shared" si="59"/>
        <v>#DIV/0!</v>
      </c>
    </row>
    <row r="1259" spans="1:22" outlineLevel="2">
      <c r="A1259" t="s">
        <v>400</v>
      </c>
      <c r="B1259" t="s">
        <v>401</v>
      </c>
      <c r="C1259" t="s">
        <v>190</v>
      </c>
      <c r="D1259" t="s">
        <v>191</v>
      </c>
      <c r="E1259" s="4">
        <v>0</v>
      </c>
      <c r="F1259" s="4">
        <v>0</v>
      </c>
      <c r="G1259" s="4">
        <v>0</v>
      </c>
      <c r="H1259" s="4">
        <v>0</v>
      </c>
      <c r="I1259" s="4">
        <v>6547.5599999999995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S1259" s="8">
        <f t="shared" si="57"/>
        <v>0</v>
      </c>
      <c r="T1259" s="8">
        <f t="shared" si="58"/>
        <v>0</v>
      </c>
      <c r="U1259" s="9" t="e">
        <f t="shared" si="59"/>
        <v>#DIV/0!</v>
      </c>
    </row>
    <row r="1260" spans="1:22" outlineLevel="1">
      <c r="A1260" s="1" t="s">
        <v>758</v>
      </c>
      <c r="E1260" s="4">
        <f>SUBTOTAL(9,E1234:E1259)</f>
        <v>7383.2499999999955</v>
      </c>
      <c r="F1260" s="4">
        <f>SUBTOTAL(9,F1234:F1259)</f>
        <v>47122.299999999952</v>
      </c>
      <c r="G1260" s="4">
        <f>SUBTOTAL(9,G1234:G1259)</f>
        <v>12957.609999999977</v>
      </c>
      <c r="H1260" s="4">
        <f>SUBTOTAL(9,H1234:H1259)</f>
        <v>62569.349999999984</v>
      </c>
      <c r="I1260" s="4">
        <f>SUBTOTAL(9,I1234:I1259)</f>
        <v>58139.330000000031</v>
      </c>
      <c r="J1260" s="4">
        <f>SUBTOTAL(9,J1234:J1259)</f>
        <v>36695.490000000056</v>
      </c>
      <c r="K1260" s="4">
        <f>SUBTOTAL(9,K1234:K1259)</f>
        <v>65777.710000000065</v>
      </c>
      <c r="L1260" s="4">
        <f>SUBTOTAL(9,L1234:L1259)</f>
        <v>40777.709999999948</v>
      </c>
      <c r="M1260" s="4">
        <f>SUBTOTAL(9,M1234:M1259)</f>
        <v>47229.100000000049</v>
      </c>
      <c r="N1260" s="4">
        <f>SUBTOTAL(9,N1234:N1259)</f>
        <v>43629.150000000023</v>
      </c>
      <c r="O1260" s="4">
        <f>SUBTOTAL(9,O1234:O1259)</f>
        <v>43629.149999999936</v>
      </c>
      <c r="P1260" s="4">
        <f>SUBTOTAL(9,P1234:P1259)</f>
        <v>85476.530000000101</v>
      </c>
      <c r="Q1260" s="4">
        <f>SUBTOTAL(9,Q1234:Q1259)</f>
        <v>37920.339999999975</v>
      </c>
      <c r="R1260" s="4">
        <f>SUBTOTAL(9,R1234:R1259)</f>
        <v>710565.18</v>
      </c>
      <c r="S1260" s="8">
        <f t="shared" si="57"/>
        <v>49776.996666666673</v>
      </c>
      <c r="T1260" s="8">
        <f t="shared" si="58"/>
        <v>660788.18333333335</v>
      </c>
      <c r="U1260" s="9">
        <f t="shared" si="59"/>
        <v>13.274970921976744</v>
      </c>
      <c r="V1260" t="s">
        <v>897</v>
      </c>
    </row>
    <row r="1261" spans="1:22" outlineLevel="2">
      <c r="A1261" t="s">
        <v>402</v>
      </c>
      <c r="B1261" t="s">
        <v>403</v>
      </c>
      <c r="C1261" t="s">
        <v>59</v>
      </c>
      <c r="D1261" t="s">
        <v>60</v>
      </c>
      <c r="E1261" s="4">
        <v>0</v>
      </c>
      <c r="F1261" s="4">
        <v>0</v>
      </c>
      <c r="G1261" s="4">
        <v>0</v>
      </c>
      <c r="H1261" s="4">
        <v>0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  <c r="O1261" s="4">
        <v>18.64</v>
      </c>
      <c r="P1261" s="4">
        <v>0</v>
      </c>
      <c r="Q1261" s="4">
        <v>0</v>
      </c>
      <c r="S1261" s="8">
        <f t="shared" si="57"/>
        <v>3.1066666666666669</v>
      </c>
      <c r="T1261" s="8">
        <f t="shared" si="58"/>
        <v>-3.1066666666666669</v>
      </c>
      <c r="U1261" s="9">
        <f t="shared" si="59"/>
        <v>-1</v>
      </c>
    </row>
    <row r="1262" spans="1:22" outlineLevel="1">
      <c r="A1262" s="1" t="s">
        <v>759</v>
      </c>
      <c r="E1262" s="4">
        <f>SUBTOTAL(9,E1261:E1261)</f>
        <v>0</v>
      </c>
      <c r="F1262" s="4">
        <f>SUBTOTAL(9,F1261:F1261)</f>
        <v>0</v>
      </c>
      <c r="G1262" s="4">
        <f>SUBTOTAL(9,G1261:G1261)</f>
        <v>0</v>
      </c>
      <c r="H1262" s="4">
        <f>SUBTOTAL(9,H1261:H1261)</f>
        <v>0</v>
      </c>
      <c r="I1262" s="4">
        <f>SUBTOTAL(9,I1261:I1261)</f>
        <v>0</v>
      </c>
      <c r="J1262" s="4">
        <f>SUBTOTAL(9,J1261:J1261)</f>
        <v>0</v>
      </c>
      <c r="K1262" s="4">
        <f>SUBTOTAL(9,K1261:K1261)</f>
        <v>0</v>
      </c>
      <c r="L1262" s="4">
        <f>SUBTOTAL(9,L1261:L1261)</f>
        <v>0</v>
      </c>
      <c r="M1262" s="4">
        <f>SUBTOTAL(9,M1261:M1261)</f>
        <v>0</v>
      </c>
      <c r="N1262" s="4">
        <f>SUBTOTAL(9,N1261:N1261)</f>
        <v>0</v>
      </c>
      <c r="O1262" s="4">
        <f>SUBTOTAL(9,O1261:O1261)</f>
        <v>18.64</v>
      </c>
      <c r="P1262" s="4">
        <f>SUBTOTAL(9,P1261:P1261)</f>
        <v>0</v>
      </c>
      <c r="Q1262" s="4">
        <f>SUBTOTAL(9,Q1261:Q1261)</f>
        <v>0</v>
      </c>
      <c r="R1262" s="4">
        <f>SUBTOTAL(9,R1261:R1261)</f>
        <v>0</v>
      </c>
      <c r="S1262" s="8">
        <f t="shared" si="57"/>
        <v>3.1066666666666669</v>
      </c>
      <c r="T1262" s="8">
        <f t="shared" si="58"/>
        <v>-3.1066666666666669</v>
      </c>
      <c r="U1262" s="9">
        <f t="shared" si="59"/>
        <v>-1</v>
      </c>
    </row>
    <row r="1263" spans="1:22" outlineLevel="2">
      <c r="A1263" t="s">
        <v>404</v>
      </c>
      <c r="B1263" t="s">
        <v>405</v>
      </c>
      <c r="C1263" t="s">
        <v>59</v>
      </c>
      <c r="D1263" t="s">
        <v>60</v>
      </c>
      <c r="E1263" s="4">
        <v>0</v>
      </c>
      <c r="F1263" s="4">
        <v>0</v>
      </c>
      <c r="G1263" s="4">
        <v>0</v>
      </c>
      <c r="H1263" s="4">
        <v>0</v>
      </c>
      <c r="I1263" s="4">
        <v>0</v>
      </c>
      <c r="J1263" s="4">
        <v>67.87</v>
      </c>
      <c r="K1263" s="4">
        <v>137.98000000000002</v>
      </c>
      <c r="L1263" s="4">
        <v>0</v>
      </c>
      <c r="M1263" s="4">
        <v>0</v>
      </c>
      <c r="N1263" s="4">
        <v>0</v>
      </c>
      <c r="O1263" s="4">
        <v>0</v>
      </c>
      <c r="P1263" s="4">
        <v>0</v>
      </c>
      <c r="Q1263" s="4">
        <v>0</v>
      </c>
      <c r="S1263" s="8">
        <f t="shared" si="57"/>
        <v>0</v>
      </c>
      <c r="T1263" s="8">
        <f t="shared" si="58"/>
        <v>0</v>
      </c>
      <c r="U1263" s="9" t="e">
        <f t="shared" si="59"/>
        <v>#DIV/0!</v>
      </c>
    </row>
    <row r="1264" spans="1:22" outlineLevel="1">
      <c r="A1264" s="1" t="s">
        <v>760</v>
      </c>
      <c r="E1264" s="4">
        <f>SUBTOTAL(9,E1263:E1263)</f>
        <v>0</v>
      </c>
      <c r="F1264" s="4">
        <f>SUBTOTAL(9,F1263:F1263)</f>
        <v>0</v>
      </c>
      <c r="G1264" s="4">
        <f>SUBTOTAL(9,G1263:G1263)</f>
        <v>0</v>
      </c>
      <c r="H1264" s="4">
        <f>SUBTOTAL(9,H1263:H1263)</f>
        <v>0</v>
      </c>
      <c r="I1264" s="4">
        <f>SUBTOTAL(9,I1263:I1263)</f>
        <v>0</v>
      </c>
      <c r="J1264" s="4">
        <f>SUBTOTAL(9,J1263:J1263)</f>
        <v>67.87</v>
      </c>
      <c r="K1264" s="4">
        <f>SUBTOTAL(9,K1263:K1263)</f>
        <v>137.98000000000002</v>
      </c>
      <c r="L1264" s="4">
        <f>SUBTOTAL(9,L1263:L1263)</f>
        <v>0</v>
      </c>
      <c r="M1264" s="4">
        <f>SUBTOTAL(9,M1263:M1263)</f>
        <v>0</v>
      </c>
      <c r="N1264" s="4">
        <f>SUBTOTAL(9,N1263:N1263)</f>
        <v>0</v>
      </c>
      <c r="O1264" s="4">
        <f>SUBTOTAL(9,O1263:O1263)</f>
        <v>0</v>
      </c>
      <c r="P1264" s="4">
        <f>SUBTOTAL(9,P1263:P1263)</f>
        <v>0</v>
      </c>
      <c r="Q1264" s="4">
        <f>SUBTOTAL(9,Q1263:Q1263)</f>
        <v>0</v>
      </c>
      <c r="R1264" s="4">
        <f>SUBTOTAL(9,R1263:R1263)</f>
        <v>0</v>
      </c>
      <c r="S1264" s="8">
        <f t="shared" si="57"/>
        <v>0</v>
      </c>
      <c r="T1264" s="8">
        <f t="shared" si="58"/>
        <v>0</v>
      </c>
      <c r="U1264" s="9" t="e">
        <f t="shared" si="59"/>
        <v>#DIV/0!</v>
      </c>
    </row>
    <row r="1265" spans="1:22" outlineLevel="2">
      <c r="A1265" t="s">
        <v>406</v>
      </c>
      <c r="B1265" t="s">
        <v>407</v>
      </c>
      <c r="C1265" t="s">
        <v>372</v>
      </c>
      <c r="D1265" t="s">
        <v>373</v>
      </c>
      <c r="E1265" s="4">
        <v>-197556.40999999997</v>
      </c>
      <c r="F1265" s="4">
        <v>20878.580000000002</v>
      </c>
      <c r="G1265" s="4">
        <v>20878.580000000002</v>
      </c>
      <c r="H1265" s="4">
        <v>20878.580000000002</v>
      </c>
      <c r="I1265" s="4">
        <v>20878.580000000002</v>
      </c>
      <c r="J1265" s="4">
        <v>20878.580000000002</v>
      </c>
      <c r="K1265" s="4">
        <v>20878.580000000002</v>
      </c>
      <c r="L1265" s="4">
        <v>20878.580000000002</v>
      </c>
      <c r="M1265" s="4">
        <v>20878.580000000002</v>
      </c>
      <c r="N1265" s="4">
        <v>20878.580000000002</v>
      </c>
      <c r="O1265" s="4">
        <v>20878.580000000002</v>
      </c>
      <c r="P1265" s="4">
        <v>20878.580000000002</v>
      </c>
      <c r="Q1265" s="4">
        <v>0</v>
      </c>
      <c r="S1265" s="8">
        <f t="shared" si="57"/>
        <v>17398.816666666669</v>
      </c>
      <c r="T1265" s="8">
        <f t="shared" si="58"/>
        <v>-17398.816666666669</v>
      </c>
      <c r="U1265" s="9">
        <f t="shared" si="59"/>
        <v>-1</v>
      </c>
    </row>
    <row r="1266" spans="1:22" outlineLevel="2">
      <c r="A1266" t="s">
        <v>406</v>
      </c>
      <c r="B1266" t="s">
        <v>407</v>
      </c>
      <c r="C1266" t="s">
        <v>172</v>
      </c>
      <c r="D1266" t="s">
        <v>173</v>
      </c>
      <c r="E1266" s="4">
        <v>0</v>
      </c>
      <c r="F1266" s="4">
        <v>0</v>
      </c>
      <c r="G1266" s="4">
        <v>75</v>
      </c>
      <c r="H1266" s="4">
        <v>25</v>
      </c>
      <c r="I1266" s="4">
        <v>25</v>
      </c>
      <c r="J1266" s="4">
        <v>25</v>
      </c>
      <c r="K1266" s="4">
        <v>25</v>
      </c>
      <c r="L1266" s="4">
        <v>25</v>
      </c>
      <c r="M1266" s="4">
        <v>25</v>
      </c>
      <c r="N1266" s="4">
        <v>25</v>
      </c>
      <c r="O1266" s="4">
        <v>-25</v>
      </c>
      <c r="P1266" s="4">
        <v>0</v>
      </c>
      <c r="Q1266" s="4">
        <v>25</v>
      </c>
      <c r="S1266" s="8">
        <f t="shared" si="57"/>
        <v>12.5</v>
      </c>
      <c r="T1266" s="8">
        <f t="shared" si="58"/>
        <v>-12.5</v>
      </c>
      <c r="U1266" s="9">
        <f t="shared" si="59"/>
        <v>-1</v>
      </c>
    </row>
    <row r="1267" spans="1:22" outlineLevel="1">
      <c r="A1267" s="1" t="s">
        <v>761</v>
      </c>
      <c r="E1267" s="4">
        <f>SUBTOTAL(9,E1265:E1266)</f>
        <v>-197556.40999999997</v>
      </c>
      <c r="F1267" s="4">
        <f>SUBTOTAL(9,F1265:F1266)</f>
        <v>20878.580000000002</v>
      </c>
      <c r="G1267" s="4">
        <f>SUBTOTAL(9,G1265:G1266)</f>
        <v>20953.580000000002</v>
      </c>
      <c r="H1267" s="4">
        <f>SUBTOTAL(9,H1265:H1266)</f>
        <v>20903.580000000002</v>
      </c>
      <c r="I1267" s="4">
        <f>SUBTOTAL(9,I1265:I1266)</f>
        <v>20903.580000000002</v>
      </c>
      <c r="J1267" s="4">
        <f>SUBTOTAL(9,J1265:J1266)</f>
        <v>20903.580000000002</v>
      </c>
      <c r="K1267" s="4">
        <f>SUBTOTAL(9,K1265:K1266)</f>
        <v>20903.580000000002</v>
      </c>
      <c r="L1267" s="4">
        <f>SUBTOTAL(9,L1265:L1266)</f>
        <v>20903.580000000002</v>
      </c>
      <c r="M1267" s="4">
        <f>SUBTOTAL(9,M1265:M1266)</f>
        <v>20903.580000000002</v>
      </c>
      <c r="N1267" s="4">
        <f>SUBTOTAL(9,N1265:N1266)</f>
        <v>20903.580000000002</v>
      </c>
      <c r="O1267" s="4">
        <f>SUBTOTAL(9,O1265:O1266)</f>
        <v>20853.580000000002</v>
      </c>
      <c r="P1267" s="4">
        <f>SUBTOTAL(9,P1265:P1266)</f>
        <v>20878.580000000002</v>
      </c>
      <c r="Q1267" s="4">
        <f>SUBTOTAL(9,Q1265:Q1266)</f>
        <v>25</v>
      </c>
      <c r="R1267" s="4">
        <f>SUBTOTAL(9,R1265:R1266)</f>
        <v>0</v>
      </c>
      <c r="S1267" s="8">
        <f t="shared" si="57"/>
        <v>17411.316666666669</v>
      </c>
      <c r="T1267" s="8">
        <f t="shared" si="58"/>
        <v>-17411.316666666669</v>
      </c>
      <c r="U1267" s="9">
        <f t="shared" si="59"/>
        <v>-1</v>
      </c>
    </row>
    <row r="1268" spans="1:22" outlineLevel="2">
      <c r="A1268" t="s">
        <v>408</v>
      </c>
      <c r="B1268" t="s">
        <v>409</v>
      </c>
      <c r="C1268" t="s">
        <v>59</v>
      </c>
      <c r="D1268" t="s">
        <v>60</v>
      </c>
      <c r="E1268" s="4">
        <v>0</v>
      </c>
      <c r="F1268" s="4">
        <v>0</v>
      </c>
      <c r="G1268" s="4">
        <v>0</v>
      </c>
      <c r="H1268" s="4">
        <v>0</v>
      </c>
      <c r="I1268" s="4">
        <v>0</v>
      </c>
      <c r="J1268" s="4">
        <v>0</v>
      </c>
      <c r="K1268" s="4">
        <v>0</v>
      </c>
      <c r="L1268" s="4">
        <v>1161.97</v>
      </c>
      <c r="M1268" s="4">
        <v>0</v>
      </c>
      <c r="N1268" s="4">
        <v>0</v>
      </c>
      <c r="O1268" s="4">
        <v>0</v>
      </c>
      <c r="P1268" s="4">
        <v>1605.78</v>
      </c>
      <c r="Q1268" s="4">
        <v>0</v>
      </c>
      <c r="S1268" s="8">
        <f t="shared" si="57"/>
        <v>461.29166666666669</v>
      </c>
      <c r="T1268" s="8">
        <f t="shared" si="58"/>
        <v>-461.29166666666669</v>
      </c>
      <c r="U1268" s="9">
        <f t="shared" si="59"/>
        <v>-1</v>
      </c>
    </row>
    <row r="1269" spans="1:22" outlineLevel="1">
      <c r="A1269" s="1" t="s">
        <v>762</v>
      </c>
      <c r="E1269" s="4">
        <f>SUBTOTAL(9,E1268:E1268)</f>
        <v>0</v>
      </c>
      <c r="F1269" s="4">
        <f>SUBTOTAL(9,F1268:F1268)</f>
        <v>0</v>
      </c>
      <c r="G1269" s="4">
        <f>SUBTOTAL(9,G1268:G1268)</f>
        <v>0</v>
      </c>
      <c r="H1269" s="4">
        <f>SUBTOTAL(9,H1268:H1268)</f>
        <v>0</v>
      </c>
      <c r="I1269" s="4">
        <f>SUBTOTAL(9,I1268:I1268)</f>
        <v>0</v>
      </c>
      <c r="J1269" s="4">
        <f>SUBTOTAL(9,J1268:J1268)</f>
        <v>0</v>
      </c>
      <c r="K1269" s="4">
        <f>SUBTOTAL(9,K1268:K1268)</f>
        <v>0</v>
      </c>
      <c r="L1269" s="4">
        <f>SUBTOTAL(9,L1268:L1268)</f>
        <v>1161.97</v>
      </c>
      <c r="M1269" s="4">
        <f>SUBTOTAL(9,M1268:M1268)</f>
        <v>0</v>
      </c>
      <c r="N1269" s="4">
        <f>SUBTOTAL(9,N1268:N1268)</f>
        <v>0</v>
      </c>
      <c r="O1269" s="4">
        <f>SUBTOTAL(9,O1268:O1268)</f>
        <v>0</v>
      </c>
      <c r="P1269" s="4">
        <f>SUBTOTAL(9,P1268:P1268)</f>
        <v>1605.78</v>
      </c>
      <c r="Q1269" s="4">
        <f>SUBTOTAL(9,Q1268:Q1268)</f>
        <v>0</v>
      </c>
      <c r="R1269" s="4">
        <f>SUBTOTAL(9,R1268:R1268)</f>
        <v>0</v>
      </c>
      <c r="S1269" s="8">
        <f t="shared" si="57"/>
        <v>461.29166666666669</v>
      </c>
      <c r="T1269" s="8">
        <f t="shared" si="58"/>
        <v>-461.29166666666669</v>
      </c>
      <c r="U1269" s="9">
        <f t="shared" si="59"/>
        <v>-1</v>
      </c>
    </row>
    <row r="1270" spans="1:22" outlineLevel="2">
      <c r="A1270" t="s">
        <v>410</v>
      </c>
      <c r="B1270" t="s">
        <v>267</v>
      </c>
      <c r="C1270" t="s">
        <v>43</v>
      </c>
      <c r="D1270" t="s">
        <v>44</v>
      </c>
      <c r="E1270" s="4">
        <v>0</v>
      </c>
      <c r="F1270" s="4">
        <v>0</v>
      </c>
      <c r="G1270" s="4">
        <v>0</v>
      </c>
      <c r="H1270" s="4">
        <v>0</v>
      </c>
      <c r="I1270" s="4">
        <v>0</v>
      </c>
      <c r="J1270" s="4">
        <v>0</v>
      </c>
      <c r="K1270" s="4">
        <v>0</v>
      </c>
      <c r="L1270" s="4">
        <v>0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4">
        <v>46100.480000000003</v>
      </c>
      <c r="S1270" s="8">
        <f t="shared" si="57"/>
        <v>0</v>
      </c>
      <c r="T1270" s="8">
        <f t="shared" si="58"/>
        <v>46100.480000000003</v>
      </c>
      <c r="U1270" s="9" t="e">
        <f t="shared" si="59"/>
        <v>#DIV/0!</v>
      </c>
      <c r="V1270" t="s">
        <v>895</v>
      </c>
    </row>
    <row r="1271" spans="1:22" outlineLevel="2">
      <c r="A1271" t="s">
        <v>410</v>
      </c>
      <c r="B1271" t="s">
        <v>267</v>
      </c>
      <c r="C1271" t="s">
        <v>83</v>
      </c>
      <c r="D1271" t="s">
        <v>84</v>
      </c>
      <c r="E1271" s="4">
        <v>0</v>
      </c>
      <c r="F1271" s="4">
        <v>0</v>
      </c>
      <c r="G1271" s="4">
        <v>0</v>
      </c>
      <c r="H1271" s="4">
        <v>0</v>
      </c>
      <c r="I1271" s="4">
        <v>0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S1271" s="8">
        <f t="shared" si="57"/>
        <v>0</v>
      </c>
      <c r="T1271" s="8">
        <f t="shared" si="58"/>
        <v>0</v>
      </c>
      <c r="U1271" s="9" t="e">
        <f t="shared" si="59"/>
        <v>#DIV/0!</v>
      </c>
    </row>
    <row r="1272" spans="1:22" outlineLevel="1">
      <c r="A1272" s="1" t="s">
        <v>763</v>
      </c>
      <c r="E1272" s="4">
        <f>SUBTOTAL(9,E1270:E1271)</f>
        <v>0</v>
      </c>
      <c r="F1272" s="4">
        <f>SUBTOTAL(9,F1270:F1271)</f>
        <v>0</v>
      </c>
      <c r="G1272" s="4">
        <f>SUBTOTAL(9,G1270:G1271)</f>
        <v>0</v>
      </c>
      <c r="H1272" s="4">
        <f>SUBTOTAL(9,H1270:H1271)</f>
        <v>0</v>
      </c>
      <c r="I1272" s="4">
        <f>SUBTOTAL(9,I1270:I1271)</f>
        <v>0</v>
      </c>
      <c r="J1272" s="4">
        <f>SUBTOTAL(9,J1270:J1271)</f>
        <v>0</v>
      </c>
      <c r="K1272" s="4">
        <f>SUBTOTAL(9,K1270:K1271)</f>
        <v>0</v>
      </c>
      <c r="L1272" s="4">
        <f>SUBTOTAL(9,L1270:L1271)</f>
        <v>0</v>
      </c>
      <c r="M1272" s="4">
        <f>SUBTOTAL(9,M1270:M1271)</f>
        <v>0</v>
      </c>
      <c r="N1272" s="4">
        <f>SUBTOTAL(9,N1270:N1271)</f>
        <v>0</v>
      </c>
      <c r="O1272" s="4">
        <f>SUBTOTAL(9,O1270:O1271)</f>
        <v>0</v>
      </c>
      <c r="P1272" s="4">
        <f>SUBTOTAL(9,P1270:P1271)</f>
        <v>0</v>
      </c>
      <c r="Q1272" s="4">
        <f>SUBTOTAL(9,Q1270:Q1271)</f>
        <v>0</v>
      </c>
      <c r="R1272" s="4">
        <f>SUBTOTAL(9,R1270:R1271)</f>
        <v>46100.480000000003</v>
      </c>
      <c r="S1272" s="8">
        <f t="shared" si="57"/>
        <v>0</v>
      </c>
      <c r="T1272" s="8">
        <f t="shared" si="58"/>
        <v>46100.480000000003</v>
      </c>
      <c r="U1272" s="9" t="e">
        <f t="shared" si="59"/>
        <v>#DIV/0!</v>
      </c>
      <c r="V1272" t="s">
        <v>895</v>
      </c>
    </row>
    <row r="1273" spans="1:22" outlineLevel="2">
      <c r="A1273" t="s">
        <v>411</v>
      </c>
      <c r="B1273" t="s">
        <v>412</v>
      </c>
      <c r="C1273" t="s">
        <v>93</v>
      </c>
      <c r="D1273" t="s">
        <v>94</v>
      </c>
      <c r="E1273" s="4">
        <v>0</v>
      </c>
      <c r="F1273" s="4">
        <v>0</v>
      </c>
      <c r="G1273" s="4">
        <v>0</v>
      </c>
      <c r="H1273" s="4">
        <v>0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  <c r="Q1273" s="4">
        <v>475</v>
      </c>
      <c r="R1273" s="4">
        <v>-475</v>
      </c>
      <c r="S1273" s="8">
        <f t="shared" si="57"/>
        <v>79.166666666666671</v>
      </c>
      <c r="T1273" s="8">
        <f t="shared" si="58"/>
        <v>-554.16666666666663</v>
      </c>
      <c r="U1273" s="9">
        <f t="shared" si="59"/>
        <v>-6.9999999999999991</v>
      </c>
    </row>
    <row r="1274" spans="1:22" outlineLevel="1">
      <c r="A1274" s="1" t="s">
        <v>764</v>
      </c>
      <c r="E1274" s="4">
        <f>SUBTOTAL(9,E1273:E1273)</f>
        <v>0</v>
      </c>
      <c r="F1274" s="4">
        <f>SUBTOTAL(9,F1273:F1273)</f>
        <v>0</v>
      </c>
      <c r="G1274" s="4">
        <f>SUBTOTAL(9,G1273:G1273)</f>
        <v>0</v>
      </c>
      <c r="H1274" s="4">
        <f>SUBTOTAL(9,H1273:H1273)</f>
        <v>0</v>
      </c>
      <c r="I1274" s="4">
        <f>SUBTOTAL(9,I1273:I1273)</f>
        <v>0</v>
      </c>
      <c r="J1274" s="4">
        <f>SUBTOTAL(9,J1273:J1273)</f>
        <v>0</v>
      </c>
      <c r="K1274" s="4">
        <f>SUBTOTAL(9,K1273:K1273)</f>
        <v>0</v>
      </c>
      <c r="L1274" s="4">
        <f>SUBTOTAL(9,L1273:L1273)</f>
        <v>0</v>
      </c>
      <c r="M1274" s="4">
        <f>SUBTOTAL(9,M1273:M1273)</f>
        <v>0</v>
      </c>
      <c r="N1274" s="4">
        <f>SUBTOTAL(9,N1273:N1273)</f>
        <v>0</v>
      </c>
      <c r="O1274" s="4">
        <f>SUBTOTAL(9,O1273:O1273)</f>
        <v>0</v>
      </c>
      <c r="P1274" s="4">
        <f>SUBTOTAL(9,P1273:P1273)</f>
        <v>0</v>
      </c>
      <c r="Q1274" s="4">
        <f>SUBTOTAL(9,Q1273:Q1273)</f>
        <v>475</v>
      </c>
      <c r="R1274" s="4">
        <f>SUBTOTAL(9,R1273:R1273)</f>
        <v>-475</v>
      </c>
      <c r="S1274" s="8">
        <f t="shared" si="57"/>
        <v>79.166666666666671</v>
      </c>
      <c r="T1274" s="8">
        <f t="shared" si="58"/>
        <v>-554.16666666666663</v>
      </c>
      <c r="U1274" s="9">
        <f t="shared" si="59"/>
        <v>-6.9999999999999991</v>
      </c>
    </row>
    <row r="1275" spans="1:22" outlineLevel="2">
      <c r="A1275" t="s">
        <v>413</v>
      </c>
      <c r="B1275" t="s">
        <v>414</v>
      </c>
      <c r="C1275" t="s">
        <v>21</v>
      </c>
      <c r="D1275" t="s">
        <v>22</v>
      </c>
      <c r="E1275" s="4">
        <v>676.56</v>
      </c>
      <c r="F1275" s="4">
        <v>0</v>
      </c>
      <c r="G1275" s="4">
        <v>41.91</v>
      </c>
      <c r="H1275" s="4">
        <v>-5.86</v>
      </c>
      <c r="I1275" s="4">
        <v>0</v>
      </c>
      <c r="J1275" s="4">
        <v>0</v>
      </c>
      <c r="K1275" s="4">
        <v>0</v>
      </c>
      <c r="L1275" s="4">
        <v>659.03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S1275" s="8">
        <f t="shared" si="57"/>
        <v>109.83833333333332</v>
      </c>
      <c r="T1275" s="8">
        <f t="shared" si="58"/>
        <v>-109.83833333333332</v>
      </c>
      <c r="U1275" s="9">
        <f t="shared" si="59"/>
        <v>-1</v>
      </c>
    </row>
    <row r="1276" spans="1:22" outlineLevel="2">
      <c r="A1276" t="s">
        <v>413</v>
      </c>
      <c r="B1276" t="s">
        <v>414</v>
      </c>
      <c r="C1276" t="s">
        <v>23</v>
      </c>
      <c r="D1276" t="s">
        <v>24</v>
      </c>
      <c r="E1276" s="4">
        <v>0</v>
      </c>
      <c r="F1276" s="4">
        <v>0</v>
      </c>
      <c r="G1276" s="4">
        <v>0</v>
      </c>
      <c r="H1276" s="4">
        <v>0</v>
      </c>
      <c r="I1276" s="4">
        <v>0</v>
      </c>
      <c r="J1276" s="4">
        <v>0</v>
      </c>
      <c r="K1276" s="4">
        <v>0</v>
      </c>
      <c r="L1276" s="4">
        <v>26.76</v>
      </c>
      <c r="M1276" s="4">
        <v>0</v>
      </c>
      <c r="N1276" s="4">
        <v>0</v>
      </c>
      <c r="O1276" s="4">
        <v>0</v>
      </c>
      <c r="P1276" s="4">
        <v>0</v>
      </c>
      <c r="Q1276" s="4">
        <v>-103.99</v>
      </c>
      <c r="S1276" s="8">
        <f t="shared" si="57"/>
        <v>-12.871666666666664</v>
      </c>
      <c r="T1276" s="8">
        <f t="shared" si="58"/>
        <v>12.871666666666664</v>
      </c>
      <c r="U1276" s="9">
        <f t="shared" si="59"/>
        <v>-1</v>
      </c>
    </row>
    <row r="1277" spans="1:22" outlineLevel="2">
      <c r="A1277" t="s">
        <v>413</v>
      </c>
      <c r="B1277" t="s">
        <v>414</v>
      </c>
      <c r="C1277" t="s">
        <v>33</v>
      </c>
      <c r="D1277" t="s">
        <v>34</v>
      </c>
      <c r="E1277" s="4">
        <v>0</v>
      </c>
      <c r="F1277" s="4">
        <v>0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>
        <v>0</v>
      </c>
      <c r="M1277" s="4">
        <v>26.94</v>
      </c>
      <c r="N1277" s="4">
        <v>0</v>
      </c>
      <c r="O1277" s="4">
        <v>0</v>
      </c>
      <c r="P1277" s="4">
        <v>0</v>
      </c>
      <c r="Q1277" s="4">
        <v>0</v>
      </c>
      <c r="S1277" s="8">
        <f t="shared" si="57"/>
        <v>4.49</v>
      </c>
      <c r="T1277" s="8">
        <f t="shared" si="58"/>
        <v>-4.49</v>
      </c>
      <c r="U1277" s="9">
        <f t="shared" si="59"/>
        <v>-1</v>
      </c>
    </row>
    <row r="1278" spans="1:22" outlineLevel="2">
      <c r="A1278" t="s">
        <v>413</v>
      </c>
      <c r="B1278" t="s">
        <v>414</v>
      </c>
      <c r="C1278" t="s">
        <v>39</v>
      </c>
      <c r="D1278" t="s">
        <v>40</v>
      </c>
      <c r="E1278" s="4">
        <v>0</v>
      </c>
      <c r="F1278" s="4">
        <v>0</v>
      </c>
      <c r="G1278" s="4">
        <v>0</v>
      </c>
      <c r="H1278" s="4">
        <v>0</v>
      </c>
      <c r="I1278" s="4">
        <v>0</v>
      </c>
      <c r="J1278" s="4">
        <v>0</v>
      </c>
      <c r="K1278" s="4">
        <v>0</v>
      </c>
      <c r="L1278" s="4">
        <v>0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1669.24</v>
      </c>
      <c r="S1278" s="8">
        <f t="shared" si="57"/>
        <v>0</v>
      </c>
      <c r="T1278" s="8">
        <f t="shared" si="58"/>
        <v>1669.24</v>
      </c>
      <c r="U1278" s="9" t="e">
        <f t="shared" si="59"/>
        <v>#DIV/0!</v>
      </c>
      <c r="V1278" t="s">
        <v>895</v>
      </c>
    </row>
    <row r="1279" spans="1:22" outlineLevel="2">
      <c r="A1279" t="s">
        <v>413</v>
      </c>
      <c r="B1279" t="s">
        <v>414</v>
      </c>
      <c r="C1279" t="s">
        <v>47</v>
      </c>
      <c r="D1279" t="s">
        <v>48</v>
      </c>
      <c r="E1279" s="4">
        <v>11544.43</v>
      </c>
      <c r="F1279" s="4">
        <v>17801.579999999998</v>
      </c>
      <c r="G1279" s="4">
        <v>-18895.75</v>
      </c>
      <c r="H1279" s="4">
        <v>13071</v>
      </c>
      <c r="I1279" s="4">
        <v>13274.9</v>
      </c>
      <c r="J1279" s="4">
        <v>19206.889999999996</v>
      </c>
      <c r="K1279" s="4">
        <v>33146.369999999988</v>
      </c>
      <c r="L1279" s="4">
        <v>19206.889999999992</v>
      </c>
      <c r="M1279" s="4">
        <v>19206.89</v>
      </c>
      <c r="N1279" s="4">
        <v>19206.890000000003</v>
      </c>
      <c r="O1279" s="4">
        <v>19206.89</v>
      </c>
      <c r="P1279" s="4">
        <v>13070.999999999996</v>
      </c>
      <c r="Q1279" s="4">
        <v>13187.98</v>
      </c>
      <c r="R1279" s="4">
        <v>13071</v>
      </c>
      <c r="S1279" s="8">
        <f t="shared" si="57"/>
        <v>17181.09</v>
      </c>
      <c r="T1279" s="8">
        <f t="shared" si="58"/>
        <v>-4110.09</v>
      </c>
      <c r="U1279" s="9">
        <f t="shared" si="59"/>
        <v>-0.23922172574615463</v>
      </c>
    </row>
    <row r="1280" spans="1:22" outlineLevel="2">
      <c r="A1280" t="s">
        <v>413</v>
      </c>
      <c r="B1280" t="s">
        <v>414</v>
      </c>
      <c r="C1280" t="s">
        <v>49</v>
      </c>
      <c r="D1280" t="s">
        <v>50</v>
      </c>
      <c r="E1280" s="4">
        <v>18426.890000000003</v>
      </c>
      <c r="F1280" s="4">
        <v>42974.619999999995</v>
      </c>
      <c r="G1280" s="4">
        <v>61091.26999999999</v>
      </c>
      <c r="H1280" s="4">
        <v>2865.0199999999977</v>
      </c>
      <c r="I1280" s="4">
        <v>22214.910000000003</v>
      </c>
      <c r="J1280" s="4">
        <v>29883.97</v>
      </c>
      <c r="K1280" s="4">
        <v>6517.3100000000013</v>
      </c>
      <c r="L1280" s="4">
        <v>72886.31</v>
      </c>
      <c r="M1280" s="4">
        <v>-12397.21</v>
      </c>
      <c r="N1280" s="4">
        <v>40245.379999999997</v>
      </c>
      <c r="O1280" s="4">
        <v>16659.019999999997</v>
      </c>
      <c r="P1280" s="4">
        <v>25817.05999999999</v>
      </c>
      <c r="Q1280" s="4">
        <v>21426.939999999995</v>
      </c>
      <c r="R1280" s="4">
        <v>47920.530000000006</v>
      </c>
      <c r="S1280" s="8">
        <f t="shared" si="57"/>
        <v>27439.583333333332</v>
      </c>
      <c r="T1280" s="8">
        <f t="shared" si="58"/>
        <v>20480.946666666674</v>
      </c>
      <c r="U1280" s="9">
        <f t="shared" si="59"/>
        <v>0.74640151848758662</v>
      </c>
      <c r="V1280" t="s">
        <v>896</v>
      </c>
    </row>
    <row r="1281" spans="1:22" outlineLevel="2">
      <c r="A1281" t="s">
        <v>413</v>
      </c>
      <c r="B1281" t="s">
        <v>414</v>
      </c>
      <c r="C1281" t="s">
        <v>53</v>
      </c>
      <c r="D1281" t="s">
        <v>54</v>
      </c>
      <c r="E1281" s="4">
        <v>0</v>
      </c>
      <c r="F1281" s="4">
        <v>0</v>
      </c>
      <c r="G1281" s="4">
        <v>21.47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S1281" s="8">
        <f t="shared" si="57"/>
        <v>0</v>
      </c>
      <c r="T1281" s="8">
        <f t="shared" si="58"/>
        <v>0</v>
      </c>
      <c r="U1281" s="9" t="e">
        <f t="shared" si="59"/>
        <v>#DIV/0!</v>
      </c>
    </row>
    <row r="1282" spans="1:22" outlineLevel="2">
      <c r="A1282" t="s">
        <v>413</v>
      </c>
      <c r="B1282" t="s">
        <v>414</v>
      </c>
      <c r="C1282" t="s">
        <v>55</v>
      </c>
      <c r="D1282" t="s">
        <v>56</v>
      </c>
      <c r="E1282" s="4">
        <v>0</v>
      </c>
      <c r="F1282" s="4">
        <v>0</v>
      </c>
      <c r="G1282" s="4">
        <v>0</v>
      </c>
      <c r="H1282" s="4">
        <v>-1499.99</v>
      </c>
      <c r="I1282" s="4">
        <v>0</v>
      </c>
      <c r="J1282" s="4">
        <v>0</v>
      </c>
      <c r="K1282" s="4">
        <v>0</v>
      </c>
      <c r="L1282" s="4">
        <v>1208</v>
      </c>
      <c r="M1282" s="4">
        <v>78</v>
      </c>
      <c r="N1282" s="4">
        <v>0</v>
      </c>
      <c r="O1282" s="4">
        <v>0</v>
      </c>
      <c r="P1282" s="4">
        <v>0</v>
      </c>
      <c r="Q1282" s="4">
        <v>0</v>
      </c>
      <c r="S1282" s="8">
        <f t="shared" si="57"/>
        <v>214.33333333333334</v>
      </c>
      <c r="T1282" s="8">
        <f t="shared" si="58"/>
        <v>-214.33333333333334</v>
      </c>
      <c r="U1282" s="9">
        <f t="shared" si="59"/>
        <v>-1</v>
      </c>
    </row>
    <row r="1283" spans="1:22" outlineLevel="2">
      <c r="A1283" t="s">
        <v>413</v>
      </c>
      <c r="B1283" t="s">
        <v>414</v>
      </c>
      <c r="C1283" t="s">
        <v>274</v>
      </c>
      <c r="D1283" t="s">
        <v>275</v>
      </c>
      <c r="E1283" s="4">
        <v>0</v>
      </c>
      <c r="F1283" s="4">
        <v>0</v>
      </c>
      <c r="G1283" s="4">
        <v>0.4</v>
      </c>
      <c r="H1283" s="4">
        <v>0</v>
      </c>
      <c r="I1283" s="4">
        <v>0</v>
      </c>
      <c r="J1283" s="4">
        <v>0.4</v>
      </c>
      <c r="K1283" s="4">
        <v>-0.8</v>
      </c>
      <c r="L1283" s="4">
        <v>4300</v>
      </c>
      <c r="M1283" s="4">
        <v>400</v>
      </c>
      <c r="N1283" s="4">
        <v>0</v>
      </c>
      <c r="O1283" s="4">
        <v>0</v>
      </c>
      <c r="P1283" s="4">
        <v>838</v>
      </c>
      <c r="Q1283" s="4">
        <v>1238</v>
      </c>
      <c r="R1283" s="4">
        <v>2589.5599999999995</v>
      </c>
      <c r="S1283" s="8">
        <f t="shared" ref="S1283:S1346" si="60">AVERAGE(L1283:Q1283)</f>
        <v>1129.3333333333333</v>
      </c>
      <c r="T1283" s="8">
        <f t="shared" ref="T1283:T1346" si="61">R1283-S1283</f>
        <v>1460.2266666666662</v>
      </c>
      <c r="U1283" s="9">
        <f t="shared" ref="U1283:U1346" si="62">(R1283-S1283)/S1283</f>
        <v>1.2929988193624555</v>
      </c>
    </row>
    <row r="1284" spans="1:22" outlineLevel="2">
      <c r="A1284" t="s">
        <v>413</v>
      </c>
      <c r="B1284" t="s">
        <v>414</v>
      </c>
      <c r="C1284" t="s">
        <v>196</v>
      </c>
      <c r="D1284" t="s">
        <v>197</v>
      </c>
      <c r="E1284" s="4">
        <v>0</v>
      </c>
      <c r="F1284" s="4">
        <v>0</v>
      </c>
      <c r="G1284" s="4">
        <v>0</v>
      </c>
      <c r="H1284" s="4">
        <v>66.5</v>
      </c>
      <c r="I1284" s="4">
        <v>0</v>
      </c>
      <c r="J1284" s="4">
        <v>0</v>
      </c>
      <c r="K1284" s="4">
        <v>0</v>
      </c>
      <c r="L1284" s="4">
        <v>0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S1284" s="8">
        <f t="shared" si="60"/>
        <v>0</v>
      </c>
      <c r="T1284" s="8">
        <f t="shared" si="61"/>
        <v>0</v>
      </c>
      <c r="U1284" s="9" t="e">
        <f t="shared" si="62"/>
        <v>#DIV/0!</v>
      </c>
    </row>
    <row r="1285" spans="1:22" outlineLevel="2">
      <c r="A1285" t="s">
        <v>413</v>
      </c>
      <c r="B1285" t="s">
        <v>414</v>
      </c>
      <c r="C1285" t="s">
        <v>415</v>
      </c>
      <c r="D1285" t="s">
        <v>416</v>
      </c>
      <c r="E1285" s="4">
        <v>0</v>
      </c>
      <c r="F1285" s="4">
        <v>0</v>
      </c>
      <c r="G1285" s="4">
        <v>0</v>
      </c>
      <c r="H1285" s="4">
        <v>0</v>
      </c>
      <c r="I1285" s="4">
        <v>0</v>
      </c>
      <c r="J1285" s="4">
        <v>0</v>
      </c>
      <c r="K1285" s="4">
        <v>34440</v>
      </c>
      <c r="L1285" s="4">
        <v>-34440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S1285" s="8">
        <f t="shared" si="60"/>
        <v>-5740</v>
      </c>
      <c r="T1285" s="8">
        <f t="shared" si="61"/>
        <v>5740</v>
      </c>
      <c r="U1285" s="9">
        <f t="shared" si="62"/>
        <v>-1</v>
      </c>
    </row>
    <row r="1286" spans="1:22" outlineLevel="2">
      <c r="A1286" t="s">
        <v>413</v>
      </c>
      <c r="B1286" t="s">
        <v>414</v>
      </c>
      <c r="C1286" t="s">
        <v>83</v>
      </c>
      <c r="D1286" t="s">
        <v>84</v>
      </c>
      <c r="E1286" s="4">
        <v>0</v>
      </c>
      <c r="F1286" s="4">
        <v>0</v>
      </c>
      <c r="G1286" s="4">
        <v>0</v>
      </c>
      <c r="H1286" s="4">
        <v>-362.89</v>
      </c>
      <c r="I1286" s="4">
        <v>155</v>
      </c>
      <c r="J1286" s="4">
        <v>0</v>
      </c>
      <c r="K1286" s="4">
        <v>5.79</v>
      </c>
      <c r="L1286" s="4">
        <v>68.22</v>
      </c>
      <c r="M1286" s="4">
        <v>415.52</v>
      </c>
      <c r="N1286" s="4">
        <v>0</v>
      </c>
      <c r="O1286" s="4">
        <v>0</v>
      </c>
      <c r="P1286" s="4">
        <v>0</v>
      </c>
      <c r="Q1286" s="4">
        <v>29.3</v>
      </c>
      <c r="S1286" s="8">
        <f t="shared" si="60"/>
        <v>85.506666666666661</v>
      </c>
      <c r="T1286" s="8">
        <f t="shared" si="61"/>
        <v>-85.506666666666661</v>
      </c>
      <c r="U1286" s="9">
        <f t="shared" si="62"/>
        <v>-1</v>
      </c>
    </row>
    <row r="1287" spans="1:22" outlineLevel="2">
      <c r="A1287" t="s">
        <v>413</v>
      </c>
      <c r="B1287" t="s">
        <v>414</v>
      </c>
      <c r="C1287" t="s">
        <v>166</v>
      </c>
      <c r="D1287" t="s">
        <v>167</v>
      </c>
      <c r="E1287" s="4">
        <v>830.16</v>
      </c>
      <c r="F1287" s="4">
        <v>0</v>
      </c>
      <c r="G1287" s="4">
        <v>0</v>
      </c>
      <c r="H1287" s="4">
        <v>0</v>
      </c>
      <c r="I1287" s="4">
        <v>0</v>
      </c>
      <c r="J1287" s="4">
        <v>0</v>
      </c>
      <c r="K1287" s="4">
        <v>0</v>
      </c>
      <c r="L1287" s="4">
        <v>0</v>
      </c>
      <c r="M1287" s="4">
        <v>16.41</v>
      </c>
      <c r="N1287" s="4">
        <v>0</v>
      </c>
      <c r="O1287" s="4">
        <v>0</v>
      </c>
      <c r="P1287" s="4">
        <v>16.41</v>
      </c>
      <c r="Q1287" s="4">
        <v>3271.41</v>
      </c>
      <c r="S1287" s="8">
        <f t="shared" si="60"/>
        <v>550.70500000000004</v>
      </c>
      <c r="T1287" s="8">
        <f t="shared" si="61"/>
        <v>-550.70500000000004</v>
      </c>
      <c r="U1287" s="9">
        <f t="shared" si="62"/>
        <v>-1</v>
      </c>
    </row>
    <row r="1288" spans="1:22" outlineLevel="2">
      <c r="A1288" t="s">
        <v>413</v>
      </c>
      <c r="B1288" t="s">
        <v>414</v>
      </c>
      <c r="C1288" t="s">
        <v>184</v>
      </c>
      <c r="D1288" t="s">
        <v>185</v>
      </c>
      <c r="E1288" s="4">
        <v>0</v>
      </c>
      <c r="F1288" s="4">
        <v>0</v>
      </c>
      <c r="G1288" s="4">
        <v>0</v>
      </c>
      <c r="H1288" s="4">
        <v>0</v>
      </c>
      <c r="I1288" s="4">
        <v>0</v>
      </c>
      <c r="J1288" s="4">
        <v>0</v>
      </c>
      <c r="K1288" s="4">
        <v>711.67</v>
      </c>
      <c r="L1288" s="4">
        <v>1757.9099999999999</v>
      </c>
      <c r="M1288" s="4">
        <v>861.58999999999992</v>
      </c>
      <c r="N1288" s="4">
        <v>0</v>
      </c>
      <c r="O1288" s="4">
        <v>240.76</v>
      </c>
      <c r="P1288" s="4">
        <v>185.76999999999998</v>
      </c>
      <c r="Q1288" s="4">
        <v>854.4</v>
      </c>
      <c r="R1288" s="4">
        <v>2486.86</v>
      </c>
      <c r="S1288" s="8">
        <f t="shared" si="60"/>
        <v>650.07166666666672</v>
      </c>
      <c r="T1288" s="8">
        <f t="shared" si="61"/>
        <v>1836.7883333333334</v>
      </c>
      <c r="U1288" s="9">
        <f t="shared" si="62"/>
        <v>2.8255166738026318</v>
      </c>
    </row>
    <row r="1289" spans="1:22" outlineLevel="2">
      <c r="A1289" t="s">
        <v>413</v>
      </c>
      <c r="B1289" t="s">
        <v>414</v>
      </c>
      <c r="C1289" t="s">
        <v>224</v>
      </c>
      <c r="D1289" t="s">
        <v>225</v>
      </c>
      <c r="E1289" s="4">
        <v>1332.6</v>
      </c>
      <c r="F1289" s="4">
        <v>8103.86</v>
      </c>
      <c r="G1289" s="4">
        <v>-2379.4800000000005</v>
      </c>
      <c r="H1289" s="4">
        <v>2000</v>
      </c>
      <c r="I1289" s="4">
        <v>7316.9400000000005</v>
      </c>
      <c r="J1289" s="4">
        <v>5196.87</v>
      </c>
      <c r="K1289" s="4">
        <v>14937.399999999991</v>
      </c>
      <c r="L1289" s="4">
        <v>25776.940000000002</v>
      </c>
      <c r="M1289" s="4">
        <v>41426.1</v>
      </c>
      <c r="N1289" s="4">
        <v>1001.0999999999999</v>
      </c>
      <c r="O1289" s="4">
        <v>14612.18</v>
      </c>
      <c r="P1289" s="4">
        <v>20546.439999999995</v>
      </c>
      <c r="Q1289" s="4">
        <v>17199.080000000002</v>
      </c>
      <c r="R1289" s="4">
        <v>1729.45</v>
      </c>
      <c r="S1289" s="8">
        <f t="shared" si="60"/>
        <v>20093.640000000003</v>
      </c>
      <c r="T1289" s="8">
        <f t="shared" si="61"/>
        <v>-18364.190000000002</v>
      </c>
      <c r="U1289" s="9">
        <f t="shared" si="62"/>
        <v>-0.91393047750432477</v>
      </c>
    </row>
    <row r="1290" spans="1:22" outlineLevel="2">
      <c r="A1290" t="s">
        <v>413</v>
      </c>
      <c r="B1290" t="s">
        <v>414</v>
      </c>
      <c r="C1290" t="s">
        <v>101</v>
      </c>
      <c r="D1290" t="s">
        <v>102</v>
      </c>
      <c r="E1290" s="4">
        <v>76374.48000000001</v>
      </c>
      <c r="F1290" s="4">
        <v>3358.6399999999994</v>
      </c>
      <c r="G1290" s="4">
        <v>0</v>
      </c>
      <c r="H1290" s="4">
        <v>0</v>
      </c>
      <c r="I1290" s="4">
        <v>0</v>
      </c>
      <c r="J1290" s="4">
        <v>135188.85</v>
      </c>
      <c r="K1290" s="4">
        <v>3928.1899999999951</v>
      </c>
      <c r="L1290" s="4">
        <v>67658.36</v>
      </c>
      <c r="M1290" s="4">
        <v>69063.11</v>
      </c>
      <c r="N1290" s="4">
        <v>1663.4200000000019</v>
      </c>
      <c r="O1290" s="4">
        <v>90769.37</v>
      </c>
      <c r="P1290" s="4">
        <v>140457.71000000002</v>
      </c>
      <c r="Q1290" s="4">
        <v>57128.62999999999</v>
      </c>
      <c r="R1290" s="4">
        <v>-51291.67</v>
      </c>
      <c r="S1290" s="8">
        <f t="shared" si="60"/>
        <v>71123.433333333334</v>
      </c>
      <c r="T1290" s="8">
        <f t="shared" si="61"/>
        <v>-122415.10333333333</v>
      </c>
      <c r="U1290" s="9">
        <f t="shared" si="62"/>
        <v>-1.7211641451504731</v>
      </c>
      <c r="V1290" t="s">
        <v>897</v>
      </c>
    </row>
    <row r="1291" spans="1:22" outlineLevel="2">
      <c r="A1291" t="s">
        <v>413</v>
      </c>
      <c r="B1291" t="s">
        <v>414</v>
      </c>
      <c r="C1291" t="s">
        <v>103</v>
      </c>
      <c r="D1291" t="s">
        <v>104</v>
      </c>
      <c r="E1291" s="4">
        <v>0</v>
      </c>
      <c r="F1291" s="4">
        <v>0</v>
      </c>
      <c r="G1291" s="4">
        <v>0</v>
      </c>
      <c r="H1291" s="4">
        <v>0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277.12</v>
      </c>
      <c r="O1291" s="4">
        <v>0</v>
      </c>
      <c r="P1291" s="4">
        <v>0</v>
      </c>
      <c r="Q1291" s="4">
        <v>0</v>
      </c>
      <c r="S1291" s="8">
        <f t="shared" si="60"/>
        <v>46.186666666666667</v>
      </c>
      <c r="T1291" s="8">
        <f t="shared" si="61"/>
        <v>-46.186666666666667</v>
      </c>
      <c r="U1291" s="9">
        <f t="shared" si="62"/>
        <v>-1</v>
      </c>
    </row>
    <row r="1292" spans="1:22" outlineLevel="2">
      <c r="A1292" t="s">
        <v>413</v>
      </c>
      <c r="B1292" t="s">
        <v>414</v>
      </c>
      <c r="C1292" t="s">
        <v>111</v>
      </c>
      <c r="D1292" t="s">
        <v>112</v>
      </c>
      <c r="E1292" s="4">
        <v>0</v>
      </c>
      <c r="F1292" s="4">
        <v>0</v>
      </c>
      <c r="G1292" s="4">
        <v>0</v>
      </c>
      <c r="H1292" s="4">
        <v>0</v>
      </c>
      <c r="I1292" s="4">
        <v>0</v>
      </c>
      <c r="J1292" s="4">
        <v>-1680</v>
      </c>
      <c r="K1292" s="4">
        <v>0</v>
      </c>
      <c r="L1292" s="4">
        <v>0</v>
      </c>
      <c r="M1292" s="4">
        <v>0</v>
      </c>
      <c r="N1292" s="4">
        <v>0</v>
      </c>
      <c r="O1292" s="4">
        <v>0</v>
      </c>
      <c r="P1292" s="4">
        <v>0</v>
      </c>
      <c r="Q1292" s="4">
        <v>0</v>
      </c>
      <c r="S1292" s="8">
        <f t="shared" si="60"/>
        <v>0</v>
      </c>
      <c r="T1292" s="8">
        <f t="shared" si="61"/>
        <v>0</v>
      </c>
      <c r="U1292" s="9" t="e">
        <f t="shared" si="62"/>
        <v>#DIV/0!</v>
      </c>
    </row>
    <row r="1293" spans="1:22" outlineLevel="2">
      <c r="A1293" t="s">
        <v>413</v>
      </c>
      <c r="B1293" t="s">
        <v>414</v>
      </c>
      <c r="C1293" t="s">
        <v>127</v>
      </c>
      <c r="D1293" t="s">
        <v>120</v>
      </c>
      <c r="E1293" s="4">
        <v>0</v>
      </c>
      <c r="F1293" s="4">
        <v>996.62</v>
      </c>
      <c r="G1293" s="4">
        <v>0</v>
      </c>
      <c r="H1293" s="4">
        <v>0</v>
      </c>
      <c r="I1293" s="4">
        <v>8927.35</v>
      </c>
      <c r="J1293" s="4">
        <v>0</v>
      </c>
      <c r="K1293" s="4">
        <v>1485.02</v>
      </c>
      <c r="L1293" s="4">
        <v>8118.49</v>
      </c>
      <c r="M1293" s="4">
        <v>6735.3500000000022</v>
      </c>
      <c r="N1293" s="4">
        <v>0</v>
      </c>
      <c r="O1293" s="4">
        <v>0</v>
      </c>
      <c r="P1293" s="4">
        <v>1158.5900000000001</v>
      </c>
      <c r="Q1293" s="4">
        <v>749.65</v>
      </c>
      <c r="R1293" s="4">
        <v>682.45</v>
      </c>
      <c r="S1293" s="8">
        <f t="shared" si="60"/>
        <v>2793.6800000000003</v>
      </c>
      <c r="T1293" s="8">
        <f t="shared" si="61"/>
        <v>-2111.2300000000005</v>
      </c>
      <c r="U1293" s="9">
        <f t="shared" si="62"/>
        <v>-0.75571647432776845</v>
      </c>
    </row>
    <row r="1294" spans="1:22" outlineLevel="2">
      <c r="A1294" t="s">
        <v>413</v>
      </c>
      <c r="B1294" t="s">
        <v>414</v>
      </c>
      <c r="C1294" t="s">
        <v>132</v>
      </c>
      <c r="D1294" t="s">
        <v>133</v>
      </c>
      <c r="E1294" s="4">
        <v>0</v>
      </c>
      <c r="F1294" s="4">
        <v>0</v>
      </c>
      <c r="G1294" s="4">
        <v>0</v>
      </c>
      <c r="H1294" s="4">
        <v>0</v>
      </c>
      <c r="I1294" s="4">
        <v>0</v>
      </c>
      <c r="J1294" s="4">
        <v>0</v>
      </c>
      <c r="K1294" s="4">
        <v>0</v>
      </c>
      <c r="L1294" s="4">
        <v>0</v>
      </c>
      <c r="M1294" s="4">
        <v>0</v>
      </c>
      <c r="N1294" s="4">
        <v>0</v>
      </c>
      <c r="O1294" s="4">
        <v>23.5</v>
      </c>
      <c r="P1294" s="4">
        <v>0</v>
      </c>
      <c r="Q1294" s="4">
        <v>0</v>
      </c>
      <c r="S1294" s="8">
        <f t="shared" si="60"/>
        <v>3.9166666666666665</v>
      </c>
      <c r="T1294" s="8">
        <f t="shared" si="61"/>
        <v>-3.9166666666666665</v>
      </c>
      <c r="U1294" s="9">
        <f t="shared" si="62"/>
        <v>-1</v>
      </c>
    </row>
    <row r="1295" spans="1:22" outlineLevel="1">
      <c r="A1295" s="1" t="s">
        <v>765</v>
      </c>
      <c r="E1295" s="4">
        <f>SUBTOTAL(9,E1275:E1294)</f>
        <v>109185.12000000002</v>
      </c>
      <c r="F1295" s="4">
        <f>SUBTOTAL(9,F1275:F1294)</f>
        <v>73235.319999999992</v>
      </c>
      <c r="G1295" s="4">
        <f>SUBTOTAL(9,G1275:G1294)</f>
        <v>39879.819999999992</v>
      </c>
      <c r="H1295" s="4">
        <f>SUBTOTAL(9,H1275:H1294)</f>
        <v>16133.779999999997</v>
      </c>
      <c r="I1295" s="4">
        <f>SUBTOTAL(9,I1275:I1294)</f>
        <v>51889.100000000006</v>
      </c>
      <c r="J1295" s="4">
        <f>SUBTOTAL(9,J1275:J1294)</f>
        <v>187796.98</v>
      </c>
      <c r="K1295" s="4">
        <f>SUBTOTAL(9,K1275:K1294)</f>
        <v>95170.949999999968</v>
      </c>
      <c r="L1295" s="4">
        <f>SUBTOTAL(9,L1275:L1294)</f>
        <v>167226.90999999997</v>
      </c>
      <c r="M1295" s="4">
        <f>SUBTOTAL(9,M1275:M1294)</f>
        <v>125832.70000000001</v>
      </c>
      <c r="N1295" s="4">
        <f>SUBTOTAL(9,N1275:N1294)</f>
        <v>62393.910000000011</v>
      </c>
      <c r="O1295" s="4">
        <f>SUBTOTAL(9,O1275:O1294)</f>
        <v>141511.72</v>
      </c>
      <c r="P1295" s="4">
        <f>SUBTOTAL(9,P1275:P1294)</f>
        <v>202090.98</v>
      </c>
      <c r="Q1295" s="4">
        <f>SUBTOTAL(9,Q1275:Q1294)</f>
        <v>114981.4</v>
      </c>
      <c r="R1295" s="4">
        <f>SUBTOTAL(9,R1275:R1294)</f>
        <v>18857.420000000002</v>
      </c>
      <c r="S1295" s="8">
        <f t="shared" si="60"/>
        <v>135672.93666666668</v>
      </c>
      <c r="T1295" s="8">
        <f t="shared" si="61"/>
        <v>-116815.51666666668</v>
      </c>
      <c r="U1295" s="9">
        <f t="shared" si="62"/>
        <v>-0.86100824185496494</v>
      </c>
      <c r="V1295" t="s">
        <v>897</v>
      </c>
    </row>
    <row r="1296" spans="1:22" outlineLevel="2">
      <c r="A1296" t="s">
        <v>417</v>
      </c>
      <c r="B1296" t="s">
        <v>418</v>
      </c>
      <c r="C1296" t="s">
        <v>19</v>
      </c>
      <c r="D1296" t="s">
        <v>20</v>
      </c>
      <c r="E1296" s="4">
        <v>-2.2737367544323206E-13</v>
      </c>
      <c r="F1296" s="4">
        <v>-1361.36</v>
      </c>
      <c r="G1296" s="4">
        <v>1361.36</v>
      </c>
      <c r="H1296" s="4">
        <v>1281.28</v>
      </c>
      <c r="I1296" s="4">
        <v>1281.28</v>
      </c>
      <c r="J1296" s="4">
        <v>0</v>
      </c>
      <c r="K1296" s="4">
        <v>0</v>
      </c>
      <c r="L1296" s="4">
        <v>0</v>
      </c>
      <c r="M1296" s="4">
        <v>-2562.56</v>
      </c>
      <c r="N1296" s="4">
        <v>0</v>
      </c>
      <c r="O1296" s="4">
        <v>0</v>
      </c>
      <c r="P1296" s="4">
        <v>0</v>
      </c>
      <c r="Q1296" s="4">
        <v>0</v>
      </c>
      <c r="S1296" s="8">
        <f t="shared" si="60"/>
        <v>-427.09333333333331</v>
      </c>
      <c r="T1296" s="8">
        <f t="shared" si="61"/>
        <v>427.09333333333331</v>
      </c>
      <c r="U1296" s="9">
        <f t="shared" si="62"/>
        <v>-1</v>
      </c>
    </row>
    <row r="1297" spans="1:21" outlineLevel="2">
      <c r="A1297" t="s">
        <v>417</v>
      </c>
      <c r="B1297" t="s">
        <v>418</v>
      </c>
      <c r="C1297" t="s">
        <v>21</v>
      </c>
      <c r="D1297" t="s">
        <v>22</v>
      </c>
      <c r="E1297" s="4">
        <v>0</v>
      </c>
      <c r="F1297" s="4">
        <v>0</v>
      </c>
      <c r="G1297" s="4">
        <v>0</v>
      </c>
      <c r="H1297" s="4">
        <v>0</v>
      </c>
      <c r="I1297" s="4">
        <v>-7.1054273576010019E-15</v>
      </c>
      <c r="J1297" s="4">
        <v>0</v>
      </c>
      <c r="K1297" s="4">
        <v>0</v>
      </c>
      <c r="L1297" s="4">
        <v>0</v>
      </c>
      <c r="M1297" s="4">
        <v>7.1054273576010019E-15</v>
      </c>
      <c r="N1297" s="4">
        <v>0</v>
      </c>
      <c r="O1297" s="4">
        <v>0</v>
      </c>
      <c r="P1297" s="4">
        <v>0</v>
      </c>
      <c r="Q1297" s="4">
        <v>0</v>
      </c>
      <c r="S1297" s="8">
        <f t="shared" si="60"/>
        <v>1.1842378929335002E-15</v>
      </c>
      <c r="T1297" s="8">
        <f t="shared" si="61"/>
        <v>-1.1842378929335002E-15</v>
      </c>
      <c r="U1297" s="9">
        <f t="shared" si="62"/>
        <v>-1</v>
      </c>
    </row>
    <row r="1298" spans="1:21" outlineLevel="2">
      <c r="A1298" t="s">
        <v>417</v>
      </c>
      <c r="B1298" t="s">
        <v>418</v>
      </c>
      <c r="C1298" t="s">
        <v>23</v>
      </c>
      <c r="D1298" t="s">
        <v>24</v>
      </c>
      <c r="E1298" s="4">
        <v>0</v>
      </c>
      <c r="F1298" s="4">
        <v>0</v>
      </c>
      <c r="G1298" s="4">
        <v>0</v>
      </c>
      <c r="H1298" s="4">
        <v>0</v>
      </c>
      <c r="I1298" s="4">
        <v>0</v>
      </c>
      <c r="J1298" s="4">
        <v>0</v>
      </c>
      <c r="K1298" s="4">
        <v>0</v>
      </c>
      <c r="L1298" s="4">
        <v>0</v>
      </c>
      <c r="M1298" s="4">
        <v>5.6843418860808015E-14</v>
      </c>
      <c r="N1298" s="4">
        <v>0</v>
      </c>
      <c r="O1298" s="4">
        <v>0</v>
      </c>
      <c r="P1298" s="4">
        <v>0</v>
      </c>
      <c r="Q1298" s="4">
        <v>0</v>
      </c>
      <c r="S1298" s="8">
        <f t="shared" si="60"/>
        <v>9.473903143468002E-15</v>
      </c>
      <c r="T1298" s="8">
        <f t="shared" si="61"/>
        <v>-9.473903143468002E-15</v>
      </c>
      <c r="U1298" s="9">
        <f t="shared" si="62"/>
        <v>-1</v>
      </c>
    </row>
    <row r="1299" spans="1:21" outlineLevel="2">
      <c r="A1299" t="s">
        <v>417</v>
      </c>
      <c r="B1299" t="s">
        <v>418</v>
      </c>
      <c r="C1299" t="s">
        <v>25</v>
      </c>
      <c r="D1299" t="s">
        <v>26</v>
      </c>
      <c r="E1299" s="4">
        <v>0</v>
      </c>
      <c r="F1299" s="4">
        <v>0</v>
      </c>
      <c r="G1299" s="4">
        <v>0</v>
      </c>
      <c r="H1299" s="4">
        <v>0</v>
      </c>
      <c r="I1299" s="4">
        <v>0</v>
      </c>
      <c r="J1299" s="4">
        <v>0</v>
      </c>
      <c r="K1299" s="4">
        <v>0</v>
      </c>
      <c r="L1299" s="4">
        <v>0</v>
      </c>
      <c r="M1299" s="4">
        <v>0</v>
      </c>
      <c r="N1299" s="4">
        <v>0</v>
      </c>
      <c r="O1299" s="4">
        <v>-1.1368683772161603E-13</v>
      </c>
      <c r="P1299" s="4">
        <v>0</v>
      </c>
      <c r="Q1299" s="4">
        <v>0</v>
      </c>
      <c r="S1299" s="8">
        <f t="shared" si="60"/>
        <v>-1.8947806286936004E-14</v>
      </c>
      <c r="T1299" s="8">
        <f t="shared" si="61"/>
        <v>1.8947806286936004E-14</v>
      </c>
      <c r="U1299" s="9">
        <f t="shared" si="62"/>
        <v>-1</v>
      </c>
    </row>
    <row r="1300" spans="1:21" outlineLevel="2">
      <c r="A1300" t="s">
        <v>417</v>
      </c>
      <c r="B1300" t="s">
        <v>418</v>
      </c>
      <c r="C1300" t="s">
        <v>136</v>
      </c>
      <c r="D1300" t="s">
        <v>137</v>
      </c>
      <c r="E1300" s="4">
        <v>-7.2759576141834259E-12</v>
      </c>
      <c r="F1300" s="4">
        <v>9.0949470177292824E-13</v>
      </c>
      <c r="G1300" s="4">
        <v>0</v>
      </c>
      <c r="H1300" s="4">
        <v>-7.2759576141834259E-12</v>
      </c>
      <c r="I1300" s="4">
        <v>7.2759576141834259E-12</v>
      </c>
      <c r="J1300" s="4">
        <v>0</v>
      </c>
      <c r="K1300" s="4">
        <v>46601.58</v>
      </c>
      <c r="L1300" s="4">
        <v>-46601.58</v>
      </c>
      <c r="M1300" s="4">
        <v>-7.2759576141834259E-12</v>
      </c>
      <c r="N1300" s="4">
        <v>0</v>
      </c>
      <c r="O1300" s="4">
        <v>0</v>
      </c>
      <c r="P1300" s="4">
        <v>0</v>
      </c>
      <c r="Q1300" s="4">
        <v>0</v>
      </c>
      <c r="S1300" s="8">
        <f t="shared" si="60"/>
        <v>-7766.9300000000012</v>
      </c>
      <c r="T1300" s="8">
        <f t="shared" si="61"/>
        <v>7766.9300000000012</v>
      </c>
      <c r="U1300" s="9">
        <f t="shared" si="62"/>
        <v>-1</v>
      </c>
    </row>
    <row r="1301" spans="1:21" outlineLevel="2">
      <c r="A1301" t="s">
        <v>417</v>
      </c>
      <c r="B1301" t="s">
        <v>418</v>
      </c>
      <c r="C1301" t="s">
        <v>138</v>
      </c>
      <c r="D1301" t="s">
        <v>139</v>
      </c>
      <c r="E1301" s="4">
        <v>0</v>
      </c>
      <c r="F1301" s="4">
        <v>0</v>
      </c>
      <c r="G1301" s="4">
        <v>4.5474735088646412E-13</v>
      </c>
      <c r="H1301" s="4">
        <v>-9.0949470177292824E-13</v>
      </c>
      <c r="I1301" s="4">
        <v>-1.8189894035458565E-12</v>
      </c>
      <c r="J1301" s="4">
        <v>0</v>
      </c>
      <c r="K1301" s="4">
        <v>9904.4399999999987</v>
      </c>
      <c r="L1301" s="4">
        <v>-9904.4400000000023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S1301" s="8">
        <f t="shared" si="60"/>
        <v>-1650.7400000000005</v>
      </c>
      <c r="T1301" s="8">
        <f t="shared" si="61"/>
        <v>1650.7400000000005</v>
      </c>
      <c r="U1301" s="9">
        <f t="shared" si="62"/>
        <v>-1</v>
      </c>
    </row>
    <row r="1302" spans="1:21" outlineLevel="2">
      <c r="A1302" t="s">
        <v>417</v>
      </c>
      <c r="B1302" t="s">
        <v>418</v>
      </c>
      <c r="C1302" t="s">
        <v>29</v>
      </c>
      <c r="D1302" t="s">
        <v>30</v>
      </c>
      <c r="E1302" s="4">
        <v>0</v>
      </c>
      <c r="F1302" s="4">
        <v>-9.0949470177292824E-13</v>
      </c>
      <c r="G1302" s="4">
        <v>5.6843418860808015E-14</v>
      </c>
      <c r="H1302" s="4">
        <v>-2.2737367544323206E-13</v>
      </c>
      <c r="I1302" s="4">
        <v>0</v>
      </c>
      <c r="J1302" s="4">
        <v>0</v>
      </c>
      <c r="K1302" s="4">
        <v>1093.5999999999999</v>
      </c>
      <c r="L1302" s="4">
        <v>-1093.5999999999999</v>
      </c>
      <c r="M1302" s="4">
        <v>0</v>
      </c>
      <c r="N1302" s="4">
        <v>2.2737367544323206E-13</v>
      </c>
      <c r="O1302" s="4">
        <v>0</v>
      </c>
      <c r="P1302" s="4">
        <v>5.6843418860808015E-14</v>
      </c>
      <c r="Q1302" s="4">
        <v>0</v>
      </c>
      <c r="S1302" s="8">
        <f t="shared" si="60"/>
        <v>-182.26666666666662</v>
      </c>
      <c r="T1302" s="8">
        <f t="shared" si="61"/>
        <v>182.26666666666662</v>
      </c>
      <c r="U1302" s="9">
        <f t="shared" si="62"/>
        <v>-1</v>
      </c>
    </row>
    <row r="1303" spans="1:21" outlineLevel="2">
      <c r="A1303" t="s">
        <v>417</v>
      </c>
      <c r="B1303" t="s">
        <v>418</v>
      </c>
      <c r="C1303" t="s">
        <v>142</v>
      </c>
      <c r="D1303" t="s">
        <v>143</v>
      </c>
      <c r="E1303" s="4">
        <v>0</v>
      </c>
      <c r="F1303" s="4">
        <v>0</v>
      </c>
      <c r="G1303" s="4">
        <v>0</v>
      </c>
      <c r="H1303" s="4">
        <v>0</v>
      </c>
      <c r="I1303" s="4">
        <v>0</v>
      </c>
      <c r="J1303" s="4">
        <v>0</v>
      </c>
      <c r="K1303" s="4">
        <v>0</v>
      </c>
      <c r="L1303" s="4">
        <v>0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S1303" s="8">
        <f t="shared" si="60"/>
        <v>0</v>
      </c>
      <c r="T1303" s="8">
        <f t="shared" si="61"/>
        <v>0</v>
      </c>
      <c r="U1303" s="9" t="e">
        <f t="shared" si="62"/>
        <v>#DIV/0!</v>
      </c>
    </row>
    <row r="1304" spans="1:21" outlineLevel="2">
      <c r="A1304" t="s">
        <v>417</v>
      </c>
      <c r="B1304" t="s">
        <v>418</v>
      </c>
      <c r="C1304" t="s">
        <v>144</v>
      </c>
      <c r="D1304" t="s">
        <v>145</v>
      </c>
      <c r="E1304" s="4">
        <v>1198.3200000000006</v>
      </c>
      <c r="F1304" s="4">
        <v>-1936.589999999999</v>
      </c>
      <c r="G1304" s="4">
        <v>738.26999999999987</v>
      </c>
      <c r="H1304" s="4">
        <v>2.2737367544323206E-13</v>
      </c>
      <c r="I1304" s="4">
        <v>0</v>
      </c>
      <c r="J1304" s="4">
        <v>0</v>
      </c>
      <c r="K1304" s="4">
        <v>-1438.54</v>
      </c>
      <c r="L1304" s="4">
        <v>1438.54</v>
      </c>
      <c r="M1304" s="4">
        <v>-4.5474735088646412E-13</v>
      </c>
      <c r="N1304" s="4">
        <v>0</v>
      </c>
      <c r="O1304" s="4">
        <v>0</v>
      </c>
      <c r="P1304" s="4">
        <v>0</v>
      </c>
      <c r="Q1304" s="4">
        <v>0</v>
      </c>
      <c r="S1304" s="8">
        <f t="shared" si="60"/>
        <v>239.75666666666658</v>
      </c>
      <c r="T1304" s="8">
        <f t="shared" si="61"/>
        <v>-239.75666666666658</v>
      </c>
      <c r="U1304" s="9">
        <f t="shared" si="62"/>
        <v>-1</v>
      </c>
    </row>
    <row r="1305" spans="1:21" outlineLevel="2">
      <c r="A1305" t="s">
        <v>417</v>
      </c>
      <c r="B1305" t="s">
        <v>418</v>
      </c>
      <c r="C1305" t="s">
        <v>146</v>
      </c>
      <c r="D1305" t="s">
        <v>147</v>
      </c>
      <c r="E1305" s="4">
        <v>0</v>
      </c>
      <c r="F1305" s="4">
        <v>-3.4106051316484809E-13</v>
      </c>
      <c r="G1305" s="4">
        <v>0</v>
      </c>
      <c r="H1305" s="4">
        <v>0</v>
      </c>
      <c r="I1305" s="4">
        <v>0</v>
      </c>
      <c r="J1305" s="4">
        <v>0</v>
      </c>
      <c r="K1305" s="4">
        <v>5605.34</v>
      </c>
      <c r="L1305" s="4">
        <v>-5605.34</v>
      </c>
      <c r="M1305" s="4">
        <v>2189.39</v>
      </c>
      <c r="N1305" s="4">
        <v>-2189.39</v>
      </c>
      <c r="O1305" s="4">
        <v>0</v>
      </c>
      <c r="P1305" s="4">
        <v>-2.2737367544323206E-13</v>
      </c>
      <c r="Q1305" s="4">
        <v>0</v>
      </c>
      <c r="S1305" s="8">
        <f t="shared" si="60"/>
        <v>-934.22333333333336</v>
      </c>
      <c r="T1305" s="8">
        <f t="shared" si="61"/>
        <v>934.22333333333336</v>
      </c>
      <c r="U1305" s="9">
        <f t="shared" si="62"/>
        <v>-1</v>
      </c>
    </row>
    <row r="1306" spans="1:21" outlineLevel="2">
      <c r="A1306" t="s">
        <v>417</v>
      </c>
      <c r="B1306" t="s">
        <v>418</v>
      </c>
      <c r="C1306" t="s">
        <v>150</v>
      </c>
      <c r="D1306" t="s">
        <v>151</v>
      </c>
      <c r="E1306" s="4">
        <v>0</v>
      </c>
      <c r="F1306" s="4">
        <v>0</v>
      </c>
      <c r="G1306" s="4">
        <v>-1.8189894035458565E-12</v>
      </c>
      <c r="H1306" s="4">
        <v>0</v>
      </c>
      <c r="I1306" s="4">
        <v>10715.15</v>
      </c>
      <c r="J1306" s="4">
        <v>7102.61</v>
      </c>
      <c r="K1306" s="4">
        <v>0</v>
      </c>
      <c r="L1306" s="4">
        <v>0</v>
      </c>
      <c r="M1306" s="4">
        <v>-17817.759999999998</v>
      </c>
      <c r="N1306" s="4">
        <v>0</v>
      </c>
      <c r="O1306" s="4">
        <v>0</v>
      </c>
      <c r="P1306" s="4">
        <v>0</v>
      </c>
      <c r="Q1306" s="4">
        <v>0</v>
      </c>
      <c r="S1306" s="8">
        <f t="shared" si="60"/>
        <v>-2969.6266666666666</v>
      </c>
      <c r="T1306" s="8">
        <f t="shared" si="61"/>
        <v>2969.6266666666666</v>
      </c>
      <c r="U1306" s="9">
        <f t="shared" si="62"/>
        <v>-1</v>
      </c>
    </row>
    <row r="1307" spans="1:21" outlineLevel="2">
      <c r="A1307" t="s">
        <v>417</v>
      </c>
      <c r="B1307" t="s">
        <v>418</v>
      </c>
      <c r="C1307" t="s">
        <v>152</v>
      </c>
      <c r="D1307" t="s">
        <v>153</v>
      </c>
      <c r="E1307" s="4">
        <v>4.5474735088646412E-13</v>
      </c>
      <c r="F1307" s="4">
        <v>1.1368683772161603E-13</v>
      </c>
      <c r="G1307" s="4">
        <v>0</v>
      </c>
      <c r="H1307" s="4">
        <v>0</v>
      </c>
      <c r="I1307" s="4">
        <v>0</v>
      </c>
      <c r="J1307" s="4">
        <v>1.8189894035458565E-12</v>
      </c>
      <c r="K1307" s="4">
        <v>4281.9699999999993</v>
      </c>
      <c r="L1307" s="4">
        <v>-4281.9699999999993</v>
      </c>
      <c r="M1307" s="4">
        <v>-4.5474735088646412E-13</v>
      </c>
      <c r="N1307" s="4">
        <v>0</v>
      </c>
      <c r="O1307" s="4">
        <v>0</v>
      </c>
      <c r="P1307" s="4">
        <v>0</v>
      </c>
      <c r="Q1307" s="4">
        <v>0</v>
      </c>
      <c r="S1307" s="8">
        <f t="shared" si="60"/>
        <v>-713.66166666666652</v>
      </c>
      <c r="T1307" s="8">
        <f t="shared" si="61"/>
        <v>713.66166666666652</v>
      </c>
      <c r="U1307" s="9">
        <f t="shared" si="62"/>
        <v>-1</v>
      </c>
    </row>
    <row r="1308" spans="1:21" outlineLevel="2">
      <c r="A1308" t="s">
        <v>417</v>
      </c>
      <c r="B1308" t="s">
        <v>418</v>
      </c>
      <c r="C1308" t="s">
        <v>154</v>
      </c>
      <c r="D1308" t="s">
        <v>155</v>
      </c>
      <c r="E1308" s="4">
        <v>0</v>
      </c>
      <c r="F1308" s="4">
        <v>0</v>
      </c>
      <c r="G1308" s="4">
        <v>-2.8421709430404007E-14</v>
      </c>
      <c r="H1308" s="4">
        <v>0</v>
      </c>
      <c r="I1308" s="4">
        <v>0</v>
      </c>
      <c r="J1308" s="4">
        <v>0</v>
      </c>
      <c r="K1308" s="4">
        <v>0</v>
      </c>
      <c r="L1308" s="4">
        <v>0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S1308" s="8">
        <f t="shared" si="60"/>
        <v>0</v>
      </c>
      <c r="T1308" s="8">
        <f t="shared" si="61"/>
        <v>0</v>
      </c>
      <c r="U1308" s="9" t="e">
        <f t="shared" si="62"/>
        <v>#DIV/0!</v>
      </c>
    </row>
    <row r="1309" spans="1:21" outlineLevel="2">
      <c r="A1309" t="s">
        <v>417</v>
      </c>
      <c r="B1309" t="s">
        <v>418</v>
      </c>
      <c r="C1309" t="s">
        <v>158</v>
      </c>
      <c r="D1309" t="s">
        <v>159</v>
      </c>
      <c r="E1309" s="4">
        <v>0</v>
      </c>
      <c r="F1309" s="4">
        <v>0</v>
      </c>
      <c r="G1309" s="4">
        <v>-1.8189894035458565E-12</v>
      </c>
      <c r="H1309" s="4">
        <v>0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v>0</v>
      </c>
      <c r="O1309" s="4">
        <v>0</v>
      </c>
      <c r="P1309" s="4">
        <v>0</v>
      </c>
      <c r="Q1309" s="4">
        <v>0</v>
      </c>
      <c r="S1309" s="8">
        <f t="shared" si="60"/>
        <v>0</v>
      </c>
      <c r="T1309" s="8">
        <f t="shared" si="61"/>
        <v>0</v>
      </c>
      <c r="U1309" s="9" t="e">
        <f t="shared" si="62"/>
        <v>#DIV/0!</v>
      </c>
    </row>
    <row r="1310" spans="1:21" outlineLevel="2">
      <c r="A1310" t="s">
        <v>417</v>
      </c>
      <c r="B1310" t="s">
        <v>418</v>
      </c>
      <c r="C1310" t="s">
        <v>160</v>
      </c>
      <c r="D1310" t="s">
        <v>161</v>
      </c>
      <c r="E1310" s="4">
        <v>0</v>
      </c>
      <c r="F1310" s="4">
        <v>0</v>
      </c>
      <c r="G1310" s="4">
        <v>0</v>
      </c>
      <c r="H1310" s="4">
        <v>0</v>
      </c>
      <c r="I1310" s="4">
        <v>0</v>
      </c>
      <c r="J1310" s="4">
        <v>0</v>
      </c>
      <c r="K1310" s="4">
        <v>0</v>
      </c>
      <c r="L1310" s="4">
        <v>0</v>
      </c>
      <c r="M1310" s="4">
        <v>1480.37</v>
      </c>
      <c r="N1310" s="4">
        <v>-1480.37</v>
      </c>
      <c r="O1310" s="4">
        <v>0</v>
      </c>
      <c r="P1310" s="4">
        <v>0</v>
      </c>
      <c r="Q1310" s="4">
        <v>0</v>
      </c>
      <c r="S1310" s="8">
        <f t="shared" si="60"/>
        <v>0</v>
      </c>
      <c r="T1310" s="8">
        <f t="shared" si="61"/>
        <v>0</v>
      </c>
      <c r="U1310" s="9" t="e">
        <f t="shared" si="62"/>
        <v>#DIV/0!</v>
      </c>
    </row>
    <row r="1311" spans="1:21" outlineLevel="2">
      <c r="A1311" t="s">
        <v>417</v>
      </c>
      <c r="B1311" t="s">
        <v>418</v>
      </c>
      <c r="C1311" t="s">
        <v>49</v>
      </c>
      <c r="D1311" t="s">
        <v>50</v>
      </c>
      <c r="E1311" s="4">
        <v>1281.28</v>
      </c>
      <c r="F1311" s="4">
        <v>0</v>
      </c>
      <c r="G1311" s="4">
        <v>-1281.28</v>
      </c>
      <c r="H1311" s="4">
        <v>0</v>
      </c>
      <c r="I1311" s="4">
        <v>0</v>
      </c>
      <c r="J1311" s="4">
        <v>6383.22</v>
      </c>
      <c r="K1311" s="4">
        <v>0</v>
      </c>
      <c r="L1311" s="4">
        <v>0</v>
      </c>
      <c r="M1311" s="4">
        <v>-6383.2200000000012</v>
      </c>
      <c r="N1311" s="4">
        <v>0</v>
      </c>
      <c r="O1311" s="4">
        <v>0</v>
      </c>
      <c r="P1311" s="4">
        <v>0</v>
      </c>
      <c r="Q1311" s="4">
        <v>0</v>
      </c>
      <c r="S1311" s="8">
        <f t="shared" si="60"/>
        <v>-1063.8700000000001</v>
      </c>
      <c r="T1311" s="8">
        <f t="shared" si="61"/>
        <v>1063.8700000000001</v>
      </c>
      <c r="U1311" s="9">
        <f t="shared" si="62"/>
        <v>-1</v>
      </c>
    </row>
    <row r="1312" spans="1:21" outlineLevel="2">
      <c r="A1312" t="s">
        <v>417</v>
      </c>
      <c r="B1312" t="s">
        <v>418</v>
      </c>
      <c r="C1312" t="s">
        <v>164</v>
      </c>
      <c r="D1312" t="s">
        <v>165</v>
      </c>
      <c r="E1312" s="4">
        <v>0</v>
      </c>
      <c r="F1312" s="4">
        <v>0</v>
      </c>
      <c r="G1312" s="4">
        <v>0</v>
      </c>
      <c r="H1312" s="4">
        <v>0</v>
      </c>
      <c r="I1312" s="4">
        <v>0</v>
      </c>
      <c r="J1312" s="4">
        <v>0</v>
      </c>
      <c r="K1312" s="4">
        <v>70</v>
      </c>
      <c r="L1312" s="4">
        <v>-70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S1312" s="8">
        <f t="shared" si="60"/>
        <v>-11.666666666666666</v>
      </c>
      <c r="T1312" s="8">
        <f t="shared" si="61"/>
        <v>11.666666666666666</v>
      </c>
      <c r="U1312" s="9">
        <f t="shared" si="62"/>
        <v>-1</v>
      </c>
    </row>
    <row r="1313" spans="1:22" outlineLevel="2">
      <c r="A1313" t="s">
        <v>417</v>
      </c>
      <c r="B1313" t="s">
        <v>418</v>
      </c>
      <c r="C1313" t="s">
        <v>55</v>
      </c>
      <c r="D1313" t="s">
        <v>56</v>
      </c>
      <c r="E1313" s="4">
        <v>0</v>
      </c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  <c r="O1313" s="4">
        <v>0</v>
      </c>
      <c r="P1313" s="4">
        <v>0</v>
      </c>
      <c r="Q1313" s="4">
        <v>0</v>
      </c>
      <c r="S1313" s="8">
        <f t="shared" si="60"/>
        <v>0</v>
      </c>
      <c r="T1313" s="8">
        <f t="shared" si="61"/>
        <v>0</v>
      </c>
      <c r="U1313" s="9" t="e">
        <f t="shared" si="62"/>
        <v>#DIV/0!</v>
      </c>
    </row>
    <row r="1314" spans="1:22" outlineLevel="2">
      <c r="A1314" t="s">
        <v>417</v>
      </c>
      <c r="B1314" t="s">
        <v>418</v>
      </c>
      <c r="C1314" t="s">
        <v>59</v>
      </c>
      <c r="D1314" t="s">
        <v>60</v>
      </c>
      <c r="E1314" s="4">
        <v>2.4868995751603507E-14</v>
      </c>
      <c r="F1314" s="4">
        <v>0</v>
      </c>
      <c r="G1314" s="4">
        <v>0</v>
      </c>
      <c r="H1314" s="4">
        <v>0</v>
      </c>
      <c r="I1314" s="4">
        <v>-6.2172489379008766E-15</v>
      </c>
      <c r="J1314" s="4">
        <v>0</v>
      </c>
      <c r="K1314" s="4">
        <v>0</v>
      </c>
      <c r="L1314" s="4">
        <v>9.0949470177292824E-13</v>
      </c>
      <c r="M1314" s="4">
        <v>7.9623807547335446E-15</v>
      </c>
      <c r="N1314" s="4">
        <v>-7.1054273576010019E-15</v>
      </c>
      <c r="O1314" s="4">
        <v>0</v>
      </c>
      <c r="P1314" s="4">
        <v>0</v>
      </c>
      <c r="Q1314" s="4">
        <v>0</v>
      </c>
      <c r="R1314" s="4">
        <v>-2643.23</v>
      </c>
      <c r="S1314" s="8">
        <f t="shared" si="60"/>
        <v>1.5172527586167681E-13</v>
      </c>
      <c r="T1314" s="8">
        <f t="shared" si="61"/>
        <v>-2643.23</v>
      </c>
      <c r="U1314" s="9">
        <f t="shared" si="62"/>
        <v>-1.7421157977723832E+16</v>
      </c>
      <c r="V1314" t="s">
        <v>895</v>
      </c>
    </row>
    <row r="1315" spans="1:22" outlineLevel="2">
      <c r="A1315" t="s">
        <v>417</v>
      </c>
      <c r="B1315" t="s">
        <v>418</v>
      </c>
      <c r="C1315" t="s">
        <v>415</v>
      </c>
      <c r="D1315" t="s">
        <v>416</v>
      </c>
      <c r="E1315" s="4">
        <v>0</v>
      </c>
      <c r="F1315" s="4">
        <v>0</v>
      </c>
      <c r="G1315" s="4">
        <v>0</v>
      </c>
      <c r="H1315" s="4">
        <v>0</v>
      </c>
      <c r="I1315" s="4">
        <v>0</v>
      </c>
      <c r="J1315" s="4">
        <v>0</v>
      </c>
      <c r="K1315" s="4">
        <v>1281.28</v>
      </c>
      <c r="L1315" s="4">
        <v>-1281.28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S1315" s="8">
        <f t="shared" si="60"/>
        <v>-213.54666666666665</v>
      </c>
      <c r="T1315" s="8">
        <f t="shared" si="61"/>
        <v>213.54666666666665</v>
      </c>
      <c r="U1315" s="9">
        <f t="shared" si="62"/>
        <v>-1</v>
      </c>
    </row>
    <row r="1316" spans="1:22" outlineLevel="2">
      <c r="A1316" t="s">
        <v>417</v>
      </c>
      <c r="B1316" t="s">
        <v>418</v>
      </c>
      <c r="C1316" t="s">
        <v>83</v>
      </c>
      <c r="D1316" t="s">
        <v>84</v>
      </c>
      <c r="E1316" s="4">
        <v>0</v>
      </c>
      <c r="F1316" s="4">
        <v>0</v>
      </c>
      <c r="G1316" s="4">
        <v>0</v>
      </c>
      <c r="H1316" s="4">
        <v>0</v>
      </c>
      <c r="I1316" s="4">
        <v>0</v>
      </c>
      <c r="J1316" s="4">
        <v>0</v>
      </c>
      <c r="K1316" s="4">
        <v>0</v>
      </c>
      <c r="L1316" s="4">
        <v>0</v>
      </c>
      <c r="M1316" s="4">
        <v>2.8421709430404007E-14</v>
      </c>
      <c r="N1316" s="4">
        <v>0</v>
      </c>
      <c r="O1316" s="4">
        <v>0</v>
      </c>
      <c r="P1316" s="4">
        <v>0</v>
      </c>
      <c r="Q1316" s="4">
        <v>0</v>
      </c>
      <c r="S1316" s="8">
        <f t="shared" si="60"/>
        <v>4.736951571734001E-15</v>
      </c>
      <c r="T1316" s="8">
        <f t="shared" si="61"/>
        <v>-4.736951571734001E-15</v>
      </c>
      <c r="U1316" s="9">
        <f t="shared" si="62"/>
        <v>-1</v>
      </c>
    </row>
    <row r="1317" spans="1:22" outlineLevel="2">
      <c r="A1317" t="s">
        <v>417</v>
      </c>
      <c r="B1317" t="s">
        <v>418</v>
      </c>
      <c r="C1317" t="s">
        <v>89</v>
      </c>
      <c r="D1317" t="s">
        <v>90</v>
      </c>
      <c r="E1317" s="4">
        <v>0</v>
      </c>
      <c r="F1317" s="4">
        <v>0</v>
      </c>
      <c r="G1317" s="4">
        <v>0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S1317" s="8">
        <f t="shared" si="60"/>
        <v>0</v>
      </c>
      <c r="T1317" s="8">
        <f t="shared" si="61"/>
        <v>0</v>
      </c>
      <c r="U1317" s="9" t="e">
        <f t="shared" si="62"/>
        <v>#DIV/0!</v>
      </c>
    </row>
    <row r="1318" spans="1:22" outlineLevel="2">
      <c r="A1318" t="s">
        <v>417</v>
      </c>
      <c r="B1318" t="s">
        <v>418</v>
      </c>
      <c r="C1318" t="s">
        <v>101</v>
      </c>
      <c r="D1318" t="s">
        <v>102</v>
      </c>
      <c r="E1318" s="4">
        <v>0</v>
      </c>
      <c r="F1318" s="4">
        <v>0</v>
      </c>
      <c r="G1318" s="4">
        <v>0</v>
      </c>
      <c r="H1318" s="4">
        <v>0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50623</v>
      </c>
      <c r="O1318" s="4">
        <v>0</v>
      </c>
      <c r="P1318" s="4">
        <v>-50623.000000000015</v>
      </c>
      <c r="Q1318" s="4">
        <v>-6.3664629124104977E-12</v>
      </c>
      <c r="R1318" s="4">
        <v>8460.3799999999992</v>
      </c>
      <c r="S1318" s="8">
        <f t="shared" si="60"/>
        <v>-3.486396356796225E-12</v>
      </c>
      <c r="T1318" s="8">
        <f t="shared" si="61"/>
        <v>8460.3800000000028</v>
      </c>
      <c r="U1318" s="9">
        <f t="shared" si="62"/>
        <v>-2426683352713961</v>
      </c>
      <c r="V1318" t="s">
        <v>895</v>
      </c>
    </row>
    <row r="1319" spans="1:22" outlineLevel="2">
      <c r="A1319" t="s">
        <v>417</v>
      </c>
      <c r="B1319" t="s">
        <v>418</v>
      </c>
      <c r="C1319" t="s">
        <v>103</v>
      </c>
      <c r="D1319" t="s">
        <v>104</v>
      </c>
      <c r="E1319" s="4">
        <v>3744.8499999999963</v>
      </c>
      <c r="F1319" s="4">
        <v>-52.050000000000182</v>
      </c>
      <c r="G1319" s="4">
        <v>-3692.8</v>
      </c>
      <c r="H1319" s="4">
        <v>0</v>
      </c>
      <c r="I1319" s="4">
        <v>0</v>
      </c>
      <c r="J1319" s="4">
        <v>0</v>
      </c>
      <c r="K1319" s="4">
        <v>0</v>
      </c>
      <c r="L1319" s="4">
        <v>-2.2737367544323206E-13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524.45000000000005</v>
      </c>
      <c r="S1319" s="8">
        <f t="shared" si="60"/>
        <v>-3.7895612573872008E-14</v>
      </c>
      <c r="T1319" s="8">
        <f t="shared" si="61"/>
        <v>524.45000000000005</v>
      </c>
      <c r="U1319" s="9">
        <f t="shared" si="62"/>
        <v>-1.3839332956490958E+16</v>
      </c>
      <c r="V1319" t="s">
        <v>895</v>
      </c>
    </row>
    <row r="1320" spans="1:22" outlineLevel="2">
      <c r="A1320" t="s">
        <v>417</v>
      </c>
      <c r="B1320" t="s">
        <v>418</v>
      </c>
      <c r="C1320" t="s">
        <v>127</v>
      </c>
      <c r="D1320" t="s">
        <v>120</v>
      </c>
      <c r="E1320" s="4">
        <v>0</v>
      </c>
      <c r="F1320" s="4">
        <v>0</v>
      </c>
      <c r="G1320" s="4">
        <v>0</v>
      </c>
      <c r="H1320" s="4">
        <v>0</v>
      </c>
      <c r="I1320" s="4">
        <v>0</v>
      </c>
      <c r="J1320" s="4">
        <v>0</v>
      </c>
      <c r="K1320" s="4">
        <v>0</v>
      </c>
      <c r="L1320" s="4">
        <v>0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S1320" s="8">
        <f t="shared" si="60"/>
        <v>0</v>
      </c>
      <c r="T1320" s="8">
        <f t="shared" si="61"/>
        <v>0</v>
      </c>
      <c r="U1320" s="9" t="e">
        <f t="shared" si="62"/>
        <v>#DIV/0!</v>
      </c>
    </row>
    <row r="1321" spans="1:22" outlineLevel="1">
      <c r="A1321" s="1" t="s">
        <v>766</v>
      </c>
      <c r="E1321" s="4">
        <f>SUBTOTAL(9,E1296:E1320)</f>
        <v>6224.4499999999898</v>
      </c>
      <c r="F1321" s="4">
        <f>SUBTOTAL(9,F1296:F1320)</f>
        <v>-3349.9999999999995</v>
      </c>
      <c r="G1321" s="4">
        <f>SUBTOTAL(9,G1296:G1320)</f>
        <v>-2874.4500000000035</v>
      </c>
      <c r="H1321" s="4">
        <f>SUBTOTAL(9,H1296:H1320)</f>
        <v>1281.2799999999918</v>
      </c>
      <c r="I1321" s="4">
        <f>SUBTOTAL(9,I1296:I1320)</f>
        <v>11996.430000000006</v>
      </c>
      <c r="J1321" s="4">
        <f>SUBTOTAL(9,J1296:J1320)</f>
        <v>13485.830000000002</v>
      </c>
      <c r="K1321" s="4">
        <f>SUBTOTAL(9,K1296:K1320)</f>
        <v>67399.67</v>
      </c>
      <c r="L1321" s="4">
        <f>SUBTOTAL(9,L1296:L1320)</f>
        <v>-67399.67</v>
      </c>
      <c r="M1321" s="4">
        <f>SUBTOTAL(9,M1296:M1320)</f>
        <v>-23093.78000000001</v>
      </c>
      <c r="N1321" s="4">
        <f>SUBTOTAL(9,N1296:N1320)</f>
        <v>46953.24</v>
      </c>
      <c r="O1321" s="4">
        <f>SUBTOTAL(9,O1296:O1320)</f>
        <v>-1.1368683772161603E-13</v>
      </c>
      <c r="P1321" s="4">
        <f>SUBTOTAL(9,P1296:P1320)</f>
        <v>-50623.000000000015</v>
      </c>
      <c r="Q1321" s="4">
        <f>SUBTOTAL(9,Q1296:Q1320)</f>
        <v>-6.3664629124104977E-12</v>
      </c>
      <c r="R1321" s="4">
        <f>SUBTOTAL(9,R1296:R1320)</f>
        <v>6341.5999999999995</v>
      </c>
      <c r="S1321" s="8">
        <f t="shared" si="60"/>
        <v>-15693.868333333337</v>
      </c>
      <c r="T1321" s="8">
        <f t="shared" si="61"/>
        <v>22035.468333333338</v>
      </c>
      <c r="U1321" s="9">
        <f t="shared" si="62"/>
        <v>-1.4040813816776212</v>
      </c>
    </row>
    <row r="1322" spans="1:22" outlineLevel="2">
      <c r="A1322" t="s">
        <v>419</v>
      </c>
      <c r="B1322" t="s">
        <v>420</v>
      </c>
      <c r="C1322" t="s">
        <v>59</v>
      </c>
      <c r="D1322" t="s">
        <v>60</v>
      </c>
      <c r="E1322" s="4">
        <v>0</v>
      </c>
      <c r="F1322" s="4">
        <v>0</v>
      </c>
      <c r="G1322" s="4">
        <v>0</v>
      </c>
      <c r="H1322" s="4">
        <v>0</v>
      </c>
      <c r="I1322" s="4">
        <v>-114626.03</v>
      </c>
      <c r="J1322" s="4">
        <v>0</v>
      </c>
      <c r="K1322" s="4">
        <v>0</v>
      </c>
      <c r="L1322" s="4">
        <v>0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S1322" s="8">
        <f t="shared" si="60"/>
        <v>0</v>
      </c>
      <c r="T1322" s="8">
        <f t="shared" si="61"/>
        <v>0</v>
      </c>
      <c r="U1322" s="9" t="e">
        <f t="shared" si="62"/>
        <v>#DIV/0!</v>
      </c>
    </row>
    <row r="1323" spans="1:22" outlineLevel="1">
      <c r="A1323" s="1" t="s">
        <v>767</v>
      </c>
      <c r="E1323" s="4">
        <f>SUBTOTAL(9,E1322:E1322)</f>
        <v>0</v>
      </c>
      <c r="F1323" s="4">
        <f>SUBTOTAL(9,F1322:F1322)</f>
        <v>0</v>
      </c>
      <c r="G1323" s="4">
        <f>SUBTOTAL(9,G1322:G1322)</f>
        <v>0</v>
      </c>
      <c r="H1323" s="4">
        <f>SUBTOTAL(9,H1322:H1322)</f>
        <v>0</v>
      </c>
      <c r="I1323" s="4">
        <f>SUBTOTAL(9,I1322:I1322)</f>
        <v>-114626.03</v>
      </c>
      <c r="J1323" s="4">
        <f>SUBTOTAL(9,J1322:J1322)</f>
        <v>0</v>
      </c>
      <c r="K1323" s="4">
        <f>SUBTOTAL(9,K1322:K1322)</f>
        <v>0</v>
      </c>
      <c r="L1323" s="4">
        <f>SUBTOTAL(9,L1322:L1322)</f>
        <v>0</v>
      </c>
      <c r="M1323" s="4">
        <f>SUBTOTAL(9,M1322:M1322)</f>
        <v>0</v>
      </c>
      <c r="N1323" s="4">
        <f>SUBTOTAL(9,N1322:N1322)</f>
        <v>0</v>
      </c>
      <c r="O1323" s="4">
        <f>SUBTOTAL(9,O1322:O1322)</f>
        <v>0</v>
      </c>
      <c r="P1323" s="4">
        <f>SUBTOTAL(9,P1322:P1322)</f>
        <v>0</v>
      </c>
      <c r="Q1323" s="4">
        <f>SUBTOTAL(9,Q1322:Q1322)</f>
        <v>0</v>
      </c>
      <c r="R1323" s="4">
        <f>SUBTOTAL(9,R1322:R1322)</f>
        <v>0</v>
      </c>
      <c r="S1323" s="8">
        <f t="shared" si="60"/>
        <v>0</v>
      </c>
      <c r="T1323" s="8">
        <f t="shared" si="61"/>
        <v>0</v>
      </c>
      <c r="U1323" s="9" t="e">
        <f t="shared" si="62"/>
        <v>#DIV/0!</v>
      </c>
    </row>
    <row r="1324" spans="1:22" outlineLevel="2">
      <c r="A1324" t="s">
        <v>421</v>
      </c>
      <c r="B1324" t="s">
        <v>422</v>
      </c>
      <c r="C1324" t="s">
        <v>21</v>
      </c>
      <c r="D1324" t="s">
        <v>22</v>
      </c>
      <c r="E1324" s="4">
        <v>0</v>
      </c>
      <c r="F1324" s="4">
        <v>0</v>
      </c>
      <c r="G1324" s="4">
        <v>0</v>
      </c>
      <c r="H1324" s="4">
        <v>0</v>
      </c>
      <c r="I1324" s="4">
        <v>657.58</v>
      </c>
      <c r="J1324" s="4">
        <v>0</v>
      </c>
      <c r="K1324" s="4">
        <v>0</v>
      </c>
      <c r="L1324" s="4">
        <v>0</v>
      </c>
      <c r="M1324" s="4">
        <v>0</v>
      </c>
      <c r="N1324" s="4">
        <v>0</v>
      </c>
      <c r="O1324" s="4">
        <v>0</v>
      </c>
      <c r="P1324" s="4">
        <v>0</v>
      </c>
      <c r="Q1324" s="4">
        <v>483.40999999999997</v>
      </c>
      <c r="S1324" s="8">
        <f t="shared" si="60"/>
        <v>80.568333333333328</v>
      </c>
      <c r="T1324" s="8">
        <f t="shared" si="61"/>
        <v>-80.568333333333328</v>
      </c>
      <c r="U1324" s="9">
        <f t="shared" si="62"/>
        <v>-1</v>
      </c>
    </row>
    <row r="1325" spans="1:22" outlineLevel="2">
      <c r="A1325" t="s">
        <v>421</v>
      </c>
      <c r="B1325" t="s">
        <v>422</v>
      </c>
      <c r="C1325" t="s">
        <v>23</v>
      </c>
      <c r="D1325" t="s">
        <v>24</v>
      </c>
      <c r="E1325" s="4">
        <v>0</v>
      </c>
      <c r="F1325" s="4">
        <v>0</v>
      </c>
      <c r="G1325" s="4">
        <v>0</v>
      </c>
      <c r="H1325" s="4">
        <v>0</v>
      </c>
      <c r="I1325" s="4">
        <v>1684.51</v>
      </c>
      <c r="J1325" s="4">
        <v>0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  <c r="Q1325" s="4">
        <v>25.53</v>
      </c>
      <c r="S1325" s="8">
        <f t="shared" si="60"/>
        <v>4.2549999999999999</v>
      </c>
      <c r="T1325" s="8">
        <f t="shared" si="61"/>
        <v>-4.2549999999999999</v>
      </c>
      <c r="U1325" s="9">
        <f t="shared" si="62"/>
        <v>-1</v>
      </c>
    </row>
    <row r="1326" spans="1:22" outlineLevel="2">
      <c r="A1326" t="s">
        <v>421</v>
      </c>
      <c r="B1326" t="s">
        <v>422</v>
      </c>
      <c r="C1326" t="s">
        <v>27</v>
      </c>
      <c r="D1326" t="s">
        <v>28</v>
      </c>
      <c r="E1326" s="4">
        <v>0</v>
      </c>
      <c r="F1326" s="4">
        <v>0</v>
      </c>
      <c r="G1326" s="4">
        <v>0</v>
      </c>
      <c r="H1326" s="4">
        <v>0</v>
      </c>
      <c r="I1326" s="4">
        <v>0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  <c r="O1326" s="4">
        <v>0</v>
      </c>
      <c r="P1326" s="4">
        <v>0</v>
      </c>
      <c r="Q1326" s="4">
        <v>102.22999999999999</v>
      </c>
      <c r="S1326" s="8">
        <f t="shared" si="60"/>
        <v>17.03833333333333</v>
      </c>
      <c r="T1326" s="8">
        <f t="shared" si="61"/>
        <v>-17.03833333333333</v>
      </c>
      <c r="U1326" s="9">
        <f t="shared" si="62"/>
        <v>-1</v>
      </c>
    </row>
    <row r="1327" spans="1:22" outlineLevel="2">
      <c r="A1327" t="s">
        <v>421</v>
      </c>
      <c r="B1327" t="s">
        <v>422</v>
      </c>
      <c r="C1327" t="s">
        <v>55</v>
      </c>
      <c r="D1327" t="s">
        <v>56</v>
      </c>
      <c r="E1327" s="4">
        <v>4792.63</v>
      </c>
      <c r="F1327" s="4">
        <v>10015.380000000001</v>
      </c>
      <c r="G1327" s="4">
        <v>12139.36</v>
      </c>
      <c r="H1327" s="4">
        <v>17591.420000000002</v>
      </c>
      <c r="I1327" s="4">
        <v>7282.33</v>
      </c>
      <c r="J1327" s="4">
        <v>8069.94</v>
      </c>
      <c r="K1327" s="4">
        <v>10732.6</v>
      </c>
      <c r="L1327" s="4">
        <v>5083.57</v>
      </c>
      <c r="M1327" s="4">
        <v>5170.66</v>
      </c>
      <c r="N1327" s="4">
        <v>5609.31</v>
      </c>
      <c r="O1327" s="4">
        <v>9726.239999999998</v>
      </c>
      <c r="P1327" s="4">
        <v>8008.2600000000011</v>
      </c>
      <c r="Q1327" s="4">
        <v>8565.25</v>
      </c>
      <c r="R1327" s="4">
        <v>21373.4</v>
      </c>
      <c r="S1327" s="8">
        <f t="shared" si="60"/>
        <v>7027.2150000000001</v>
      </c>
      <c r="T1327" s="8">
        <f t="shared" si="61"/>
        <v>14346.185000000001</v>
      </c>
      <c r="U1327" s="9">
        <f t="shared" si="62"/>
        <v>2.0415178701662038</v>
      </c>
    </row>
    <row r="1328" spans="1:22" outlineLevel="2">
      <c r="A1328" t="s">
        <v>421</v>
      </c>
      <c r="B1328" t="s">
        <v>422</v>
      </c>
      <c r="C1328" t="s">
        <v>101</v>
      </c>
      <c r="D1328" t="s">
        <v>102</v>
      </c>
      <c r="E1328" s="4">
        <v>15000</v>
      </c>
      <c r="F1328" s="4">
        <v>-15000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S1328" s="8">
        <f t="shared" si="60"/>
        <v>0</v>
      </c>
      <c r="T1328" s="8">
        <f t="shared" si="61"/>
        <v>0</v>
      </c>
      <c r="U1328" s="9" t="e">
        <f t="shared" si="62"/>
        <v>#DIV/0!</v>
      </c>
    </row>
    <row r="1329" spans="1:22" outlineLevel="2">
      <c r="A1329" t="s">
        <v>421</v>
      </c>
      <c r="B1329" t="s">
        <v>422</v>
      </c>
      <c r="C1329" t="s">
        <v>132</v>
      </c>
      <c r="D1329" t="s">
        <v>133</v>
      </c>
      <c r="E1329" s="4">
        <v>0</v>
      </c>
      <c r="F1329" s="4">
        <v>0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>
        <v>1692</v>
      </c>
      <c r="M1329" s="4">
        <v>329</v>
      </c>
      <c r="N1329" s="4">
        <v>0</v>
      </c>
      <c r="O1329" s="4">
        <v>0</v>
      </c>
      <c r="P1329" s="4">
        <v>0</v>
      </c>
      <c r="Q1329" s="4">
        <v>799</v>
      </c>
      <c r="R1329" s="4">
        <v>141</v>
      </c>
      <c r="S1329" s="8">
        <f t="shared" si="60"/>
        <v>470</v>
      </c>
      <c r="T1329" s="8">
        <f t="shared" si="61"/>
        <v>-329</v>
      </c>
      <c r="U1329" s="9">
        <f t="shared" si="62"/>
        <v>-0.7</v>
      </c>
    </row>
    <row r="1330" spans="1:22" outlineLevel="1">
      <c r="A1330" s="1" t="s">
        <v>768</v>
      </c>
      <c r="E1330" s="4">
        <f>SUBTOTAL(9,E1324:E1329)</f>
        <v>19792.63</v>
      </c>
      <c r="F1330" s="4">
        <f>SUBTOTAL(9,F1324:F1329)</f>
        <v>-4984.619999999999</v>
      </c>
      <c r="G1330" s="4">
        <f>SUBTOTAL(9,G1324:G1329)</f>
        <v>12139.36</v>
      </c>
      <c r="H1330" s="4">
        <f>SUBTOTAL(9,H1324:H1329)</f>
        <v>17591.420000000002</v>
      </c>
      <c r="I1330" s="4">
        <f>SUBTOTAL(9,I1324:I1329)</f>
        <v>9624.42</v>
      </c>
      <c r="J1330" s="4">
        <f>SUBTOTAL(9,J1324:J1329)</f>
        <v>8069.94</v>
      </c>
      <c r="K1330" s="4">
        <f>SUBTOTAL(9,K1324:K1329)</f>
        <v>10732.6</v>
      </c>
      <c r="L1330" s="4">
        <f>SUBTOTAL(9,L1324:L1329)</f>
        <v>6775.57</v>
      </c>
      <c r="M1330" s="4">
        <f>SUBTOTAL(9,M1324:M1329)</f>
        <v>5499.66</v>
      </c>
      <c r="N1330" s="4">
        <f>SUBTOTAL(9,N1324:N1329)</f>
        <v>5609.31</v>
      </c>
      <c r="O1330" s="4">
        <f>SUBTOTAL(9,O1324:O1329)</f>
        <v>9726.239999999998</v>
      </c>
      <c r="P1330" s="4">
        <f>SUBTOTAL(9,P1324:P1329)</f>
        <v>8008.2600000000011</v>
      </c>
      <c r="Q1330" s="4">
        <f>SUBTOTAL(9,Q1324:Q1329)</f>
        <v>9975.42</v>
      </c>
      <c r="R1330" s="4">
        <f>SUBTOTAL(9,R1324:R1329)</f>
        <v>21514.400000000001</v>
      </c>
      <c r="S1330" s="8">
        <f t="shared" si="60"/>
        <v>7599.0766666666668</v>
      </c>
      <c r="T1330" s="8">
        <f t="shared" si="61"/>
        <v>13915.323333333334</v>
      </c>
      <c r="U1330" s="9">
        <f t="shared" si="62"/>
        <v>1.831186069535641</v>
      </c>
    </row>
    <row r="1331" spans="1:22" outlineLevel="2">
      <c r="A1331" t="s">
        <v>423</v>
      </c>
      <c r="B1331" t="s">
        <v>424</v>
      </c>
      <c r="C1331" t="s">
        <v>21</v>
      </c>
      <c r="D1331" t="s">
        <v>22</v>
      </c>
      <c r="E1331" s="4">
        <v>427.45000000000005</v>
      </c>
      <c r="F1331" s="4">
        <v>1016.5</v>
      </c>
      <c r="G1331" s="4">
        <v>41.91</v>
      </c>
      <c r="H1331" s="4">
        <v>854.81000000000017</v>
      </c>
      <c r="I1331" s="4">
        <v>4063.3199999999997</v>
      </c>
      <c r="J1331" s="4">
        <v>634.53</v>
      </c>
      <c r="K1331" s="4">
        <v>1306.48</v>
      </c>
      <c r="L1331" s="4">
        <v>93.99</v>
      </c>
      <c r="M1331" s="4">
        <v>162.13999999999999</v>
      </c>
      <c r="N1331" s="4">
        <v>226.46</v>
      </c>
      <c r="O1331" s="4">
        <v>46.45</v>
      </c>
      <c r="P1331" s="4">
        <v>172.15999999999997</v>
      </c>
      <c r="Q1331" s="4">
        <v>535.99</v>
      </c>
      <c r="S1331" s="8">
        <f t="shared" si="60"/>
        <v>206.19833333333335</v>
      </c>
      <c r="T1331" s="8">
        <f t="shared" si="61"/>
        <v>-206.19833333333335</v>
      </c>
      <c r="U1331" s="9">
        <f t="shared" si="62"/>
        <v>-1</v>
      </c>
    </row>
    <row r="1332" spans="1:22" outlineLevel="2">
      <c r="A1332" t="s">
        <v>423</v>
      </c>
      <c r="B1332" t="s">
        <v>424</v>
      </c>
      <c r="C1332" t="s">
        <v>23</v>
      </c>
      <c r="D1332" t="s">
        <v>24</v>
      </c>
      <c r="E1332" s="4">
        <v>39.94</v>
      </c>
      <c r="F1332" s="4">
        <v>20.39</v>
      </c>
      <c r="G1332" s="4">
        <v>460</v>
      </c>
      <c r="H1332" s="4">
        <v>1547.4699999999998</v>
      </c>
      <c r="I1332" s="4">
        <v>837.33</v>
      </c>
      <c r="J1332" s="4">
        <v>1481.5899999999997</v>
      </c>
      <c r="K1332" s="4">
        <v>2298.2199999999998</v>
      </c>
      <c r="L1332" s="4">
        <v>1342.45</v>
      </c>
      <c r="M1332" s="4">
        <v>621.88</v>
      </c>
      <c r="N1332" s="4">
        <v>40</v>
      </c>
      <c r="O1332" s="4">
        <v>258.60000000000002</v>
      </c>
      <c r="P1332" s="4">
        <v>0</v>
      </c>
      <c r="Q1332" s="4">
        <v>234.73000000000002</v>
      </c>
      <c r="S1332" s="8">
        <f t="shared" si="60"/>
        <v>416.27666666666664</v>
      </c>
      <c r="T1332" s="8">
        <f t="shared" si="61"/>
        <v>-416.27666666666664</v>
      </c>
      <c r="U1332" s="9">
        <f t="shared" si="62"/>
        <v>-1</v>
      </c>
    </row>
    <row r="1333" spans="1:22" outlineLevel="2">
      <c r="A1333" t="s">
        <v>423</v>
      </c>
      <c r="B1333" t="s">
        <v>424</v>
      </c>
      <c r="C1333" t="s">
        <v>25</v>
      </c>
      <c r="D1333" t="s">
        <v>26</v>
      </c>
      <c r="E1333" s="4">
        <v>0</v>
      </c>
      <c r="F1333" s="4">
        <v>0</v>
      </c>
      <c r="G1333" s="4">
        <v>0</v>
      </c>
      <c r="H1333" s="4">
        <v>0</v>
      </c>
      <c r="I1333" s="4">
        <v>0</v>
      </c>
      <c r="J1333" s="4">
        <v>0</v>
      </c>
      <c r="K1333" s="4">
        <v>0</v>
      </c>
      <c r="L1333" s="4">
        <v>0</v>
      </c>
      <c r="M1333" s="4">
        <v>393.3</v>
      </c>
      <c r="N1333" s="4">
        <v>1056.6099999999999</v>
      </c>
      <c r="O1333" s="4">
        <v>526.35</v>
      </c>
      <c r="P1333" s="4">
        <v>0</v>
      </c>
      <c r="Q1333" s="4">
        <v>1967.83</v>
      </c>
      <c r="S1333" s="8">
        <f t="shared" si="60"/>
        <v>657.34833333333324</v>
      </c>
      <c r="T1333" s="8">
        <f t="shared" si="61"/>
        <v>-657.34833333333324</v>
      </c>
      <c r="U1333" s="9">
        <f t="shared" si="62"/>
        <v>-1</v>
      </c>
    </row>
    <row r="1334" spans="1:22" outlineLevel="2">
      <c r="A1334" t="s">
        <v>423</v>
      </c>
      <c r="B1334" t="s">
        <v>424</v>
      </c>
      <c r="C1334" t="s">
        <v>27</v>
      </c>
      <c r="D1334" t="s">
        <v>28</v>
      </c>
      <c r="E1334" s="4">
        <v>240.56</v>
      </c>
      <c r="F1334" s="4">
        <v>0</v>
      </c>
      <c r="G1334" s="4">
        <v>0</v>
      </c>
      <c r="H1334" s="4">
        <v>0</v>
      </c>
      <c r="I1334" s="4">
        <v>0</v>
      </c>
      <c r="J1334" s="4">
        <v>0</v>
      </c>
      <c r="K1334" s="4">
        <v>155.87</v>
      </c>
      <c r="L1334" s="4">
        <v>0</v>
      </c>
      <c r="M1334" s="4">
        <v>588.78</v>
      </c>
      <c r="N1334" s="4">
        <v>1090.0700000000002</v>
      </c>
      <c r="O1334" s="4">
        <v>820.22</v>
      </c>
      <c r="P1334" s="4">
        <v>525</v>
      </c>
      <c r="Q1334" s="4">
        <v>586.36</v>
      </c>
      <c r="S1334" s="8">
        <f t="shared" si="60"/>
        <v>601.73833333333334</v>
      </c>
      <c r="T1334" s="8">
        <f t="shared" si="61"/>
        <v>-601.73833333333334</v>
      </c>
      <c r="U1334" s="9">
        <f t="shared" si="62"/>
        <v>-1</v>
      </c>
    </row>
    <row r="1335" spans="1:22" outlineLevel="2">
      <c r="A1335" t="s">
        <v>423</v>
      </c>
      <c r="B1335" t="s">
        <v>424</v>
      </c>
      <c r="C1335" t="s">
        <v>136</v>
      </c>
      <c r="D1335" t="s">
        <v>137</v>
      </c>
      <c r="E1335" s="4">
        <v>0</v>
      </c>
      <c r="F1335" s="4">
        <v>-2.1827872842550278E-11</v>
      </c>
      <c r="G1335" s="4">
        <v>-710.73000000002912</v>
      </c>
      <c r="H1335" s="4">
        <v>2.9103830456733704E-11</v>
      </c>
      <c r="I1335" s="4">
        <v>-50000</v>
      </c>
      <c r="J1335" s="4">
        <v>0</v>
      </c>
      <c r="K1335" s="4">
        <v>-2.9103830456733704E-11</v>
      </c>
      <c r="L1335" s="4">
        <v>-60499.999999999942</v>
      </c>
      <c r="M1335" s="4">
        <v>0</v>
      </c>
      <c r="N1335" s="4">
        <v>0</v>
      </c>
      <c r="O1335" s="4">
        <v>-5.8207660913467407E-11</v>
      </c>
      <c r="P1335" s="4">
        <v>-2000.0000000000291</v>
      </c>
      <c r="Q1335" s="4">
        <v>-4.3655745685100555E-11</v>
      </c>
      <c r="R1335" s="4">
        <v>-14500.000000000029</v>
      </c>
      <c r="S1335" s="8">
        <f t="shared" si="60"/>
        <v>-10416.666666666679</v>
      </c>
      <c r="T1335" s="8">
        <f t="shared" si="61"/>
        <v>-4083.3333333333503</v>
      </c>
      <c r="U1335" s="9">
        <f t="shared" si="62"/>
        <v>0.39200000000000118</v>
      </c>
    </row>
    <row r="1336" spans="1:22" outlineLevel="2">
      <c r="A1336" t="s">
        <v>423</v>
      </c>
      <c r="B1336" t="s">
        <v>424</v>
      </c>
      <c r="C1336" t="s">
        <v>138</v>
      </c>
      <c r="D1336" t="s">
        <v>139</v>
      </c>
      <c r="E1336" s="4">
        <v>4.5474735088646412E-13</v>
      </c>
      <c r="F1336" s="4">
        <v>9.0949470177292824E-13</v>
      </c>
      <c r="G1336" s="4">
        <v>4.5474735088646412E-13</v>
      </c>
      <c r="H1336" s="4">
        <v>0</v>
      </c>
      <c r="I1336" s="4">
        <v>0</v>
      </c>
      <c r="J1336" s="4">
        <v>0</v>
      </c>
      <c r="K1336" s="4">
        <v>-9.0949470177292824E-13</v>
      </c>
      <c r="L1336" s="4">
        <v>-4.5474735088646412E-13</v>
      </c>
      <c r="M1336" s="4">
        <v>0</v>
      </c>
      <c r="N1336" s="4">
        <v>-1.8189894035458565E-12</v>
      </c>
      <c r="O1336" s="4">
        <v>1.8189894035458565E-12</v>
      </c>
      <c r="P1336" s="4">
        <v>0</v>
      </c>
      <c r="Q1336" s="4">
        <v>2.2737367544323206E-13</v>
      </c>
      <c r="R1336" s="4">
        <v>-500</v>
      </c>
      <c r="S1336" s="8">
        <f t="shared" si="60"/>
        <v>-3.7895612573872008E-14</v>
      </c>
      <c r="T1336" s="8">
        <f t="shared" si="61"/>
        <v>-499.99999999999994</v>
      </c>
      <c r="U1336" s="9">
        <f t="shared" si="62"/>
        <v>1.3194139533312E+16</v>
      </c>
      <c r="V1336" t="s">
        <v>895</v>
      </c>
    </row>
    <row r="1337" spans="1:22" outlineLevel="2">
      <c r="A1337" t="s">
        <v>423</v>
      </c>
      <c r="B1337" t="s">
        <v>424</v>
      </c>
      <c r="C1337" t="s">
        <v>29</v>
      </c>
      <c r="D1337" t="s">
        <v>30</v>
      </c>
      <c r="E1337" s="4">
        <v>-9.0949470177292824E-13</v>
      </c>
      <c r="F1337" s="4">
        <v>3.637978807091713E-12</v>
      </c>
      <c r="G1337" s="4">
        <v>4.5474735088646412E-13</v>
      </c>
      <c r="H1337" s="4">
        <v>0</v>
      </c>
      <c r="I1337" s="4">
        <v>0</v>
      </c>
      <c r="J1337" s="4">
        <v>-3.4106051316484809E-13</v>
      </c>
      <c r="K1337" s="4">
        <v>0</v>
      </c>
      <c r="L1337" s="4">
        <v>-3.5527136788005009E-15</v>
      </c>
      <c r="M1337" s="4">
        <v>0</v>
      </c>
      <c r="N1337" s="4">
        <v>0</v>
      </c>
      <c r="O1337" s="4">
        <v>0</v>
      </c>
      <c r="P1337" s="4">
        <v>0</v>
      </c>
      <c r="Q1337" s="4">
        <v>-200000</v>
      </c>
      <c r="R1337" s="4">
        <v>0</v>
      </c>
      <c r="S1337" s="8">
        <f t="shared" si="60"/>
        <v>-33333.333333333336</v>
      </c>
      <c r="T1337" s="8">
        <f t="shared" si="61"/>
        <v>33333.333333333336</v>
      </c>
      <c r="U1337" s="9">
        <f t="shared" si="62"/>
        <v>-1</v>
      </c>
    </row>
    <row r="1338" spans="1:22" outlineLevel="2">
      <c r="A1338" t="s">
        <v>423</v>
      </c>
      <c r="B1338" t="s">
        <v>424</v>
      </c>
      <c r="C1338" t="s">
        <v>31</v>
      </c>
      <c r="D1338" t="s">
        <v>32</v>
      </c>
      <c r="E1338" s="4">
        <v>0</v>
      </c>
      <c r="F1338" s="4">
        <v>0</v>
      </c>
      <c r="G1338" s="4">
        <v>0</v>
      </c>
      <c r="H1338" s="4">
        <v>0</v>
      </c>
      <c r="I1338" s="4">
        <v>0</v>
      </c>
      <c r="J1338" s="4">
        <v>0</v>
      </c>
      <c r="K1338" s="4">
        <v>0</v>
      </c>
      <c r="L1338" s="4">
        <v>0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8">
        <f t="shared" si="60"/>
        <v>0</v>
      </c>
      <c r="T1338" s="8">
        <f t="shared" si="61"/>
        <v>0</v>
      </c>
      <c r="U1338" s="9" t="e">
        <f t="shared" si="62"/>
        <v>#DIV/0!</v>
      </c>
    </row>
    <row r="1339" spans="1:22" outlineLevel="2">
      <c r="A1339" t="s">
        <v>423</v>
      </c>
      <c r="B1339" t="s">
        <v>424</v>
      </c>
      <c r="C1339" t="s">
        <v>142</v>
      </c>
      <c r="D1339" t="s">
        <v>143</v>
      </c>
      <c r="E1339" s="4">
        <v>0</v>
      </c>
      <c r="F1339" s="4">
        <v>0</v>
      </c>
      <c r="G1339" s="4">
        <v>710.73</v>
      </c>
      <c r="H1339" s="4">
        <v>0</v>
      </c>
      <c r="I1339" s="4">
        <v>50000</v>
      </c>
      <c r="J1339" s="4">
        <v>0</v>
      </c>
      <c r="K1339" s="4">
        <v>0</v>
      </c>
      <c r="L1339" s="4">
        <v>60500</v>
      </c>
      <c r="M1339" s="4">
        <v>0</v>
      </c>
      <c r="N1339" s="4">
        <v>0</v>
      </c>
      <c r="O1339" s="4">
        <v>0</v>
      </c>
      <c r="P1339" s="4">
        <v>2000</v>
      </c>
      <c r="Q1339" s="4">
        <v>0</v>
      </c>
      <c r="R1339" s="4">
        <v>15000</v>
      </c>
      <c r="S1339" s="8">
        <f t="shared" si="60"/>
        <v>10416.666666666666</v>
      </c>
      <c r="T1339" s="8">
        <f t="shared" si="61"/>
        <v>4583.3333333333339</v>
      </c>
      <c r="U1339" s="9">
        <f t="shared" si="62"/>
        <v>0.44000000000000006</v>
      </c>
    </row>
    <row r="1340" spans="1:22" outlineLevel="2">
      <c r="A1340" t="s">
        <v>423</v>
      </c>
      <c r="B1340" t="s">
        <v>424</v>
      </c>
      <c r="C1340" t="s">
        <v>144</v>
      </c>
      <c r="D1340" t="s">
        <v>145</v>
      </c>
      <c r="E1340" s="4">
        <v>1.8189894035458565E-12</v>
      </c>
      <c r="F1340" s="4">
        <v>-9.0949470177292824E-13</v>
      </c>
      <c r="G1340" s="4">
        <v>0</v>
      </c>
      <c r="H1340" s="4">
        <v>0</v>
      </c>
      <c r="I1340" s="4">
        <v>0</v>
      </c>
      <c r="J1340" s="4">
        <v>0</v>
      </c>
      <c r="K1340" s="4">
        <v>9.0949470177292824E-13</v>
      </c>
      <c r="L1340" s="4">
        <v>-9.0949470177292824E-13</v>
      </c>
      <c r="M1340" s="4">
        <v>0</v>
      </c>
      <c r="N1340" s="4">
        <v>0</v>
      </c>
      <c r="O1340" s="4">
        <v>0</v>
      </c>
      <c r="P1340" s="4">
        <v>0</v>
      </c>
      <c r="Q1340" s="4">
        <v>26281.800000000003</v>
      </c>
      <c r="R1340" s="4">
        <v>-15200.489999999998</v>
      </c>
      <c r="S1340" s="8">
        <f t="shared" si="60"/>
        <v>4380.3</v>
      </c>
      <c r="T1340" s="8">
        <f t="shared" si="61"/>
        <v>-19580.789999999997</v>
      </c>
      <c r="U1340" s="9">
        <f t="shared" si="62"/>
        <v>-4.470193822340935</v>
      </c>
      <c r="V1340" t="s">
        <v>897</v>
      </c>
    </row>
    <row r="1341" spans="1:22" outlineLevel="2">
      <c r="A1341" t="s">
        <v>423</v>
      </c>
      <c r="B1341" t="s">
        <v>424</v>
      </c>
      <c r="C1341" t="s">
        <v>146</v>
      </c>
      <c r="D1341" t="s">
        <v>147</v>
      </c>
      <c r="E1341" s="4">
        <v>1.8189894035458565E-12</v>
      </c>
      <c r="F1341" s="4">
        <v>9.0949470177292824E-13</v>
      </c>
      <c r="G1341" s="4">
        <v>0</v>
      </c>
      <c r="H1341" s="4">
        <v>1.1368683772161603E-12</v>
      </c>
      <c r="I1341" s="4">
        <v>0</v>
      </c>
      <c r="J1341" s="4">
        <v>0</v>
      </c>
      <c r="K1341" s="4">
        <v>7.2759576141834259E-12</v>
      </c>
      <c r="L1341" s="4">
        <v>-3.637978807091713E-12</v>
      </c>
      <c r="M1341" s="4">
        <v>21436.35</v>
      </c>
      <c r="N1341" s="4">
        <v>3.637978807091713E-12</v>
      </c>
      <c r="O1341" s="4">
        <v>-3.637978807091713E-12</v>
      </c>
      <c r="P1341" s="4">
        <v>0</v>
      </c>
      <c r="Q1341" s="4">
        <v>9.0949470177292824E-13</v>
      </c>
      <c r="R1341" s="4">
        <v>0</v>
      </c>
      <c r="S1341" s="8">
        <f t="shared" si="60"/>
        <v>3572.724999999999</v>
      </c>
      <c r="T1341" s="8">
        <f t="shared" si="61"/>
        <v>-3572.724999999999</v>
      </c>
      <c r="U1341" s="9">
        <f t="shared" si="62"/>
        <v>-1</v>
      </c>
    </row>
    <row r="1342" spans="1:22" outlineLevel="2">
      <c r="A1342" t="s">
        <v>423</v>
      </c>
      <c r="B1342" t="s">
        <v>424</v>
      </c>
      <c r="C1342" t="s">
        <v>148</v>
      </c>
      <c r="D1342" t="s">
        <v>149</v>
      </c>
      <c r="E1342" s="4">
        <v>0</v>
      </c>
      <c r="F1342" s="4">
        <v>0</v>
      </c>
      <c r="G1342" s="4">
        <v>275</v>
      </c>
      <c r="H1342" s="4">
        <v>0</v>
      </c>
      <c r="I1342" s="4">
        <v>0</v>
      </c>
      <c r="J1342" s="4">
        <v>0</v>
      </c>
      <c r="K1342" s="4">
        <v>0</v>
      </c>
      <c r="L1342" s="4">
        <v>0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S1342" s="8">
        <f t="shared" si="60"/>
        <v>0</v>
      </c>
      <c r="T1342" s="8">
        <f t="shared" si="61"/>
        <v>0</v>
      </c>
      <c r="U1342" s="9" t="e">
        <f t="shared" si="62"/>
        <v>#DIV/0!</v>
      </c>
    </row>
    <row r="1343" spans="1:22" outlineLevel="2">
      <c r="A1343" t="s">
        <v>423</v>
      </c>
      <c r="B1343" t="s">
        <v>424</v>
      </c>
      <c r="C1343" t="s">
        <v>150</v>
      </c>
      <c r="D1343" t="s">
        <v>151</v>
      </c>
      <c r="E1343" s="4">
        <v>0</v>
      </c>
      <c r="F1343" s="4">
        <v>0</v>
      </c>
      <c r="G1343" s="4">
        <v>-155040.87</v>
      </c>
      <c r="H1343" s="4">
        <v>267783.64</v>
      </c>
      <c r="I1343" s="4">
        <v>117155.34</v>
      </c>
      <c r="J1343" s="4">
        <v>77657.25</v>
      </c>
      <c r="K1343" s="4">
        <v>74934.45</v>
      </c>
      <c r="L1343" s="4">
        <v>74934.45</v>
      </c>
      <c r="M1343" s="4">
        <v>74934.45</v>
      </c>
      <c r="N1343" s="4">
        <v>54457.96</v>
      </c>
      <c r="O1343" s="4">
        <v>0</v>
      </c>
      <c r="P1343" s="4">
        <v>54457.96</v>
      </c>
      <c r="Q1343" s="4">
        <v>49788.42</v>
      </c>
      <c r="R1343" s="4">
        <v>50418.25</v>
      </c>
      <c r="S1343" s="8">
        <f t="shared" si="60"/>
        <v>51428.873333333329</v>
      </c>
      <c r="T1343" s="8">
        <f t="shared" si="61"/>
        <v>-1010.6233333333294</v>
      </c>
      <c r="U1343" s="9">
        <f t="shared" si="62"/>
        <v>-1.9650893901233875E-2</v>
      </c>
    </row>
    <row r="1344" spans="1:22" outlineLevel="2">
      <c r="A1344" t="s">
        <v>423</v>
      </c>
      <c r="B1344" t="s">
        <v>424</v>
      </c>
      <c r="C1344" t="s">
        <v>152</v>
      </c>
      <c r="D1344" t="s">
        <v>153</v>
      </c>
      <c r="E1344" s="4">
        <v>-5.4569682106375694E-12</v>
      </c>
      <c r="F1344" s="4">
        <v>9.0949470177292824E-13</v>
      </c>
      <c r="G1344" s="4">
        <v>5.4569682106375694E-12</v>
      </c>
      <c r="H1344" s="4">
        <v>3.4106051316484809E-13</v>
      </c>
      <c r="I1344" s="4">
        <v>0</v>
      </c>
      <c r="J1344" s="4">
        <v>-3.637978807091713E-12</v>
      </c>
      <c r="K1344" s="4">
        <v>1.8189894035458565E-12</v>
      </c>
      <c r="L1344" s="4">
        <v>1.8189894035458565E-12</v>
      </c>
      <c r="M1344" s="4">
        <v>-9.0949470177292824E-13</v>
      </c>
      <c r="N1344" s="4">
        <v>9.0949470177292824E-13</v>
      </c>
      <c r="O1344" s="4">
        <v>1.8189894035458565E-12</v>
      </c>
      <c r="P1344" s="4">
        <v>-3118.9899999999989</v>
      </c>
      <c r="Q1344" s="4">
        <v>1.8189894035458565E-12</v>
      </c>
      <c r="R1344" s="4">
        <v>55869.07</v>
      </c>
      <c r="S1344" s="8">
        <f t="shared" si="60"/>
        <v>-519.83166666666557</v>
      </c>
      <c r="T1344" s="8">
        <f t="shared" si="61"/>
        <v>56388.901666666665</v>
      </c>
      <c r="U1344" s="9">
        <f t="shared" si="62"/>
        <v>-108.47531091795764</v>
      </c>
      <c r="V1344" t="s">
        <v>896</v>
      </c>
    </row>
    <row r="1345" spans="1:21" outlineLevel="2">
      <c r="A1345" t="s">
        <v>423</v>
      </c>
      <c r="B1345" t="s">
        <v>424</v>
      </c>
      <c r="C1345" t="s">
        <v>154</v>
      </c>
      <c r="D1345" t="s">
        <v>155</v>
      </c>
      <c r="E1345" s="4">
        <v>4.5474735088646412E-13</v>
      </c>
      <c r="F1345" s="4">
        <v>0</v>
      </c>
      <c r="G1345" s="4">
        <v>0</v>
      </c>
      <c r="H1345" s="4">
        <v>0</v>
      </c>
      <c r="I1345" s="4">
        <v>0</v>
      </c>
      <c r="J1345" s="4">
        <v>0</v>
      </c>
      <c r="K1345" s="4">
        <v>-1.4210854715202004E-14</v>
      </c>
      <c r="L1345" s="4">
        <v>0</v>
      </c>
      <c r="M1345" s="4">
        <v>0</v>
      </c>
      <c r="N1345" s="4">
        <v>0</v>
      </c>
      <c r="O1345" s="4">
        <v>0</v>
      </c>
      <c r="P1345" s="4">
        <v>0</v>
      </c>
      <c r="Q1345" s="4">
        <v>-1.2789769243681803E-13</v>
      </c>
      <c r="R1345" s="4">
        <v>7.1054273576010019E-15</v>
      </c>
      <c r="S1345" s="8">
        <f t="shared" si="60"/>
        <v>-2.1316282072803006E-14</v>
      </c>
      <c r="T1345" s="8">
        <f t="shared" si="61"/>
        <v>2.8421709430404007E-14</v>
      </c>
      <c r="U1345" s="9">
        <f t="shared" si="62"/>
        <v>-1.3333333333333333</v>
      </c>
    </row>
    <row r="1346" spans="1:21" outlineLevel="2">
      <c r="A1346" t="s">
        <v>423</v>
      </c>
      <c r="B1346" t="s">
        <v>424</v>
      </c>
      <c r="C1346" t="s">
        <v>156</v>
      </c>
      <c r="D1346" t="s">
        <v>157</v>
      </c>
      <c r="E1346" s="4">
        <v>0</v>
      </c>
      <c r="F1346" s="4">
        <v>0</v>
      </c>
      <c r="G1346" s="4">
        <v>0</v>
      </c>
      <c r="H1346" s="4">
        <v>-4785.04</v>
      </c>
      <c r="I1346" s="4">
        <v>0</v>
      </c>
      <c r="J1346" s="4">
        <v>0</v>
      </c>
      <c r="K1346" s="4">
        <v>0</v>
      </c>
      <c r="L1346" s="4">
        <v>0</v>
      </c>
      <c r="M1346" s="4">
        <v>0</v>
      </c>
      <c r="N1346" s="4">
        <v>0</v>
      </c>
      <c r="O1346" s="4">
        <v>0</v>
      </c>
      <c r="P1346" s="4">
        <v>0</v>
      </c>
      <c r="Q1346" s="4">
        <v>0</v>
      </c>
      <c r="S1346" s="8">
        <f t="shared" si="60"/>
        <v>0</v>
      </c>
      <c r="T1346" s="8">
        <f t="shared" si="61"/>
        <v>0</v>
      </c>
      <c r="U1346" s="9" t="e">
        <f t="shared" si="62"/>
        <v>#DIV/0!</v>
      </c>
    </row>
    <row r="1347" spans="1:21" outlineLevel="2">
      <c r="A1347" t="s">
        <v>423</v>
      </c>
      <c r="B1347" t="s">
        <v>424</v>
      </c>
      <c r="C1347" t="s">
        <v>180</v>
      </c>
      <c r="D1347" t="s">
        <v>181</v>
      </c>
      <c r="E1347" s="4">
        <v>779.4</v>
      </c>
      <c r="F1347" s="4">
        <v>0</v>
      </c>
      <c r="G1347" s="4">
        <v>0</v>
      </c>
      <c r="H1347" s="4">
        <v>0</v>
      </c>
      <c r="I1347" s="4">
        <v>0</v>
      </c>
      <c r="J1347" s="4">
        <v>0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0</v>
      </c>
      <c r="Q1347" s="4">
        <v>580.80999999999995</v>
      </c>
      <c r="S1347" s="8">
        <f t="shared" ref="S1347:S1410" si="63">AVERAGE(L1347:Q1347)</f>
        <v>96.801666666666662</v>
      </c>
      <c r="T1347" s="8">
        <f t="shared" ref="T1347:T1410" si="64">R1347-S1347</f>
        <v>-96.801666666666662</v>
      </c>
      <c r="U1347" s="9">
        <f t="shared" ref="U1347:U1410" si="65">(R1347-S1347)/S1347</f>
        <v>-1</v>
      </c>
    </row>
    <row r="1348" spans="1:21" outlineLevel="2">
      <c r="A1348" t="s">
        <v>423</v>
      </c>
      <c r="B1348" t="s">
        <v>424</v>
      </c>
      <c r="C1348" t="s">
        <v>216</v>
      </c>
      <c r="D1348" t="s">
        <v>217</v>
      </c>
      <c r="E1348" s="4">
        <v>0</v>
      </c>
      <c r="F1348" s="4">
        <v>24867.95</v>
      </c>
      <c r="G1348" s="4">
        <v>-24867.95</v>
      </c>
      <c r="H1348" s="4">
        <v>0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S1348" s="8">
        <f t="shared" si="63"/>
        <v>0</v>
      </c>
      <c r="T1348" s="8">
        <f t="shared" si="64"/>
        <v>0</v>
      </c>
      <c r="U1348" s="9" t="e">
        <f t="shared" si="65"/>
        <v>#DIV/0!</v>
      </c>
    </row>
    <row r="1349" spans="1:21" outlineLevel="2">
      <c r="A1349" t="s">
        <v>423</v>
      </c>
      <c r="B1349" t="s">
        <v>424</v>
      </c>
      <c r="C1349" t="s">
        <v>158</v>
      </c>
      <c r="D1349" t="s">
        <v>159</v>
      </c>
      <c r="E1349" s="4">
        <v>0</v>
      </c>
      <c r="F1349" s="4">
        <v>0</v>
      </c>
      <c r="G1349" s="4">
        <v>68294.69</v>
      </c>
      <c r="H1349" s="4">
        <v>5409.63</v>
      </c>
      <c r="I1349" s="4">
        <v>0</v>
      </c>
      <c r="J1349" s="4">
        <v>126490.90999999999</v>
      </c>
      <c r="K1349" s="4">
        <v>0</v>
      </c>
      <c r="L1349" s="4">
        <v>0</v>
      </c>
      <c r="M1349" s="4">
        <v>110043.38</v>
      </c>
      <c r="N1349" s="4">
        <v>0</v>
      </c>
      <c r="O1349" s="4">
        <v>0</v>
      </c>
      <c r="P1349" s="4">
        <v>104425.25999999998</v>
      </c>
      <c r="Q1349" s="4">
        <v>31666.67</v>
      </c>
      <c r="R1349" s="4">
        <v>0</v>
      </c>
      <c r="S1349" s="8">
        <f t="shared" si="63"/>
        <v>41022.551666666666</v>
      </c>
      <c r="T1349" s="8">
        <f t="shared" si="64"/>
        <v>-41022.551666666666</v>
      </c>
      <c r="U1349" s="9">
        <f t="shared" si="65"/>
        <v>-1</v>
      </c>
    </row>
    <row r="1350" spans="1:21" outlineLevel="2">
      <c r="A1350" t="s">
        <v>423</v>
      </c>
      <c r="B1350" t="s">
        <v>424</v>
      </c>
      <c r="C1350" t="s">
        <v>160</v>
      </c>
      <c r="D1350" t="s">
        <v>161</v>
      </c>
      <c r="E1350" s="4">
        <v>0</v>
      </c>
      <c r="F1350" s="4">
        <v>0</v>
      </c>
      <c r="G1350" s="4">
        <v>0</v>
      </c>
      <c r="H1350" s="4">
        <v>0</v>
      </c>
      <c r="I1350" s="4">
        <v>0</v>
      </c>
      <c r="J1350" s="4">
        <v>0</v>
      </c>
      <c r="K1350" s="4">
        <v>0</v>
      </c>
      <c r="L1350" s="4">
        <v>0</v>
      </c>
      <c r="M1350" s="4">
        <v>15791.27</v>
      </c>
      <c r="N1350" s="4">
        <v>0</v>
      </c>
      <c r="O1350" s="4">
        <v>0</v>
      </c>
      <c r="P1350" s="4">
        <v>3323.71</v>
      </c>
      <c r="Q1350" s="4">
        <v>0</v>
      </c>
      <c r="S1350" s="8">
        <f t="shared" si="63"/>
        <v>3185.83</v>
      </c>
      <c r="T1350" s="8">
        <f t="shared" si="64"/>
        <v>-3185.83</v>
      </c>
      <c r="U1350" s="9">
        <f t="shared" si="65"/>
        <v>-1</v>
      </c>
    </row>
    <row r="1351" spans="1:21" outlineLevel="2">
      <c r="A1351" t="s">
        <v>423</v>
      </c>
      <c r="B1351" t="s">
        <v>424</v>
      </c>
      <c r="C1351" t="s">
        <v>47</v>
      </c>
      <c r="D1351" t="s">
        <v>48</v>
      </c>
      <c r="E1351" s="4">
        <v>0</v>
      </c>
      <c r="F1351" s="4">
        <v>7</v>
      </c>
      <c r="G1351" s="4">
        <v>0</v>
      </c>
      <c r="H1351" s="4">
        <v>0</v>
      </c>
      <c r="I1351" s="4">
        <v>0</v>
      </c>
      <c r="J1351" s="4">
        <v>0</v>
      </c>
      <c r="K1351" s="4">
        <v>0</v>
      </c>
      <c r="L1351" s="4">
        <v>0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S1351" s="8">
        <f t="shared" si="63"/>
        <v>0</v>
      </c>
      <c r="T1351" s="8">
        <f t="shared" si="64"/>
        <v>0</v>
      </c>
      <c r="U1351" s="9" t="e">
        <f t="shared" si="65"/>
        <v>#DIV/0!</v>
      </c>
    </row>
    <row r="1352" spans="1:21" outlineLevel="2">
      <c r="A1352" t="s">
        <v>423</v>
      </c>
      <c r="B1352" t="s">
        <v>424</v>
      </c>
      <c r="C1352" t="s">
        <v>49</v>
      </c>
      <c r="D1352" t="s">
        <v>50</v>
      </c>
      <c r="E1352" s="4">
        <v>0</v>
      </c>
      <c r="F1352" s="4">
        <v>97.93</v>
      </c>
      <c r="G1352" s="4">
        <v>37.4</v>
      </c>
      <c r="H1352" s="4">
        <v>32</v>
      </c>
      <c r="I1352" s="4">
        <v>32</v>
      </c>
      <c r="J1352" s="4">
        <v>32</v>
      </c>
      <c r="K1352" s="4">
        <v>34.51</v>
      </c>
      <c r="L1352" s="4">
        <v>32</v>
      </c>
      <c r="M1352" s="4">
        <v>0</v>
      </c>
      <c r="N1352" s="4">
        <v>64.490000000000009</v>
      </c>
      <c r="O1352" s="4">
        <v>32</v>
      </c>
      <c r="P1352" s="4">
        <v>265.47000000000003</v>
      </c>
      <c r="Q1352" s="4">
        <v>32</v>
      </c>
      <c r="R1352" s="4">
        <v>32.49</v>
      </c>
      <c r="S1352" s="8">
        <f t="shared" si="63"/>
        <v>70.993333333333339</v>
      </c>
      <c r="T1352" s="8">
        <f t="shared" si="64"/>
        <v>-38.503333333333337</v>
      </c>
      <c r="U1352" s="9">
        <f t="shared" si="65"/>
        <v>-0.54235139449713587</v>
      </c>
    </row>
    <row r="1353" spans="1:21" outlineLevel="2">
      <c r="A1353" t="s">
        <v>423</v>
      </c>
      <c r="B1353" t="s">
        <v>424</v>
      </c>
      <c r="C1353" t="s">
        <v>51</v>
      </c>
      <c r="D1353" t="s">
        <v>52</v>
      </c>
      <c r="E1353" s="4">
        <v>0</v>
      </c>
      <c r="F1353" s="4">
        <v>107.5</v>
      </c>
      <c r="G1353" s="4">
        <v>0</v>
      </c>
      <c r="H1353" s="4">
        <v>0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S1353" s="8">
        <f t="shared" si="63"/>
        <v>0</v>
      </c>
      <c r="T1353" s="8">
        <f t="shared" si="64"/>
        <v>0</v>
      </c>
      <c r="U1353" s="9" t="e">
        <f t="shared" si="65"/>
        <v>#DIV/0!</v>
      </c>
    </row>
    <row r="1354" spans="1:21" outlineLevel="2">
      <c r="A1354" t="s">
        <v>423</v>
      </c>
      <c r="B1354" t="s">
        <v>424</v>
      </c>
      <c r="C1354" t="s">
        <v>164</v>
      </c>
      <c r="D1354" t="s">
        <v>165</v>
      </c>
      <c r="E1354" s="4">
        <v>1540</v>
      </c>
      <c r="F1354" s="4">
        <v>700</v>
      </c>
      <c r="G1354" s="4">
        <v>700</v>
      </c>
      <c r="H1354" s="4">
        <v>630</v>
      </c>
      <c r="I1354" s="4">
        <v>630</v>
      </c>
      <c r="J1354" s="4">
        <v>595</v>
      </c>
      <c r="K1354" s="4">
        <v>630</v>
      </c>
      <c r="L1354" s="4">
        <v>840</v>
      </c>
      <c r="M1354" s="4">
        <v>385</v>
      </c>
      <c r="N1354" s="4">
        <v>490</v>
      </c>
      <c r="O1354" s="4">
        <v>490</v>
      </c>
      <c r="P1354" s="4">
        <v>490</v>
      </c>
      <c r="Q1354" s="4">
        <v>735</v>
      </c>
      <c r="R1354" s="4">
        <v>490</v>
      </c>
      <c r="S1354" s="8">
        <f t="shared" si="63"/>
        <v>571.66666666666663</v>
      </c>
      <c r="T1354" s="8">
        <f t="shared" si="64"/>
        <v>-81.666666666666629</v>
      </c>
      <c r="U1354" s="9">
        <f t="shared" si="65"/>
        <v>-0.14285714285714279</v>
      </c>
    </row>
    <row r="1355" spans="1:21" outlineLevel="2">
      <c r="A1355" t="s">
        <v>423</v>
      </c>
      <c r="B1355" t="s">
        <v>424</v>
      </c>
      <c r="C1355" t="s">
        <v>59</v>
      </c>
      <c r="D1355" t="s">
        <v>60</v>
      </c>
      <c r="E1355" s="4">
        <v>0</v>
      </c>
      <c r="F1355" s="4">
        <v>0</v>
      </c>
      <c r="G1355" s="4">
        <v>0</v>
      </c>
      <c r="H1355" s="4">
        <v>0</v>
      </c>
      <c r="I1355" s="4">
        <v>0</v>
      </c>
      <c r="J1355" s="4">
        <v>0</v>
      </c>
      <c r="K1355" s="4">
        <v>0</v>
      </c>
      <c r="L1355" s="4">
        <v>0</v>
      </c>
      <c r="M1355" s="4">
        <v>105.19</v>
      </c>
      <c r="N1355" s="4">
        <v>0</v>
      </c>
      <c r="O1355" s="4">
        <v>0</v>
      </c>
      <c r="P1355" s="4">
        <v>0</v>
      </c>
      <c r="Q1355" s="4">
        <v>0</v>
      </c>
      <c r="R1355" s="4">
        <v>138.52000000000001</v>
      </c>
      <c r="S1355" s="8">
        <f t="shared" si="63"/>
        <v>17.531666666666666</v>
      </c>
      <c r="T1355" s="8">
        <f t="shared" si="64"/>
        <v>120.98833333333334</v>
      </c>
      <c r="U1355" s="9">
        <f t="shared" si="65"/>
        <v>6.90113128624394</v>
      </c>
    </row>
    <row r="1356" spans="1:21" outlineLevel="2">
      <c r="A1356" t="s">
        <v>423</v>
      </c>
      <c r="B1356" t="s">
        <v>424</v>
      </c>
      <c r="C1356" t="s">
        <v>274</v>
      </c>
      <c r="D1356" t="s">
        <v>275</v>
      </c>
      <c r="E1356" s="4">
        <v>0</v>
      </c>
      <c r="F1356" s="4">
        <v>0</v>
      </c>
      <c r="G1356" s="4">
        <v>0</v>
      </c>
      <c r="H1356" s="4">
        <v>-280</v>
      </c>
      <c r="I1356" s="4">
        <v>0</v>
      </c>
      <c r="J1356" s="4">
        <v>0</v>
      </c>
      <c r="K1356" s="4">
        <v>2514</v>
      </c>
      <c r="L1356" s="4">
        <v>0</v>
      </c>
      <c r="M1356" s="4">
        <v>0</v>
      </c>
      <c r="N1356" s="4">
        <v>0</v>
      </c>
      <c r="O1356" s="4">
        <v>0</v>
      </c>
      <c r="P1356" s="4">
        <v>0</v>
      </c>
      <c r="Q1356" s="4">
        <v>0</v>
      </c>
      <c r="S1356" s="8">
        <f t="shared" si="63"/>
        <v>0</v>
      </c>
      <c r="T1356" s="8">
        <f t="shared" si="64"/>
        <v>0</v>
      </c>
      <c r="U1356" s="9" t="e">
        <f t="shared" si="65"/>
        <v>#DIV/0!</v>
      </c>
    </row>
    <row r="1357" spans="1:21" outlineLevel="2">
      <c r="A1357" t="s">
        <v>423</v>
      </c>
      <c r="B1357" t="s">
        <v>424</v>
      </c>
      <c r="C1357" t="s">
        <v>196</v>
      </c>
      <c r="D1357" t="s">
        <v>197</v>
      </c>
      <c r="E1357" s="4">
        <v>3936.27</v>
      </c>
      <c r="F1357" s="4">
        <v>1254.92</v>
      </c>
      <c r="G1357" s="4">
        <v>0</v>
      </c>
      <c r="H1357" s="4">
        <v>0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S1357" s="8">
        <f t="shared" si="63"/>
        <v>0</v>
      </c>
      <c r="T1357" s="8">
        <f t="shared" si="64"/>
        <v>0</v>
      </c>
      <c r="U1357" s="9" t="e">
        <f t="shared" si="65"/>
        <v>#DIV/0!</v>
      </c>
    </row>
    <row r="1358" spans="1:21" outlineLevel="2">
      <c r="A1358" t="s">
        <v>423</v>
      </c>
      <c r="B1358" t="s">
        <v>424</v>
      </c>
      <c r="C1358" t="s">
        <v>63</v>
      </c>
      <c r="D1358" t="s">
        <v>64</v>
      </c>
      <c r="E1358" s="4">
        <v>0</v>
      </c>
      <c r="F1358" s="4">
        <v>716.29</v>
      </c>
      <c r="G1358" s="4">
        <v>0</v>
      </c>
      <c r="H1358" s="4">
        <v>0</v>
      </c>
      <c r="I1358" s="4">
        <v>0</v>
      </c>
      <c r="J1358" s="4">
        <v>134.72999999999999</v>
      </c>
      <c r="K1358" s="4">
        <v>0</v>
      </c>
      <c r="L1358" s="4">
        <v>0</v>
      </c>
      <c r="M1358" s="4">
        <v>0</v>
      </c>
      <c r="N1358" s="4">
        <v>593.12</v>
      </c>
      <c r="O1358" s="4">
        <v>0</v>
      </c>
      <c r="P1358" s="4">
        <v>0</v>
      </c>
      <c r="Q1358" s="4">
        <v>0</v>
      </c>
      <c r="S1358" s="8">
        <f t="shared" si="63"/>
        <v>98.853333333333339</v>
      </c>
      <c r="T1358" s="8">
        <f t="shared" si="64"/>
        <v>-98.853333333333339</v>
      </c>
      <c r="U1358" s="9">
        <f t="shared" si="65"/>
        <v>-1</v>
      </c>
    </row>
    <row r="1359" spans="1:21" outlineLevel="2">
      <c r="A1359" t="s">
        <v>423</v>
      </c>
      <c r="B1359" t="s">
        <v>424</v>
      </c>
      <c r="C1359" t="s">
        <v>65</v>
      </c>
      <c r="D1359" t="s">
        <v>66</v>
      </c>
      <c r="E1359" s="4">
        <v>0</v>
      </c>
      <c r="F1359" s="4">
        <v>103.05</v>
      </c>
      <c r="G1359" s="4">
        <v>0</v>
      </c>
      <c r="H1359" s="4">
        <v>0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0</v>
      </c>
      <c r="O1359" s="4">
        <v>0</v>
      </c>
      <c r="P1359" s="4">
        <v>0</v>
      </c>
      <c r="Q1359" s="4">
        <v>0</v>
      </c>
      <c r="S1359" s="8">
        <f t="shared" si="63"/>
        <v>0</v>
      </c>
      <c r="T1359" s="8">
        <f t="shared" si="64"/>
        <v>0</v>
      </c>
      <c r="U1359" s="9" t="e">
        <f t="shared" si="65"/>
        <v>#DIV/0!</v>
      </c>
    </row>
    <row r="1360" spans="1:21" outlineLevel="2">
      <c r="A1360" t="s">
        <v>423</v>
      </c>
      <c r="B1360" t="s">
        <v>424</v>
      </c>
      <c r="C1360" t="s">
        <v>83</v>
      </c>
      <c r="D1360" t="s">
        <v>84</v>
      </c>
      <c r="E1360" s="4">
        <v>0</v>
      </c>
      <c r="F1360" s="4">
        <v>0</v>
      </c>
      <c r="G1360" s="4">
        <v>0</v>
      </c>
      <c r="H1360" s="4">
        <v>0</v>
      </c>
      <c r="I1360" s="4">
        <v>0</v>
      </c>
      <c r="J1360" s="4">
        <v>0</v>
      </c>
      <c r="K1360" s="4">
        <v>0</v>
      </c>
      <c r="L1360" s="4">
        <v>306.87</v>
      </c>
      <c r="M1360" s="4">
        <v>0</v>
      </c>
      <c r="N1360" s="4">
        <v>-53.03</v>
      </c>
      <c r="O1360" s="4">
        <v>453.56000000000006</v>
      </c>
      <c r="P1360" s="4">
        <v>164.74</v>
      </c>
      <c r="Q1360" s="4">
        <v>264.42</v>
      </c>
      <c r="R1360" s="4">
        <v>302.7</v>
      </c>
      <c r="S1360" s="8">
        <f t="shared" si="63"/>
        <v>189.4266666666667</v>
      </c>
      <c r="T1360" s="8">
        <f t="shared" si="64"/>
        <v>113.27333333333328</v>
      </c>
      <c r="U1360" s="9">
        <f t="shared" si="65"/>
        <v>0.59797986907862288</v>
      </c>
    </row>
    <row r="1361" spans="1:22" outlineLevel="2">
      <c r="A1361" t="s">
        <v>423</v>
      </c>
      <c r="B1361" t="s">
        <v>424</v>
      </c>
      <c r="C1361" t="s">
        <v>87</v>
      </c>
      <c r="D1361" t="s">
        <v>88</v>
      </c>
      <c r="E1361" s="4">
        <v>0</v>
      </c>
      <c r="F1361" s="4">
        <v>1272.8800000000001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618.91999999999996</v>
      </c>
      <c r="O1361" s="4">
        <v>33.96</v>
      </c>
      <c r="P1361" s="4">
        <v>1737.3199999999997</v>
      </c>
      <c r="Q1361" s="4">
        <v>11.19</v>
      </c>
      <c r="S1361" s="8">
        <f t="shared" si="63"/>
        <v>400.23166666666663</v>
      </c>
      <c r="T1361" s="8">
        <f t="shared" si="64"/>
        <v>-400.23166666666663</v>
      </c>
      <c r="U1361" s="9">
        <f t="shared" si="65"/>
        <v>-1</v>
      </c>
    </row>
    <row r="1362" spans="1:22" outlineLevel="2">
      <c r="A1362" t="s">
        <v>423</v>
      </c>
      <c r="B1362" t="s">
        <v>424</v>
      </c>
      <c r="C1362" t="s">
        <v>166</v>
      </c>
      <c r="D1362" t="s">
        <v>167</v>
      </c>
      <c r="E1362" s="4">
        <v>0</v>
      </c>
      <c r="F1362" s="4">
        <v>0</v>
      </c>
      <c r="G1362" s="4">
        <v>0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1081.3800000000001</v>
      </c>
      <c r="S1362" s="8">
        <f t="shared" si="63"/>
        <v>0</v>
      </c>
      <c r="T1362" s="8">
        <f t="shared" si="64"/>
        <v>1081.3800000000001</v>
      </c>
      <c r="U1362" s="9" t="e">
        <f t="shared" si="65"/>
        <v>#DIV/0!</v>
      </c>
      <c r="V1362" t="s">
        <v>895</v>
      </c>
    </row>
    <row r="1363" spans="1:22" outlineLevel="2">
      <c r="A1363" t="s">
        <v>423</v>
      </c>
      <c r="B1363" t="s">
        <v>424</v>
      </c>
      <c r="C1363" t="s">
        <v>91</v>
      </c>
      <c r="D1363" t="s">
        <v>92</v>
      </c>
      <c r="E1363" s="4">
        <v>0</v>
      </c>
      <c r="F1363" s="4">
        <v>0</v>
      </c>
      <c r="G1363" s="4">
        <v>0</v>
      </c>
      <c r="H1363" s="4">
        <v>0</v>
      </c>
      <c r="I1363" s="4">
        <v>0</v>
      </c>
      <c r="J1363" s="4">
        <v>850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S1363" s="8">
        <f t="shared" si="63"/>
        <v>0</v>
      </c>
      <c r="T1363" s="8">
        <f t="shared" si="64"/>
        <v>0</v>
      </c>
      <c r="U1363" s="9" t="e">
        <f t="shared" si="65"/>
        <v>#DIV/0!</v>
      </c>
    </row>
    <row r="1364" spans="1:22" outlineLevel="2">
      <c r="A1364" t="s">
        <v>423</v>
      </c>
      <c r="B1364" t="s">
        <v>424</v>
      </c>
      <c r="C1364" t="s">
        <v>93</v>
      </c>
      <c r="D1364" t="s">
        <v>94</v>
      </c>
      <c r="E1364" s="4">
        <v>-90.77</v>
      </c>
      <c r="F1364" s="4">
        <v>179.3</v>
      </c>
      <c r="G1364" s="4">
        <v>0</v>
      </c>
      <c r="H1364" s="4">
        <v>0</v>
      </c>
      <c r="I1364" s="4">
        <v>1556.37</v>
      </c>
      <c r="J1364" s="4">
        <v>0</v>
      </c>
      <c r="K1364" s="4">
        <v>0</v>
      </c>
      <c r="L1364" s="4">
        <v>0</v>
      </c>
      <c r="M1364" s="4">
        <v>0</v>
      </c>
      <c r="N1364" s="4">
        <v>444.8</v>
      </c>
      <c r="O1364" s="4">
        <v>0</v>
      </c>
      <c r="P1364" s="4">
        <v>798.27</v>
      </c>
      <c r="Q1364" s="4">
        <v>0</v>
      </c>
      <c r="R1364" s="4">
        <v>484.86</v>
      </c>
      <c r="S1364" s="8">
        <f t="shared" si="63"/>
        <v>207.17833333333331</v>
      </c>
      <c r="T1364" s="8">
        <f t="shared" si="64"/>
        <v>277.68166666666673</v>
      </c>
      <c r="U1364" s="9">
        <f t="shared" si="65"/>
        <v>1.3403026378240972</v>
      </c>
    </row>
    <row r="1365" spans="1:22" outlineLevel="2">
      <c r="A1365" t="s">
        <v>423</v>
      </c>
      <c r="B1365" t="s">
        <v>424</v>
      </c>
      <c r="C1365" t="s">
        <v>425</v>
      </c>
      <c r="D1365" t="s">
        <v>426</v>
      </c>
      <c r="E1365" s="4">
        <v>0</v>
      </c>
      <c r="F1365" s="4">
        <v>0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4">
        <v>0</v>
      </c>
      <c r="O1365" s="4">
        <v>0</v>
      </c>
      <c r="P1365" s="4">
        <v>0</v>
      </c>
      <c r="Q1365" s="4">
        <v>0</v>
      </c>
      <c r="R1365" s="4">
        <v>674.66</v>
      </c>
      <c r="S1365" s="8">
        <f t="shared" si="63"/>
        <v>0</v>
      </c>
      <c r="T1365" s="8">
        <f t="shared" si="64"/>
        <v>674.66</v>
      </c>
      <c r="U1365" s="9" t="e">
        <f t="shared" si="65"/>
        <v>#DIV/0!</v>
      </c>
      <c r="V1365" t="s">
        <v>895</v>
      </c>
    </row>
    <row r="1366" spans="1:22" outlineLevel="2">
      <c r="A1366" t="s">
        <v>423</v>
      </c>
      <c r="B1366" t="s">
        <v>424</v>
      </c>
      <c r="C1366" t="s">
        <v>97</v>
      </c>
      <c r="D1366" t="s">
        <v>98</v>
      </c>
      <c r="E1366" s="4">
        <v>0</v>
      </c>
      <c r="F1366" s="4">
        <v>113.62</v>
      </c>
      <c r="G1366" s="4">
        <v>0</v>
      </c>
      <c r="H1366" s="4">
        <v>0</v>
      </c>
      <c r="I1366" s="4">
        <v>0</v>
      </c>
      <c r="J1366" s="4">
        <v>0</v>
      </c>
      <c r="K1366" s="4">
        <v>0</v>
      </c>
      <c r="L1366" s="4">
        <v>0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S1366" s="8">
        <f t="shared" si="63"/>
        <v>0</v>
      </c>
      <c r="T1366" s="8">
        <f t="shared" si="64"/>
        <v>0</v>
      </c>
      <c r="U1366" s="9" t="e">
        <f t="shared" si="65"/>
        <v>#DIV/0!</v>
      </c>
    </row>
    <row r="1367" spans="1:22" outlineLevel="2">
      <c r="A1367" t="s">
        <v>423</v>
      </c>
      <c r="B1367" t="s">
        <v>424</v>
      </c>
      <c r="C1367" t="s">
        <v>184</v>
      </c>
      <c r="D1367" t="s">
        <v>185</v>
      </c>
      <c r="E1367" s="4">
        <v>0</v>
      </c>
      <c r="F1367" s="4">
        <v>0</v>
      </c>
      <c r="G1367" s="4">
        <v>0</v>
      </c>
      <c r="H1367" s="4">
        <v>0</v>
      </c>
      <c r="I1367" s="4">
        <v>0</v>
      </c>
      <c r="J1367" s="4">
        <v>0</v>
      </c>
      <c r="K1367" s="4">
        <v>0</v>
      </c>
      <c r="L1367" s="4">
        <v>160.79</v>
      </c>
      <c r="M1367" s="4">
        <v>0</v>
      </c>
      <c r="N1367" s="4">
        <v>0</v>
      </c>
      <c r="O1367" s="4">
        <v>0</v>
      </c>
      <c r="P1367" s="4">
        <v>0</v>
      </c>
      <c r="Q1367" s="4">
        <v>107.6</v>
      </c>
      <c r="S1367" s="8">
        <f t="shared" si="63"/>
        <v>44.731666666666662</v>
      </c>
      <c r="T1367" s="8">
        <f t="shared" si="64"/>
        <v>-44.731666666666662</v>
      </c>
      <c r="U1367" s="9">
        <f t="shared" si="65"/>
        <v>-1</v>
      </c>
    </row>
    <row r="1368" spans="1:22" outlineLevel="2">
      <c r="A1368" t="s">
        <v>423</v>
      </c>
      <c r="B1368" t="s">
        <v>424</v>
      </c>
      <c r="C1368" t="s">
        <v>224</v>
      </c>
      <c r="D1368" t="s">
        <v>225</v>
      </c>
      <c r="E1368" s="4">
        <v>0</v>
      </c>
      <c r="F1368" s="4">
        <v>6250.31</v>
      </c>
      <c r="G1368" s="4">
        <v>0</v>
      </c>
      <c r="H1368" s="4">
        <v>0</v>
      </c>
      <c r="I1368" s="4">
        <v>0</v>
      </c>
      <c r="J1368" s="4">
        <v>0</v>
      </c>
      <c r="K1368" s="4">
        <v>0</v>
      </c>
      <c r="L1368" s="4">
        <v>0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S1368" s="8">
        <f t="shared" si="63"/>
        <v>0</v>
      </c>
      <c r="T1368" s="8">
        <f t="shared" si="64"/>
        <v>0</v>
      </c>
      <c r="U1368" s="9" t="e">
        <f t="shared" si="65"/>
        <v>#DIV/0!</v>
      </c>
    </row>
    <row r="1369" spans="1:22" outlineLevel="2">
      <c r="A1369" t="s">
        <v>423</v>
      </c>
      <c r="B1369" t="s">
        <v>424</v>
      </c>
      <c r="C1369" t="s">
        <v>103</v>
      </c>
      <c r="D1369" t="s">
        <v>104</v>
      </c>
      <c r="E1369" s="4">
        <v>-1637.57</v>
      </c>
      <c r="F1369" s="4">
        <v>1637.57</v>
      </c>
      <c r="G1369" s="4">
        <v>0</v>
      </c>
      <c r="H1369" s="4">
        <v>0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  <c r="Q1369" s="4">
        <v>0</v>
      </c>
      <c r="S1369" s="8">
        <f t="shared" si="63"/>
        <v>0</v>
      </c>
      <c r="T1369" s="8">
        <f t="shared" si="64"/>
        <v>0</v>
      </c>
      <c r="U1369" s="9" t="e">
        <f t="shared" si="65"/>
        <v>#DIV/0!</v>
      </c>
    </row>
    <row r="1370" spans="1:22" outlineLevel="2">
      <c r="A1370" t="s">
        <v>423</v>
      </c>
      <c r="B1370" t="s">
        <v>424</v>
      </c>
      <c r="C1370" t="s">
        <v>107</v>
      </c>
      <c r="D1370" t="s">
        <v>108</v>
      </c>
      <c r="E1370" s="4">
        <v>0</v>
      </c>
      <c r="F1370" s="4">
        <v>0</v>
      </c>
      <c r="G1370" s="4">
        <v>1109.93</v>
      </c>
      <c r="H1370" s="4">
        <v>1470</v>
      </c>
      <c r="I1370" s="4">
        <v>845</v>
      </c>
      <c r="J1370" s="4">
        <v>1030</v>
      </c>
      <c r="K1370" s="4">
        <v>0</v>
      </c>
      <c r="L1370" s="4">
        <v>0</v>
      </c>
      <c r="M1370" s="4">
        <v>0</v>
      </c>
      <c r="N1370" s="4">
        <v>0</v>
      </c>
      <c r="O1370" s="4">
        <v>0</v>
      </c>
      <c r="P1370" s="4">
        <v>0</v>
      </c>
      <c r="Q1370" s="4">
        <v>0</v>
      </c>
      <c r="S1370" s="8">
        <f t="shared" si="63"/>
        <v>0</v>
      </c>
      <c r="T1370" s="8">
        <f t="shared" si="64"/>
        <v>0</v>
      </c>
      <c r="U1370" s="9" t="e">
        <f t="shared" si="65"/>
        <v>#DIV/0!</v>
      </c>
    </row>
    <row r="1371" spans="1:22" outlineLevel="2">
      <c r="A1371" t="s">
        <v>423</v>
      </c>
      <c r="B1371" t="s">
        <v>424</v>
      </c>
      <c r="C1371" t="s">
        <v>111</v>
      </c>
      <c r="D1371" t="s">
        <v>112</v>
      </c>
      <c r="E1371" s="4">
        <v>0</v>
      </c>
      <c r="F1371" s="4">
        <v>352.56</v>
      </c>
      <c r="G1371" s="4">
        <v>0</v>
      </c>
      <c r="H1371" s="4">
        <v>0</v>
      </c>
      <c r="I1371" s="4">
        <v>0</v>
      </c>
      <c r="J1371" s="4">
        <v>0</v>
      </c>
      <c r="K1371" s="4">
        <v>0</v>
      </c>
      <c r="L1371" s="4">
        <v>0</v>
      </c>
      <c r="M1371" s="4">
        <v>0</v>
      </c>
      <c r="N1371" s="4">
        <v>0</v>
      </c>
      <c r="O1371" s="4">
        <v>0</v>
      </c>
      <c r="P1371" s="4">
        <v>0</v>
      </c>
      <c r="Q1371" s="4">
        <v>0</v>
      </c>
      <c r="S1371" s="8">
        <f t="shared" si="63"/>
        <v>0</v>
      </c>
      <c r="T1371" s="8">
        <f t="shared" si="64"/>
        <v>0</v>
      </c>
      <c r="U1371" s="9" t="e">
        <f t="shared" si="65"/>
        <v>#DIV/0!</v>
      </c>
    </row>
    <row r="1372" spans="1:22" outlineLevel="2">
      <c r="A1372" t="s">
        <v>423</v>
      </c>
      <c r="B1372" t="s">
        <v>424</v>
      </c>
      <c r="C1372" t="s">
        <v>123</v>
      </c>
      <c r="D1372" t="s">
        <v>124</v>
      </c>
      <c r="E1372" s="4">
        <v>0</v>
      </c>
      <c r="F1372" s="4">
        <v>1475.0900000000001</v>
      </c>
      <c r="G1372" s="4">
        <v>0</v>
      </c>
      <c r="H1372" s="4">
        <v>0</v>
      </c>
      <c r="I1372" s="4">
        <v>0</v>
      </c>
      <c r="J1372" s="4">
        <v>0</v>
      </c>
      <c r="K1372" s="4">
        <v>0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S1372" s="8">
        <f t="shared" si="63"/>
        <v>0</v>
      </c>
      <c r="T1372" s="8">
        <f t="shared" si="64"/>
        <v>0</v>
      </c>
      <c r="U1372" s="9" t="e">
        <f t="shared" si="65"/>
        <v>#DIV/0!</v>
      </c>
    </row>
    <row r="1373" spans="1:22" outlineLevel="2">
      <c r="A1373" t="s">
        <v>423</v>
      </c>
      <c r="B1373" t="s">
        <v>424</v>
      </c>
      <c r="C1373" t="s">
        <v>127</v>
      </c>
      <c r="D1373" t="s">
        <v>120</v>
      </c>
      <c r="E1373" s="4">
        <v>141.19</v>
      </c>
      <c r="F1373" s="4">
        <v>1896.85</v>
      </c>
      <c r="G1373" s="4">
        <v>16.41</v>
      </c>
      <c r="H1373" s="4">
        <v>-250</v>
      </c>
      <c r="I1373" s="4">
        <v>99.15</v>
      </c>
      <c r="J1373" s="4">
        <v>0</v>
      </c>
      <c r="K1373" s="4">
        <v>0</v>
      </c>
      <c r="L1373" s="4">
        <v>21.88</v>
      </c>
      <c r="M1373" s="4">
        <v>338.9</v>
      </c>
      <c r="N1373" s="4">
        <v>0</v>
      </c>
      <c r="O1373" s="4">
        <v>0</v>
      </c>
      <c r="P1373" s="4">
        <v>64.930000000000007</v>
      </c>
      <c r="Q1373" s="4">
        <v>117.76</v>
      </c>
      <c r="R1373" s="4">
        <v>789.28000000000009</v>
      </c>
      <c r="S1373" s="8">
        <f t="shared" si="63"/>
        <v>90.578333333333333</v>
      </c>
      <c r="T1373" s="8">
        <f t="shared" si="64"/>
        <v>698.70166666666671</v>
      </c>
      <c r="U1373" s="9">
        <f t="shared" si="65"/>
        <v>7.7137836495114733</v>
      </c>
    </row>
    <row r="1374" spans="1:22" outlineLevel="1">
      <c r="A1374" s="1" t="s">
        <v>769</v>
      </c>
      <c r="E1374" s="4">
        <f>SUBTOTAL(9,E1331:E1373)</f>
        <v>5376.4699999999975</v>
      </c>
      <c r="F1374" s="4">
        <f>SUBTOTAL(9,F1331:F1373)</f>
        <v>42069.709999999985</v>
      </c>
      <c r="G1374" s="4">
        <f>SUBTOTAL(9,G1331:G1373)</f>
        <v>-108973.48000000004</v>
      </c>
      <c r="H1374" s="4">
        <f>SUBTOTAL(9,H1331:H1373)</f>
        <v>272412.51000000007</v>
      </c>
      <c r="I1374" s="4">
        <f>SUBTOTAL(9,I1331:I1373)</f>
        <v>125218.50999999998</v>
      </c>
      <c r="J1374" s="4">
        <f>SUBTOTAL(9,J1331:J1373)</f>
        <v>208906.00999999998</v>
      </c>
      <c r="K1374" s="4">
        <f>SUBTOTAL(9,K1331:K1373)</f>
        <v>81873.52999999997</v>
      </c>
      <c r="L1374" s="4">
        <f>SUBTOTAL(9,L1331:L1373)</f>
        <v>77732.430000000051</v>
      </c>
      <c r="M1374" s="4">
        <f>SUBTOTAL(9,M1331:M1373)</f>
        <v>224800.63999999998</v>
      </c>
      <c r="N1374" s="4">
        <f>SUBTOTAL(9,N1331:N1373)</f>
        <v>59029.4</v>
      </c>
      <c r="O1374" s="4">
        <f>SUBTOTAL(9,O1331:O1373)</f>
        <v>2661.1399999999417</v>
      </c>
      <c r="P1374" s="4">
        <f>SUBTOTAL(9,P1331:P1373)</f>
        <v>163305.82999999993</v>
      </c>
      <c r="Q1374" s="4">
        <f>SUBTOTAL(9,Q1331:Q1373)</f>
        <v>-87089.420000000042</v>
      </c>
      <c r="R1374" s="4">
        <f>SUBTOTAL(9,R1331:R1373)</f>
        <v>95080.719999999987</v>
      </c>
      <c r="S1374" s="8">
        <f t="shared" si="63"/>
        <v>73406.669999999984</v>
      </c>
      <c r="T1374" s="8">
        <f t="shared" si="64"/>
        <v>21674.050000000003</v>
      </c>
      <c r="U1374" s="9">
        <f t="shared" si="65"/>
        <v>0.29525995389792248</v>
      </c>
      <c r="V1374" t="s">
        <v>897</v>
      </c>
    </row>
    <row r="1375" spans="1:22" outlineLevel="2">
      <c r="A1375" t="s">
        <v>427</v>
      </c>
      <c r="B1375" t="s">
        <v>428</v>
      </c>
      <c r="C1375" t="s">
        <v>21</v>
      </c>
      <c r="D1375" t="s">
        <v>22</v>
      </c>
      <c r="E1375" s="4">
        <v>0</v>
      </c>
      <c r="F1375" s="4">
        <v>2588.4499999999998</v>
      </c>
      <c r="G1375" s="4">
        <v>0</v>
      </c>
      <c r="H1375" s="4">
        <v>3783.34</v>
      </c>
      <c r="I1375" s="4">
        <v>0</v>
      </c>
      <c r="J1375" s="4">
        <v>0</v>
      </c>
      <c r="K1375" s="4">
        <v>0</v>
      </c>
      <c r="L1375" s="4">
        <v>1906.1200000000001</v>
      </c>
      <c r="M1375" s="4">
        <v>0</v>
      </c>
      <c r="N1375" s="4">
        <v>0</v>
      </c>
      <c r="O1375" s="4">
        <v>306.84000000000003</v>
      </c>
      <c r="P1375" s="4">
        <v>117.3</v>
      </c>
      <c r="Q1375" s="4">
        <v>447.91</v>
      </c>
      <c r="R1375" s="4">
        <v>205.55</v>
      </c>
      <c r="S1375" s="8">
        <f t="shared" si="63"/>
        <v>463.02833333333336</v>
      </c>
      <c r="T1375" s="8">
        <f t="shared" si="64"/>
        <v>-257.47833333333335</v>
      </c>
      <c r="U1375" s="9">
        <f t="shared" si="65"/>
        <v>-0.55607468225486567</v>
      </c>
    </row>
    <row r="1376" spans="1:22" outlineLevel="2">
      <c r="A1376" t="s">
        <v>427</v>
      </c>
      <c r="B1376" t="s">
        <v>428</v>
      </c>
      <c r="C1376" t="s">
        <v>23</v>
      </c>
      <c r="D1376" t="s">
        <v>24</v>
      </c>
      <c r="E1376" s="4">
        <v>0</v>
      </c>
      <c r="F1376" s="4">
        <v>0</v>
      </c>
      <c r="G1376" s="4">
        <v>0</v>
      </c>
      <c r="H1376" s="4">
        <v>0</v>
      </c>
      <c r="I1376" s="4">
        <v>0</v>
      </c>
      <c r="J1376" s="4">
        <v>0</v>
      </c>
      <c r="K1376" s="4">
        <v>3492.3</v>
      </c>
      <c r="L1376" s="4">
        <v>630.38</v>
      </c>
      <c r="M1376" s="4">
        <v>754.10000000000014</v>
      </c>
      <c r="N1376" s="4">
        <v>0</v>
      </c>
      <c r="O1376" s="4">
        <v>0</v>
      </c>
      <c r="P1376" s="4">
        <v>235.67</v>
      </c>
      <c r="Q1376" s="4">
        <v>0</v>
      </c>
      <c r="S1376" s="8">
        <f t="shared" si="63"/>
        <v>270.02500000000003</v>
      </c>
      <c r="T1376" s="8">
        <f t="shared" si="64"/>
        <v>-270.02500000000003</v>
      </c>
      <c r="U1376" s="9">
        <f t="shared" si="65"/>
        <v>-1</v>
      </c>
    </row>
    <row r="1377" spans="1:22" outlineLevel="2">
      <c r="A1377" t="s">
        <v>427</v>
      </c>
      <c r="B1377" t="s">
        <v>428</v>
      </c>
      <c r="C1377" t="s">
        <v>25</v>
      </c>
      <c r="D1377" t="s">
        <v>26</v>
      </c>
      <c r="E1377" s="4">
        <v>0</v>
      </c>
      <c r="F1377" s="4">
        <v>0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866.98999999999978</v>
      </c>
      <c r="Q1377" s="4">
        <v>0</v>
      </c>
      <c r="S1377" s="8">
        <f t="shared" si="63"/>
        <v>144.49833333333331</v>
      </c>
      <c r="T1377" s="8">
        <f t="shared" si="64"/>
        <v>-144.49833333333331</v>
      </c>
      <c r="U1377" s="9">
        <f t="shared" si="65"/>
        <v>-1</v>
      </c>
    </row>
    <row r="1378" spans="1:22" outlineLevel="2">
      <c r="A1378" t="s">
        <v>427</v>
      </c>
      <c r="B1378" t="s">
        <v>428</v>
      </c>
      <c r="C1378" t="s">
        <v>27</v>
      </c>
      <c r="D1378" t="s">
        <v>28</v>
      </c>
      <c r="E1378" s="4">
        <v>0</v>
      </c>
      <c r="F1378" s="4">
        <v>0</v>
      </c>
      <c r="G1378" s="4">
        <v>0</v>
      </c>
      <c r="H1378" s="4">
        <v>0</v>
      </c>
      <c r="I1378" s="4">
        <v>0</v>
      </c>
      <c r="J1378" s="4">
        <v>0</v>
      </c>
      <c r="K1378" s="4">
        <v>0</v>
      </c>
      <c r="L1378" s="4">
        <v>0</v>
      </c>
      <c r="M1378" s="4">
        <v>68.599999999999994</v>
      </c>
      <c r="N1378" s="4">
        <v>0</v>
      </c>
      <c r="O1378" s="4">
        <v>0</v>
      </c>
      <c r="P1378" s="4">
        <v>530.80999999999995</v>
      </c>
      <c r="Q1378" s="4">
        <v>0</v>
      </c>
      <c r="S1378" s="8">
        <f t="shared" si="63"/>
        <v>99.901666666666657</v>
      </c>
      <c r="T1378" s="8">
        <f t="shared" si="64"/>
        <v>-99.901666666666657</v>
      </c>
      <c r="U1378" s="9">
        <f t="shared" si="65"/>
        <v>-1</v>
      </c>
    </row>
    <row r="1379" spans="1:22" outlineLevel="2">
      <c r="A1379" t="s">
        <v>427</v>
      </c>
      <c r="B1379" t="s">
        <v>428</v>
      </c>
      <c r="C1379" t="s">
        <v>33</v>
      </c>
      <c r="D1379" t="s">
        <v>34</v>
      </c>
      <c r="E1379" s="4">
        <v>0</v>
      </c>
      <c r="F1379" s="4">
        <v>2906.59</v>
      </c>
      <c r="G1379" s="4">
        <v>13840.14</v>
      </c>
      <c r="H1379" s="4">
        <v>15689.220000000001</v>
      </c>
      <c r="I1379" s="4">
        <v>4613.38</v>
      </c>
      <c r="J1379" s="4">
        <v>4613.38</v>
      </c>
      <c r="K1379" s="4">
        <v>0</v>
      </c>
      <c r="L1379" s="4">
        <v>10060.699999999999</v>
      </c>
      <c r="M1379" s="4">
        <v>4613.38</v>
      </c>
      <c r="N1379" s="4">
        <v>4613.38</v>
      </c>
      <c r="O1379" s="4">
        <v>4613.38</v>
      </c>
      <c r="P1379" s="4">
        <v>5388.38</v>
      </c>
      <c r="Q1379" s="4">
        <v>4613.38</v>
      </c>
      <c r="R1379" s="4">
        <v>4884.76</v>
      </c>
      <c r="S1379" s="8">
        <f t="shared" si="63"/>
        <v>5650.4333333333334</v>
      </c>
      <c r="T1379" s="8">
        <f t="shared" si="64"/>
        <v>-765.67333333333318</v>
      </c>
      <c r="U1379" s="9">
        <f t="shared" si="65"/>
        <v>-0.13550701126167311</v>
      </c>
    </row>
    <row r="1380" spans="1:22" outlineLevel="2">
      <c r="A1380" t="s">
        <v>427</v>
      </c>
      <c r="B1380" t="s">
        <v>428</v>
      </c>
      <c r="C1380" t="s">
        <v>35</v>
      </c>
      <c r="D1380" t="s">
        <v>36</v>
      </c>
      <c r="E1380" s="4">
        <v>0</v>
      </c>
      <c r="F1380" s="4">
        <v>0</v>
      </c>
      <c r="G1380" s="4">
        <v>0</v>
      </c>
      <c r="H1380" s="4">
        <v>0</v>
      </c>
      <c r="I1380" s="4">
        <v>12801</v>
      </c>
      <c r="J1380" s="4">
        <v>0</v>
      </c>
      <c r="K1380" s="4">
        <v>10664.04</v>
      </c>
      <c r="L1380" s="4">
        <v>3894.28</v>
      </c>
      <c r="M1380" s="4">
        <v>5786.1</v>
      </c>
      <c r="N1380" s="4">
        <v>0</v>
      </c>
      <c r="O1380" s="4">
        <v>1615.68</v>
      </c>
      <c r="P1380" s="4">
        <v>7771.57</v>
      </c>
      <c r="Q1380" s="4">
        <v>0</v>
      </c>
      <c r="S1380" s="8">
        <f t="shared" si="63"/>
        <v>3177.9383333333335</v>
      </c>
      <c r="T1380" s="8">
        <f t="shared" si="64"/>
        <v>-3177.9383333333335</v>
      </c>
      <c r="U1380" s="9">
        <f t="shared" si="65"/>
        <v>-1</v>
      </c>
    </row>
    <row r="1381" spans="1:22" outlineLevel="2">
      <c r="A1381" t="s">
        <v>427</v>
      </c>
      <c r="B1381" t="s">
        <v>428</v>
      </c>
      <c r="C1381" t="s">
        <v>156</v>
      </c>
      <c r="D1381" t="s">
        <v>157</v>
      </c>
      <c r="E1381" s="4">
        <v>0</v>
      </c>
      <c r="F1381" s="4">
        <v>660.89</v>
      </c>
      <c r="G1381" s="4">
        <v>0</v>
      </c>
      <c r="H1381" s="4">
        <v>-47.55</v>
      </c>
      <c r="I1381" s="4">
        <v>1615.38</v>
      </c>
      <c r="J1381" s="4">
        <v>883.36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S1381" s="8">
        <f t="shared" si="63"/>
        <v>0</v>
      </c>
      <c r="T1381" s="8">
        <f t="shared" si="64"/>
        <v>0</v>
      </c>
      <c r="U1381" s="9" t="e">
        <f t="shared" si="65"/>
        <v>#DIV/0!</v>
      </c>
    </row>
    <row r="1382" spans="1:22" outlineLevel="2">
      <c r="A1382" t="s">
        <v>427</v>
      </c>
      <c r="B1382" t="s">
        <v>428</v>
      </c>
      <c r="C1382" t="s">
        <v>180</v>
      </c>
      <c r="D1382" t="s">
        <v>181</v>
      </c>
      <c r="E1382" s="4">
        <v>4715.87</v>
      </c>
      <c r="F1382" s="4">
        <v>0</v>
      </c>
      <c r="G1382" s="4">
        <v>0</v>
      </c>
      <c r="H1382" s="4">
        <v>0</v>
      </c>
      <c r="I1382" s="4">
        <v>0</v>
      </c>
      <c r="J1382" s="4">
        <v>0</v>
      </c>
      <c r="K1382" s="4">
        <v>0</v>
      </c>
      <c r="L1382" s="4">
        <v>0</v>
      </c>
      <c r="M1382" s="4">
        <v>0</v>
      </c>
      <c r="N1382" s="4">
        <v>337.23</v>
      </c>
      <c r="O1382" s="4">
        <v>0</v>
      </c>
      <c r="P1382" s="4">
        <v>0</v>
      </c>
      <c r="Q1382" s="4">
        <v>0</v>
      </c>
      <c r="S1382" s="8">
        <f t="shared" si="63"/>
        <v>56.205000000000005</v>
      </c>
      <c r="T1382" s="8">
        <f t="shared" si="64"/>
        <v>-56.205000000000005</v>
      </c>
      <c r="U1382" s="9">
        <f t="shared" si="65"/>
        <v>-1</v>
      </c>
    </row>
    <row r="1383" spans="1:22" outlineLevel="2">
      <c r="A1383" t="s">
        <v>427</v>
      </c>
      <c r="B1383" t="s">
        <v>428</v>
      </c>
      <c r="C1383" t="s">
        <v>59</v>
      </c>
      <c r="D1383" t="s">
        <v>60</v>
      </c>
      <c r="E1383" s="4">
        <v>168.54</v>
      </c>
      <c r="F1383" s="4">
        <v>0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>
        <v>0</v>
      </c>
      <c r="M1383" s="4">
        <v>0</v>
      </c>
      <c r="N1383" s="4">
        <v>174.14999999999998</v>
      </c>
      <c r="O1383" s="4">
        <v>0</v>
      </c>
      <c r="P1383" s="4">
        <v>0</v>
      </c>
      <c r="Q1383" s="4">
        <v>163.16</v>
      </c>
      <c r="S1383" s="8">
        <f t="shared" si="63"/>
        <v>56.218333333333327</v>
      </c>
      <c r="T1383" s="8">
        <f t="shared" si="64"/>
        <v>-56.218333333333327</v>
      </c>
      <c r="U1383" s="9">
        <f t="shared" si="65"/>
        <v>-1</v>
      </c>
    </row>
    <row r="1384" spans="1:22" outlineLevel="2">
      <c r="A1384" t="s">
        <v>427</v>
      </c>
      <c r="B1384" t="s">
        <v>428</v>
      </c>
      <c r="C1384" t="s">
        <v>415</v>
      </c>
      <c r="D1384" t="s">
        <v>416</v>
      </c>
      <c r="E1384" s="4">
        <v>0</v>
      </c>
      <c r="F1384" s="4">
        <v>0</v>
      </c>
      <c r="G1384" s="4">
        <v>0</v>
      </c>
      <c r="H1384" s="4">
        <v>0</v>
      </c>
      <c r="I1384" s="4">
        <v>0</v>
      </c>
      <c r="J1384" s="4">
        <v>0</v>
      </c>
      <c r="K1384" s="4">
        <v>13407</v>
      </c>
      <c r="L1384" s="4">
        <v>-13407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S1384" s="8">
        <f t="shared" si="63"/>
        <v>-2234.5</v>
      </c>
      <c r="T1384" s="8">
        <f t="shared" si="64"/>
        <v>2234.5</v>
      </c>
      <c r="U1384" s="9">
        <f t="shared" si="65"/>
        <v>-1</v>
      </c>
    </row>
    <row r="1385" spans="1:22" outlineLevel="2">
      <c r="A1385" t="s">
        <v>427</v>
      </c>
      <c r="B1385" t="s">
        <v>428</v>
      </c>
      <c r="C1385" t="s">
        <v>83</v>
      </c>
      <c r="D1385" t="s">
        <v>84</v>
      </c>
      <c r="E1385" s="4">
        <v>0</v>
      </c>
      <c r="F1385" s="4">
        <v>0</v>
      </c>
      <c r="G1385" s="4">
        <v>0</v>
      </c>
      <c r="H1385" s="4">
        <v>0</v>
      </c>
      <c r="I1385" s="4">
        <v>0</v>
      </c>
      <c r="J1385" s="4">
        <v>0</v>
      </c>
      <c r="K1385" s="4">
        <v>0</v>
      </c>
      <c r="L1385" s="4">
        <v>0</v>
      </c>
      <c r="M1385" s="4">
        <v>522.7299999999999</v>
      </c>
      <c r="N1385" s="4">
        <v>0</v>
      </c>
      <c r="O1385" s="4">
        <v>0</v>
      </c>
      <c r="P1385" s="4">
        <v>0</v>
      </c>
      <c r="Q1385" s="4">
        <v>10.61</v>
      </c>
      <c r="R1385" s="4">
        <v>386.54</v>
      </c>
      <c r="S1385" s="8">
        <f t="shared" si="63"/>
        <v>88.889999999999986</v>
      </c>
      <c r="T1385" s="8">
        <f t="shared" si="64"/>
        <v>297.65000000000003</v>
      </c>
      <c r="U1385" s="9">
        <f t="shared" si="65"/>
        <v>3.3485206434919572</v>
      </c>
    </row>
    <row r="1386" spans="1:22" outlineLevel="2">
      <c r="A1386" t="s">
        <v>427</v>
      </c>
      <c r="B1386" t="s">
        <v>428</v>
      </c>
      <c r="C1386" t="s">
        <v>93</v>
      </c>
      <c r="D1386" t="s">
        <v>94</v>
      </c>
      <c r="E1386" s="4">
        <v>200.82</v>
      </c>
      <c r="F1386" s="4">
        <v>335.57</v>
      </c>
      <c r="G1386" s="4">
        <v>411.28000000000003</v>
      </c>
      <c r="H1386" s="4">
        <v>387.48</v>
      </c>
      <c r="I1386" s="4">
        <v>130.74</v>
      </c>
      <c r="J1386" s="4">
        <v>1127.97</v>
      </c>
      <c r="K1386" s="4">
        <v>681.17000000000007</v>
      </c>
      <c r="L1386" s="4">
        <v>112.85000000000001</v>
      </c>
      <c r="M1386" s="4">
        <v>115.21000000000001</v>
      </c>
      <c r="N1386" s="4">
        <v>0</v>
      </c>
      <c r="O1386" s="4">
        <v>285.44</v>
      </c>
      <c r="P1386" s="4">
        <v>27.96</v>
      </c>
      <c r="Q1386" s="4">
        <v>0</v>
      </c>
      <c r="S1386" s="8">
        <f t="shared" si="63"/>
        <v>90.243333333333339</v>
      </c>
      <c r="T1386" s="8">
        <f t="shared" si="64"/>
        <v>-90.243333333333339</v>
      </c>
      <c r="U1386" s="9">
        <f t="shared" si="65"/>
        <v>-1</v>
      </c>
    </row>
    <row r="1387" spans="1:22" outlineLevel="1">
      <c r="A1387" s="1" t="s">
        <v>770</v>
      </c>
      <c r="E1387" s="4">
        <f>SUBTOTAL(9,E1375:E1386)</f>
        <v>5085.2299999999996</v>
      </c>
      <c r="F1387" s="4">
        <f>SUBTOTAL(9,F1375:F1386)</f>
        <v>6491.5</v>
      </c>
      <c r="G1387" s="4">
        <f>SUBTOTAL(9,G1375:G1386)</f>
        <v>14251.42</v>
      </c>
      <c r="H1387" s="4">
        <f>SUBTOTAL(9,H1375:H1386)</f>
        <v>19812.490000000002</v>
      </c>
      <c r="I1387" s="4">
        <f>SUBTOTAL(9,I1375:I1386)</f>
        <v>19160.500000000004</v>
      </c>
      <c r="J1387" s="4">
        <f>SUBTOTAL(9,J1375:J1386)</f>
        <v>6624.71</v>
      </c>
      <c r="K1387" s="4">
        <f>SUBTOTAL(9,K1375:K1386)</f>
        <v>28244.510000000002</v>
      </c>
      <c r="L1387" s="4">
        <f>SUBTOTAL(9,L1375:L1386)</f>
        <v>3197.3299999999995</v>
      </c>
      <c r="M1387" s="4">
        <f>SUBTOTAL(9,M1375:M1386)</f>
        <v>11860.119999999999</v>
      </c>
      <c r="N1387" s="4">
        <f>SUBTOTAL(9,N1375:N1386)</f>
        <v>5124.76</v>
      </c>
      <c r="O1387" s="4">
        <f>SUBTOTAL(9,O1375:O1386)</f>
        <v>6821.34</v>
      </c>
      <c r="P1387" s="4">
        <f>SUBTOTAL(9,P1375:P1386)</f>
        <v>14938.679999999998</v>
      </c>
      <c r="Q1387" s="4">
        <f>SUBTOTAL(9,Q1375:Q1386)</f>
        <v>5235.0599999999995</v>
      </c>
      <c r="R1387" s="4">
        <f>SUBTOTAL(9,R1375:R1386)</f>
        <v>5476.85</v>
      </c>
      <c r="S1387" s="8">
        <f t="shared" si="63"/>
        <v>7862.8816666666653</v>
      </c>
      <c r="T1387" s="8">
        <f t="shared" si="64"/>
        <v>-2386.0316666666649</v>
      </c>
      <c r="U1387" s="9">
        <f t="shared" si="65"/>
        <v>-0.30345511579830026</v>
      </c>
    </row>
    <row r="1388" spans="1:22" outlineLevel="2">
      <c r="A1388" t="s">
        <v>429</v>
      </c>
      <c r="B1388" t="s">
        <v>430</v>
      </c>
      <c r="C1388" t="s">
        <v>101</v>
      </c>
      <c r="D1388" t="s">
        <v>102</v>
      </c>
      <c r="E1388" s="4">
        <v>0</v>
      </c>
      <c r="F1388" s="4">
        <v>0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241017.87</v>
      </c>
      <c r="S1388" s="8">
        <f t="shared" si="63"/>
        <v>0</v>
      </c>
      <c r="T1388" s="8">
        <f t="shared" si="64"/>
        <v>241017.87</v>
      </c>
      <c r="U1388" s="9" t="e">
        <f t="shared" si="65"/>
        <v>#DIV/0!</v>
      </c>
      <c r="V1388" t="s">
        <v>895</v>
      </c>
    </row>
    <row r="1389" spans="1:22" outlineLevel="1">
      <c r="A1389" s="1" t="s">
        <v>771</v>
      </c>
      <c r="E1389" s="4">
        <f>SUBTOTAL(9,E1388:E1388)</f>
        <v>0</v>
      </c>
      <c r="F1389" s="4">
        <f>SUBTOTAL(9,F1388:F1388)</f>
        <v>0</v>
      </c>
      <c r="G1389" s="4">
        <f>SUBTOTAL(9,G1388:G1388)</f>
        <v>0</v>
      </c>
      <c r="H1389" s="4">
        <f>SUBTOTAL(9,H1388:H1388)</f>
        <v>0</v>
      </c>
      <c r="I1389" s="4">
        <f>SUBTOTAL(9,I1388:I1388)</f>
        <v>0</v>
      </c>
      <c r="J1389" s="4">
        <f>SUBTOTAL(9,J1388:J1388)</f>
        <v>0</v>
      </c>
      <c r="K1389" s="4">
        <f>SUBTOTAL(9,K1388:K1388)</f>
        <v>0</v>
      </c>
      <c r="L1389" s="4">
        <f>SUBTOTAL(9,L1388:L1388)</f>
        <v>0</v>
      </c>
      <c r="M1389" s="4">
        <f>SUBTOTAL(9,M1388:M1388)</f>
        <v>0</v>
      </c>
      <c r="N1389" s="4">
        <f>SUBTOTAL(9,N1388:N1388)</f>
        <v>0</v>
      </c>
      <c r="O1389" s="4">
        <f>SUBTOTAL(9,O1388:O1388)</f>
        <v>0</v>
      </c>
      <c r="P1389" s="4">
        <f>SUBTOTAL(9,P1388:P1388)</f>
        <v>0</v>
      </c>
      <c r="Q1389" s="4">
        <f>SUBTOTAL(9,Q1388:Q1388)</f>
        <v>0</v>
      </c>
      <c r="R1389" s="4">
        <f>SUBTOTAL(9,R1388:R1388)</f>
        <v>241017.87</v>
      </c>
      <c r="S1389" s="8">
        <f t="shared" si="63"/>
        <v>0</v>
      </c>
      <c r="T1389" s="8">
        <f t="shared" si="64"/>
        <v>241017.87</v>
      </c>
      <c r="U1389" s="9" t="e">
        <f t="shared" si="65"/>
        <v>#DIV/0!</v>
      </c>
      <c r="V1389" t="s">
        <v>895</v>
      </c>
    </row>
    <row r="1390" spans="1:22" outlineLevel="2">
      <c r="A1390" t="s">
        <v>431</v>
      </c>
      <c r="B1390" t="s">
        <v>432</v>
      </c>
      <c r="C1390" t="s">
        <v>69</v>
      </c>
      <c r="D1390" t="s">
        <v>70</v>
      </c>
      <c r="E1390" s="4">
        <v>0</v>
      </c>
      <c r="F1390" s="4">
        <v>0</v>
      </c>
      <c r="G1390" s="4">
        <v>0</v>
      </c>
      <c r="H1390" s="4">
        <v>-97.34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S1390" s="8">
        <f t="shared" si="63"/>
        <v>0</v>
      </c>
      <c r="T1390" s="8">
        <f t="shared" si="64"/>
        <v>0</v>
      </c>
      <c r="U1390" s="9" t="e">
        <f t="shared" si="65"/>
        <v>#DIV/0!</v>
      </c>
    </row>
    <row r="1391" spans="1:22" outlineLevel="1">
      <c r="A1391" s="1" t="s">
        <v>772</v>
      </c>
      <c r="E1391" s="4">
        <f>SUBTOTAL(9,E1390:E1390)</f>
        <v>0</v>
      </c>
      <c r="F1391" s="4">
        <f>SUBTOTAL(9,F1390:F1390)</f>
        <v>0</v>
      </c>
      <c r="G1391" s="4">
        <f>SUBTOTAL(9,G1390:G1390)</f>
        <v>0</v>
      </c>
      <c r="H1391" s="4">
        <f>SUBTOTAL(9,H1390:H1390)</f>
        <v>-97.34</v>
      </c>
      <c r="I1391" s="4">
        <f>SUBTOTAL(9,I1390:I1390)</f>
        <v>0</v>
      </c>
      <c r="J1391" s="4">
        <f>SUBTOTAL(9,J1390:J1390)</f>
        <v>0</v>
      </c>
      <c r="K1391" s="4">
        <f>SUBTOTAL(9,K1390:K1390)</f>
        <v>0</v>
      </c>
      <c r="L1391" s="4">
        <f>SUBTOTAL(9,L1390:L1390)</f>
        <v>0</v>
      </c>
      <c r="M1391" s="4">
        <f>SUBTOTAL(9,M1390:M1390)</f>
        <v>0</v>
      </c>
      <c r="N1391" s="4">
        <f>SUBTOTAL(9,N1390:N1390)</f>
        <v>0</v>
      </c>
      <c r="O1391" s="4">
        <f>SUBTOTAL(9,O1390:O1390)</f>
        <v>0</v>
      </c>
      <c r="P1391" s="4">
        <f>SUBTOTAL(9,P1390:P1390)</f>
        <v>0</v>
      </c>
      <c r="Q1391" s="4">
        <f>SUBTOTAL(9,Q1390:Q1390)</f>
        <v>0</v>
      </c>
      <c r="R1391" s="4">
        <f>SUBTOTAL(9,R1390:R1390)</f>
        <v>0</v>
      </c>
      <c r="S1391" s="8">
        <f t="shared" si="63"/>
        <v>0</v>
      </c>
      <c r="T1391" s="8">
        <f t="shared" si="64"/>
        <v>0</v>
      </c>
      <c r="U1391" s="9" t="e">
        <f t="shared" si="65"/>
        <v>#DIV/0!</v>
      </c>
    </row>
    <row r="1392" spans="1:22" outlineLevel="2">
      <c r="A1392" t="s">
        <v>433</v>
      </c>
      <c r="B1392" t="s">
        <v>295</v>
      </c>
      <c r="C1392" t="s">
        <v>296</v>
      </c>
      <c r="D1392" t="s">
        <v>297</v>
      </c>
      <c r="E1392" s="4">
        <v>-10295</v>
      </c>
      <c r="F1392" s="4">
        <v>0</v>
      </c>
      <c r="G1392" s="4">
        <v>0</v>
      </c>
      <c r="H1392" s="4">
        <v>-76.53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-2094.5</v>
      </c>
      <c r="S1392" s="8">
        <f t="shared" si="63"/>
        <v>-349.08333333333331</v>
      </c>
      <c r="T1392" s="8">
        <f t="shared" si="64"/>
        <v>349.08333333333331</v>
      </c>
      <c r="U1392" s="9">
        <f t="shared" si="65"/>
        <v>-1</v>
      </c>
    </row>
    <row r="1393" spans="1:22" outlineLevel="1">
      <c r="A1393" s="1" t="s">
        <v>773</v>
      </c>
      <c r="E1393" s="4">
        <f>SUBTOTAL(9,E1392:E1392)</f>
        <v>-10295</v>
      </c>
      <c r="F1393" s="4">
        <f>SUBTOTAL(9,F1392:F1392)</f>
        <v>0</v>
      </c>
      <c r="G1393" s="4">
        <f>SUBTOTAL(9,G1392:G1392)</f>
        <v>0</v>
      </c>
      <c r="H1393" s="4">
        <f>SUBTOTAL(9,H1392:H1392)</f>
        <v>-76.53</v>
      </c>
      <c r="I1393" s="4">
        <f>SUBTOTAL(9,I1392:I1392)</f>
        <v>0</v>
      </c>
      <c r="J1393" s="4">
        <f>SUBTOTAL(9,J1392:J1392)</f>
        <v>0</v>
      </c>
      <c r="K1393" s="4">
        <f>SUBTOTAL(9,K1392:K1392)</f>
        <v>0</v>
      </c>
      <c r="L1393" s="4">
        <f>SUBTOTAL(9,L1392:L1392)</f>
        <v>0</v>
      </c>
      <c r="M1393" s="4">
        <f>SUBTOTAL(9,M1392:M1392)</f>
        <v>0</v>
      </c>
      <c r="N1393" s="4">
        <f>SUBTOTAL(9,N1392:N1392)</f>
        <v>0</v>
      </c>
      <c r="O1393" s="4">
        <f>SUBTOTAL(9,O1392:O1392)</f>
        <v>0</v>
      </c>
      <c r="P1393" s="4">
        <f>SUBTOTAL(9,P1392:P1392)</f>
        <v>0</v>
      </c>
      <c r="Q1393" s="4">
        <f>SUBTOTAL(9,Q1392:Q1392)</f>
        <v>-2094.5</v>
      </c>
      <c r="R1393" s="4">
        <f>SUBTOTAL(9,R1392:R1392)</f>
        <v>0</v>
      </c>
      <c r="S1393" s="8">
        <f t="shared" si="63"/>
        <v>-349.08333333333331</v>
      </c>
      <c r="T1393" s="8">
        <f t="shared" si="64"/>
        <v>349.08333333333331</v>
      </c>
      <c r="U1393" s="9">
        <f t="shared" si="65"/>
        <v>-1</v>
      </c>
    </row>
    <row r="1394" spans="1:22" outlineLevel="2">
      <c r="A1394" t="s">
        <v>434</v>
      </c>
      <c r="B1394" t="s">
        <v>279</v>
      </c>
      <c r="C1394" t="s">
        <v>168</v>
      </c>
      <c r="D1394" t="s">
        <v>169</v>
      </c>
      <c r="E1394" s="4">
        <v>1889.0999999999985</v>
      </c>
      <c r="F1394" s="4">
        <v>30181.95</v>
      </c>
      <c r="G1394" s="4">
        <v>47889.849999999991</v>
      </c>
      <c r="H1394" s="4">
        <v>6493.5000000000009</v>
      </c>
      <c r="I1394" s="4">
        <v>54070.75</v>
      </c>
      <c r="J1394" s="4">
        <v>33167.79</v>
      </c>
      <c r="K1394" s="4">
        <v>-10669.750000000002</v>
      </c>
      <c r="L1394" s="4">
        <v>10491.75</v>
      </c>
      <c r="M1394" s="4">
        <v>1449.0000000000002</v>
      </c>
      <c r="N1394" s="4">
        <v>-2.2737367544323206E-13</v>
      </c>
      <c r="O1394" s="4">
        <v>16632.75</v>
      </c>
      <c r="P1394" s="4">
        <v>24410.25</v>
      </c>
      <c r="Q1394" s="4">
        <v>4521.75</v>
      </c>
      <c r="R1394" s="4">
        <v>15533</v>
      </c>
      <c r="S1394" s="8">
        <f t="shared" si="63"/>
        <v>9584.25</v>
      </c>
      <c r="T1394" s="8">
        <f t="shared" si="64"/>
        <v>5948.75</v>
      </c>
      <c r="U1394" s="9">
        <f t="shared" si="65"/>
        <v>0.62067976106633282</v>
      </c>
    </row>
    <row r="1395" spans="1:22" outlineLevel="2">
      <c r="A1395" t="s">
        <v>434</v>
      </c>
      <c r="B1395" t="s">
        <v>279</v>
      </c>
      <c r="C1395" t="s">
        <v>127</v>
      </c>
      <c r="D1395" t="s">
        <v>120</v>
      </c>
      <c r="E1395" s="4">
        <v>0</v>
      </c>
      <c r="F1395" s="4">
        <v>0</v>
      </c>
      <c r="G1395" s="4">
        <v>0</v>
      </c>
      <c r="H1395" s="4">
        <v>0</v>
      </c>
      <c r="I1395" s="4">
        <v>0</v>
      </c>
      <c r="J1395" s="4">
        <v>0</v>
      </c>
      <c r="K1395" s="4">
        <v>60000</v>
      </c>
      <c r="L1395" s="4">
        <v>0</v>
      </c>
      <c r="M1395" s="4">
        <v>0</v>
      </c>
      <c r="N1395" s="4">
        <v>0</v>
      </c>
      <c r="O1395" s="4">
        <v>0</v>
      </c>
      <c r="P1395" s="4">
        <v>0</v>
      </c>
      <c r="Q1395" s="4">
        <v>-60000</v>
      </c>
      <c r="R1395" s="4">
        <v>60000</v>
      </c>
      <c r="S1395" s="8">
        <f t="shared" si="63"/>
        <v>-10000</v>
      </c>
      <c r="T1395" s="8">
        <f t="shared" si="64"/>
        <v>70000</v>
      </c>
      <c r="U1395" s="9">
        <f t="shared" si="65"/>
        <v>-7</v>
      </c>
      <c r="V1395" t="s">
        <v>896</v>
      </c>
    </row>
    <row r="1396" spans="1:22" outlineLevel="1">
      <c r="A1396" s="1" t="s">
        <v>774</v>
      </c>
      <c r="E1396" s="4">
        <f>SUBTOTAL(9,E1394:E1395)</f>
        <v>1889.0999999999985</v>
      </c>
      <c r="F1396" s="4">
        <f>SUBTOTAL(9,F1394:F1395)</f>
        <v>30181.95</v>
      </c>
      <c r="G1396" s="4">
        <f>SUBTOTAL(9,G1394:G1395)</f>
        <v>47889.849999999991</v>
      </c>
      <c r="H1396" s="4">
        <f>SUBTOTAL(9,H1394:H1395)</f>
        <v>6493.5000000000009</v>
      </c>
      <c r="I1396" s="4">
        <f>SUBTOTAL(9,I1394:I1395)</f>
        <v>54070.75</v>
      </c>
      <c r="J1396" s="4">
        <f>SUBTOTAL(9,J1394:J1395)</f>
        <v>33167.79</v>
      </c>
      <c r="K1396" s="4">
        <f>SUBTOTAL(9,K1394:K1395)</f>
        <v>49330.25</v>
      </c>
      <c r="L1396" s="4">
        <f>SUBTOTAL(9,L1394:L1395)</f>
        <v>10491.75</v>
      </c>
      <c r="M1396" s="4">
        <f>SUBTOTAL(9,M1394:M1395)</f>
        <v>1449.0000000000002</v>
      </c>
      <c r="N1396" s="4">
        <f>SUBTOTAL(9,N1394:N1395)</f>
        <v>-2.2737367544323206E-13</v>
      </c>
      <c r="O1396" s="4">
        <f>SUBTOTAL(9,O1394:O1395)</f>
        <v>16632.75</v>
      </c>
      <c r="P1396" s="4">
        <f>SUBTOTAL(9,P1394:P1395)</f>
        <v>24410.25</v>
      </c>
      <c r="Q1396" s="4">
        <f>SUBTOTAL(9,Q1394:Q1395)</f>
        <v>-55478.25</v>
      </c>
      <c r="R1396" s="4">
        <f>SUBTOTAL(9,R1394:R1395)</f>
        <v>75533</v>
      </c>
      <c r="S1396" s="8">
        <f t="shared" si="63"/>
        <v>-415.75</v>
      </c>
      <c r="T1396" s="8">
        <f t="shared" si="64"/>
        <v>75948.75</v>
      </c>
      <c r="U1396" s="9">
        <f t="shared" si="65"/>
        <v>-182.67889356584485</v>
      </c>
      <c r="V1396" t="s">
        <v>896</v>
      </c>
    </row>
    <row r="1397" spans="1:22" outlineLevel="2">
      <c r="A1397" t="s">
        <v>435</v>
      </c>
      <c r="B1397" t="s">
        <v>436</v>
      </c>
      <c r="C1397" t="s">
        <v>23</v>
      </c>
      <c r="D1397" t="s">
        <v>24</v>
      </c>
      <c r="E1397" s="4">
        <v>0</v>
      </c>
      <c r="F1397" s="4">
        <v>0</v>
      </c>
      <c r="G1397" s="4">
        <v>0</v>
      </c>
      <c r="H1397" s="4">
        <v>0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828.43</v>
      </c>
      <c r="S1397" s="8">
        <f t="shared" si="63"/>
        <v>0</v>
      </c>
      <c r="T1397" s="8">
        <f t="shared" si="64"/>
        <v>828.43</v>
      </c>
      <c r="U1397" s="9" t="e">
        <f t="shared" si="65"/>
        <v>#DIV/0!</v>
      </c>
      <c r="V1397" t="s">
        <v>895</v>
      </c>
    </row>
    <row r="1398" spans="1:22" outlineLevel="1">
      <c r="A1398" s="1" t="s">
        <v>775</v>
      </c>
      <c r="E1398" s="4">
        <f>SUBTOTAL(9,E1397:E1397)</f>
        <v>0</v>
      </c>
      <c r="F1398" s="4">
        <f>SUBTOTAL(9,F1397:F1397)</f>
        <v>0</v>
      </c>
      <c r="G1398" s="4">
        <f>SUBTOTAL(9,G1397:G1397)</f>
        <v>0</v>
      </c>
      <c r="H1398" s="4">
        <f>SUBTOTAL(9,H1397:H1397)</f>
        <v>0</v>
      </c>
      <c r="I1398" s="4">
        <f>SUBTOTAL(9,I1397:I1397)</f>
        <v>0</v>
      </c>
      <c r="J1398" s="4">
        <f>SUBTOTAL(9,J1397:J1397)</f>
        <v>0</v>
      </c>
      <c r="K1398" s="4">
        <f>SUBTOTAL(9,K1397:K1397)</f>
        <v>0</v>
      </c>
      <c r="L1398" s="4">
        <f>SUBTOTAL(9,L1397:L1397)</f>
        <v>0</v>
      </c>
      <c r="M1398" s="4">
        <f>SUBTOTAL(9,M1397:M1397)</f>
        <v>0</v>
      </c>
      <c r="N1398" s="4">
        <f>SUBTOTAL(9,N1397:N1397)</f>
        <v>0</v>
      </c>
      <c r="O1398" s="4">
        <f>SUBTOTAL(9,O1397:O1397)</f>
        <v>0</v>
      </c>
      <c r="P1398" s="4">
        <f>SUBTOTAL(9,P1397:P1397)</f>
        <v>0</v>
      </c>
      <c r="Q1398" s="4">
        <f>SUBTOTAL(9,Q1397:Q1397)</f>
        <v>0</v>
      </c>
      <c r="R1398" s="4">
        <f>SUBTOTAL(9,R1397:R1397)</f>
        <v>828.43</v>
      </c>
      <c r="S1398" s="8">
        <f t="shared" si="63"/>
        <v>0</v>
      </c>
      <c r="T1398" s="8">
        <f t="shared" si="64"/>
        <v>828.43</v>
      </c>
      <c r="U1398" s="9" t="e">
        <f t="shared" si="65"/>
        <v>#DIV/0!</v>
      </c>
      <c r="V1398" t="s">
        <v>895</v>
      </c>
    </row>
    <row r="1399" spans="1:22" outlineLevel="2">
      <c r="A1399" t="s">
        <v>437</v>
      </c>
      <c r="B1399" t="s">
        <v>438</v>
      </c>
      <c r="C1399" t="s">
        <v>136</v>
      </c>
      <c r="D1399" t="s">
        <v>137</v>
      </c>
      <c r="E1399" s="4">
        <v>12087.59</v>
      </c>
      <c r="F1399" s="4">
        <v>12087.59</v>
      </c>
      <c r="G1399" s="4">
        <v>12087.59</v>
      </c>
      <c r="H1399" s="4">
        <v>12087.59</v>
      </c>
      <c r="I1399" s="4">
        <v>12087.59</v>
      </c>
      <c r="J1399" s="4">
        <v>12087.59</v>
      </c>
      <c r="K1399" s="4">
        <v>12087.59</v>
      </c>
      <c r="L1399" s="4">
        <v>12087.59</v>
      </c>
      <c r="M1399" s="4">
        <v>24175.18</v>
      </c>
      <c r="N1399" s="4">
        <v>0</v>
      </c>
      <c r="O1399" s="4">
        <v>12087.59</v>
      </c>
      <c r="P1399" s="4">
        <v>24175.18</v>
      </c>
      <c r="Q1399" s="4">
        <v>12087.59</v>
      </c>
      <c r="R1399" s="4">
        <v>12087.59</v>
      </c>
      <c r="S1399" s="8">
        <f t="shared" si="63"/>
        <v>14102.188333333334</v>
      </c>
      <c r="T1399" s="8">
        <f t="shared" si="64"/>
        <v>-2014.5983333333334</v>
      </c>
      <c r="U1399" s="9">
        <f t="shared" si="65"/>
        <v>-0.14285714285714285</v>
      </c>
    </row>
    <row r="1400" spans="1:22" outlineLevel="2">
      <c r="A1400" t="s">
        <v>437</v>
      </c>
      <c r="B1400" t="s">
        <v>438</v>
      </c>
      <c r="C1400" t="s">
        <v>144</v>
      </c>
      <c r="D1400" t="s">
        <v>145</v>
      </c>
      <c r="E1400" s="4">
        <v>934.41</v>
      </c>
      <c r="F1400" s="4">
        <v>934.41</v>
      </c>
      <c r="G1400" s="4">
        <v>934.41</v>
      </c>
      <c r="H1400" s="4">
        <v>934.41</v>
      </c>
      <c r="I1400" s="4">
        <v>934.41</v>
      </c>
      <c r="J1400" s="4">
        <v>934.41</v>
      </c>
      <c r="K1400" s="4">
        <v>934.41</v>
      </c>
      <c r="L1400" s="4">
        <v>934.41</v>
      </c>
      <c r="M1400" s="4">
        <v>1868.82</v>
      </c>
      <c r="N1400" s="4">
        <v>0</v>
      </c>
      <c r="O1400" s="4">
        <v>934.41</v>
      </c>
      <c r="P1400" s="4">
        <v>1868.82</v>
      </c>
      <c r="Q1400" s="4">
        <v>934.41</v>
      </c>
      <c r="R1400" s="4">
        <v>934.41</v>
      </c>
      <c r="S1400" s="8">
        <f t="shared" si="63"/>
        <v>1090.145</v>
      </c>
      <c r="T1400" s="8">
        <f t="shared" si="64"/>
        <v>-155.73500000000001</v>
      </c>
      <c r="U1400" s="9">
        <f t="shared" si="65"/>
        <v>-0.14285714285714288</v>
      </c>
    </row>
    <row r="1401" spans="1:22" outlineLevel="2">
      <c r="A1401" t="s">
        <v>437</v>
      </c>
      <c r="B1401" t="s">
        <v>438</v>
      </c>
      <c r="C1401" t="s">
        <v>152</v>
      </c>
      <c r="D1401" t="s">
        <v>153</v>
      </c>
      <c r="E1401" s="4">
        <v>918.16</v>
      </c>
      <c r="F1401" s="4">
        <v>918.16</v>
      </c>
      <c r="G1401" s="4">
        <v>918.16</v>
      </c>
      <c r="H1401" s="4">
        <v>918.16</v>
      </c>
      <c r="I1401" s="4">
        <v>918.16</v>
      </c>
      <c r="J1401" s="4">
        <v>918.16</v>
      </c>
      <c r="K1401" s="4">
        <v>918.16</v>
      </c>
      <c r="L1401" s="4">
        <v>918.16</v>
      </c>
      <c r="M1401" s="4">
        <v>1836.32</v>
      </c>
      <c r="N1401" s="4">
        <v>0</v>
      </c>
      <c r="O1401" s="4">
        <v>918.16</v>
      </c>
      <c r="P1401" s="4">
        <v>1836.32</v>
      </c>
      <c r="Q1401" s="4">
        <v>918.16</v>
      </c>
      <c r="R1401" s="4">
        <v>918.16</v>
      </c>
      <c r="S1401" s="8">
        <f t="shared" si="63"/>
        <v>1071.1866666666667</v>
      </c>
      <c r="T1401" s="8">
        <f t="shared" si="64"/>
        <v>-153.02666666666676</v>
      </c>
      <c r="U1401" s="9">
        <f t="shared" si="65"/>
        <v>-0.14285714285714293</v>
      </c>
    </row>
    <row r="1402" spans="1:22" outlineLevel="1">
      <c r="A1402" s="1" t="s">
        <v>776</v>
      </c>
      <c r="E1402" s="4">
        <f>SUBTOTAL(9,E1399:E1401)</f>
        <v>13940.16</v>
      </c>
      <c r="F1402" s="4">
        <f>SUBTOTAL(9,F1399:F1401)</f>
        <v>13940.16</v>
      </c>
      <c r="G1402" s="4">
        <f>SUBTOTAL(9,G1399:G1401)</f>
        <v>13940.16</v>
      </c>
      <c r="H1402" s="4">
        <f>SUBTOTAL(9,H1399:H1401)</f>
        <v>13940.16</v>
      </c>
      <c r="I1402" s="4">
        <f>SUBTOTAL(9,I1399:I1401)</f>
        <v>13940.16</v>
      </c>
      <c r="J1402" s="4">
        <f>SUBTOTAL(9,J1399:J1401)</f>
        <v>13940.16</v>
      </c>
      <c r="K1402" s="4">
        <f>SUBTOTAL(9,K1399:K1401)</f>
        <v>13940.16</v>
      </c>
      <c r="L1402" s="4">
        <f>SUBTOTAL(9,L1399:L1401)</f>
        <v>13940.16</v>
      </c>
      <c r="M1402" s="4">
        <f>SUBTOTAL(9,M1399:M1401)</f>
        <v>27880.32</v>
      </c>
      <c r="N1402" s="4">
        <f>SUBTOTAL(9,N1399:N1401)</f>
        <v>0</v>
      </c>
      <c r="O1402" s="4">
        <f>SUBTOTAL(9,O1399:O1401)</f>
        <v>13940.16</v>
      </c>
      <c r="P1402" s="4">
        <f>SUBTOTAL(9,P1399:P1401)</f>
        <v>27880.32</v>
      </c>
      <c r="Q1402" s="4">
        <f>SUBTOTAL(9,Q1399:Q1401)</f>
        <v>13940.16</v>
      </c>
      <c r="R1402" s="4">
        <f>SUBTOTAL(9,R1399:R1401)</f>
        <v>13940.16</v>
      </c>
      <c r="S1402" s="8">
        <f t="shared" si="63"/>
        <v>16263.519999999999</v>
      </c>
      <c r="T1402" s="8">
        <f t="shared" si="64"/>
        <v>-2323.3599999999988</v>
      </c>
      <c r="U1402" s="9">
        <f t="shared" si="65"/>
        <v>-0.14285714285714279</v>
      </c>
    </row>
    <row r="1403" spans="1:22" outlineLevel="2">
      <c r="A1403" t="s">
        <v>439</v>
      </c>
      <c r="B1403" t="s">
        <v>440</v>
      </c>
      <c r="C1403" t="s">
        <v>19</v>
      </c>
      <c r="D1403" t="s">
        <v>20</v>
      </c>
      <c r="E1403" s="4">
        <v>0</v>
      </c>
      <c r="F1403" s="4">
        <v>87.64</v>
      </c>
      <c r="G1403" s="4">
        <v>0</v>
      </c>
      <c r="H1403" s="4">
        <v>0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S1403" s="8">
        <f t="shared" si="63"/>
        <v>0</v>
      </c>
      <c r="T1403" s="8">
        <f t="shared" si="64"/>
        <v>0</v>
      </c>
      <c r="U1403" s="9" t="e">
        <f t="shared" si="65"/>
        <v>#DIV/0!</v>
      </c>
    </row>
    <row r="1404" spans="1:22" outlineLevel="2">
      <c r="A1404" t="s">
        <v>439</v>
      </c>
      <c r="B1404" t="s">
        <v>440</v>
      </c>
      <c r="C1404" t="s">
        <v>136</v>
      </c>
      <c r="D1404" t="s">
        <v>137</v>
      </c>
      <c r="E1404" s="4">
        <v>476.52</v>
      </c>
      <c r="F1404" s="4">
        <v>93.19</v>
      </c>
      <c r="G1404" s="4">
        <v>-299.51</v>
      </c>
      <c r="H1404" s="4">
        <v>-215.82</v>
      </c>
      <c r="I1404" s="4">
        <v>-9.24</v>
      </c>
      <c r="J1404" s="4">
        <v>2882.69</v>
      </c>
      <c r="K1404" s="4">
        <v>-522.41</v>
      </c>
      <c r="L1404" s="4">
        <v>-13.86</v>
      </c>
      <c r="M1404" s="4">
        <v>22397.88</v>
      </c>
      <c r="N1404" s="4">
        <v>447.8</v>
      </c>
      <c r="O1404" s="4">
        <v>-466.28</v>
      </c>
      <c r="P1404" s="4">
        <v>-22416.36</v>
      </c>
      <c r="Q1404" s="4">
        <v>-13.86</v>
      </c>
      <c r="R1404" s="4">
        <v>970.18</v>
      </c>
      <c r="S1404" s="8">
        <f t="shared" si="63"/>
        <v>-10.779999999999951</v>
      </c>
      <c r="T1404" s="8">
        <f t="shared" si="64"/>
        <v>980.95999999999992</v>
      </c>
      <c r="U1404" s="9">
        <f t="shared" si="65"/>
        <v>-90.998144712430829</v>
      </c>
    </row>
    <row r="1405" spans="1:22" outlineLevel="2">
      <c r="A1405" t="s">
        <v>439</v>
      </c>
      <c r="B1405" t="s">
        <v>440</v>
      </c>
      <c r="C1405" t="s">
        <v>441</v>
      </c>
      <c r="D1405" t="s">
        <v>442</v>
      </c>
      <c r="E1405" s="4">
        <v>0</v>
      </c>
      <c r="F1405" s="4">
        <v>0</v>
      </c>
      <c r="G1405" s="4">
        <v>62656.800000000003</v>
      </c>
      <c r="H1405" s="4">
        <v>0</v>
      </c>
      <c r="I1405" s="4">
        <v>0</v>
      </c>
      <c r="J1405" s="4">
        <v>159723.47</v>
      </c>
      <c r="K1405" s="4">
        <v>0</v>
      </c>
      <c r="L1405" s="4">
        <v>0</v>
      </c>
      <c r="M1405" s="4">
        <v>-487731.26</v>
      </c>
      <c r="N1405" s="4">
        <v>0</v>
      </c>
      <c r="O1405" s="4">
        <v>0</v>
      </c>
      <c r="P1405" s="4">
        <v>137458.44</v>
      </c>
      <c r="Q1405" s="4">
        <v>0</v>
      </c>
      <c r="S1405" s="8">
        <f t="shared" si="63"/>
        <v>-58378.803333333337</v>
      </c>
      <c r="T1405" s="8">
        <f t="shared" si="64"/>
        <v>58378.803333333337</v>
      </c>
      <c r="U1405" s="9">
        <f t="shared" si="65"/>
        <v>-1</v>
      </c>
    </row>
    <row r="1406" spans="1:22" outlineLevel="2">
      <c r="A1406" t="s">
        <v>439</v>
      </c>
      <c r="B1406" t="s">
        <v>440</v>
      </c>
      <c r="C1406" t="s">
        <v>230</v>
      </c>
      <c r="D1406" t="s">
        <v>231</v>
      </c>
      <c r="E1406" s="4">
        <v>0</v>
      </c>
      <c r="F1406" s="4">
        <v>-41132.450000000004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S1406" s="8">
        <f t="shared" si="63"/>
        <v>0</v>
      </c>
      <c r="T1406" s="8">
        <f t="shared" si="64"/>
        <v>0</v>
      </c>
      <c r="U1406" s="9" t="e">
        <f t="shared" si="65"/>
        <v>#DIV/0!</v>
      </c>
    </row>
    <row r="1407" spans="1:22" outlineLevel="2">
      <c r="A1407" t="s">
        <v>439</v>
      </c>
      <c r="B1407" t="s">
        <v>440</v>
      </c>
      <c r="C1407" t="s">
        <v>218</v>
      </c>
      <c r="D1407" t="s">
        <v>219</v>
      </c>
      <c r="E1407" s="4">
        <v>0</v>
      </c>
      <c r="F1407" s="4">
        <v>0</v>
      </c>
      <c r="G1407" s="4">
        <v>-1073.3</v>
      </c>
      <c r="H1407" s="4">
        <v>0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S1407" s="8">
        <f t="shared" si="63"/>
        <v>0</v>
      </c>
      <c r="T1407" s="8">
        <f t="shared" si="64"/>
        <v>0</v>
      </c>
      <c r="U1407" s="9" t="e">
        <f t="shared" si="65"/>
        <v>#DIV/0!</v>
      </c>
    </row>
    <row r="1408" spans="1:22" outlineLevel="2">
      <c r="A1408" t="s">
        <v>439</v>
      </c>
      <c r="B1408" t="s">
        <v>440</v>
      </c>
      <c r="C1408" t="s">
        <v>234</v>
      </c>
      <c r="D1408" t="s">
        <v>235</v>
      </c>
      <c r="E1408" s="4">
        <v>4.5474735088646412E-13</v>
      </c>
      <c r="F1408" s="4">
        <v>4014.4500000000003</v>
      </c>
      <c r="G1408" s="4">
        <v>4014.4500000000003</v>
      </c>
      <c r="H1408" s="4">
        <v>4014.4500000000003</v>
      </c>
      <c r="I1408" s="4">
        <v>4014.4500000000003</v>
      </c>
      <c r="J1408" s="4">
        <v>4454.59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S1408" s="8">
        <f t="shared" si="63"/>
        <v>0</v>
      </c>
      <c r="T1408" s="8">
        <f t="shared" si="64"/>
        <v>0</v>
      </c>
      <c r="U1408" s="9" t="e">
        <f t="shared" si="65"/>
        <v>#DIV/0!</v>
      </c>
    </row>
    <row r="1409" spans="1:22" outlineLevel="2">
      <c r="A1409" t="s">
        <v>439</v>
      </c>
      <c r="B1409" t="s">
        <v>440</v>
      </c>
      <c r="C1409" t="s">
        <v>47</v>
      </c>
      <c r="D1409" t="s">
        <v>48</v>
      </c>
      <c r="E1409" s="4">
        <v>-59.760000000009313</v>
      </c>
      <c r="F1409" s="4">
        <v>-59.760000000009313</v>
      </c>
      <c r="G1409" s="4">
        <v>-59.760000000009313</v>
      </c>
      <c r="H1409" s="4">
        <v>-59.760000000009313</v>
      </c>
      <c r="I1409" s="4">
        <v>-59.760000000009313</v>
      </c>
      <c r="J1409" s="4">
        <v>-59.760000000009313</v>
      </c>
      <c r="K1409" s="4">
        <v>-59.75</v>
      </c>
      <c r="L1409" s="4">
        <v>-59.760000000009313</v>
      </c>
      <c r="M1409" s="4">
        <v>-59.760000000009313</v>
      </c>
      <c r="N1409" s="4">
        <v>-59.75</v>
      </c>
      <c r="O1409" s="4">
        <v>-59.760000000009313</v>
      </c>
      <c r="P1409" s="4">
        <v>-59.75</v>
      </c>
      <c r="Q1409" s="4">
        <v>-1.0000000009313226E-2</v>
      </c>
      <c r="R1409" s="4">
        <v>-1.0913936421275139E-11</v>
      </c>
      <c r="S1409" s="8">
        <f t="shared" si="63"/>
        <v>-49.798333333339542</v>
      </c>
      <c r="T1409" s="8">
        <f t="shared" si="64"/>
        <v>49.798333333328628</v>
      </c>
      <c r="U1409" s="9">
        <f t="shared" si="65"/>
        <v>-0.99999999999978084</v>
      </c>
    </row>
    <row r="1410" spans="1:22" outlineLevel="2">
      <c r="A1410" t="s">
        <v>439</v>
      </c>
      <c r="B1410" t="s">
        <v>440</v>
      </c>
      <c r="C1410" t="s">
        <v>49</v>
      </c>
      <c r="D1410" t="s">
        <v>50</v>
      </c>
      <c r="E1410" s="4">
        <v>108885.55</v>
      </c>
      <c r="F1410" s="4">
        <v>0</v>
      </c>
      <c r="G1410" s="4">
        <v>108050.94</v>
      </c>
      <c r="H1410" s="4">
        <v>-13063.38</v>
      </c>
      <c r="I1410" s="4">
        <v>2.7284841053187847E-12</v>
      </c>
      <c r="J1410" s="4">
        <v>0</v>
      </c>
      <c r="K1410" s="4">
        <v>-12711.880000000005</v>
      </c>
      <c r="L1410" s="4">
        <v>0</v>
      </c>
      <c r="M1410" s="4">
        <v>95339.06</v>
      </c>
      <c r="N1410" s="4">
        <v>-108050.94</v>
      </c>
      <c r="O1410" s="4">
        <v>-6355.94</v>
      </c>
      <c r="P1410" s="4">
        <v>0</v>
      </c>
      <c r="Q1410" s="4">
        <v>101695</v>
      </c>
      <c r="R1410" s="4">
        <v>-114406.88</v>
      </c>
      <c r="S1410" s="8">
        <f t="shared" si="63"/>
        <v>13771.196666666665</v>
      </c>
      <c r="T1410" s="8">
        <f t="shared" si="64"/>
        <v>-128178.07666666668</v>
      </c>
      <c r="U1410" s="9">
        <f t="shared" si="65"/>
        <v>-9.3076934248512426</v>
      </c>
      <c r="V1410" t="s">
        <v>897</v>
      </c>
    </row>
    <row r="1411" spans="1:22" outlineLevel="2">
      <c r="A1411" t="s">
        <v>439</v>
      </c>
      <c r="B1411" t="s">
        <v>440</v>
      </c>
      <c r="C1411" t="s">
        <v>164</v>
      </c>
      <c r="D1411" t="s">
        <v>165</v>
      </c>
      <c r="E1411" s="4">
        <v>0</v>
      </c>
      <c r="F1411" s="4">
        <v>0</v>
      </c>
      <c r="G1411" s="4">
        <v>9.65</v>
      </c>
      <c r="H1411" s="4">
        <v>0</v>
      </c>
      <c r="I1411" s="4">
        <v>0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S1411" s="8">
        <f t="shared" ref="S1411:S1474" si="66">AVERAGE(L1411:Q1411)</f>
        <v>0</v>
      </c>
      <c r="T1411" s="8">
        <f t="shared" ref="T1411:T1474" si="67">R1411-S1411</f>
        <v>0</v>
      </c>
      <c r="U1411" s="9" t="e">
        <f t="shared" ref="U1411:U1474" si="68">(R1411-S1411)/S1411</f>
        <v>#DIV/0!</v>
      </c>
    </row>
    <row r="1412" spans="1:22" outlineLevel="2">
      <c r="A1412" t="s">
        <v>439</v>
      </c>
      <c r="B1412" t="s">
        <v>440</v>
      </c>
      <c r="C1412" t="s">
        <v>53</v>
      </c>
      <c r="D1412" t="s">
        <v>54</v>
      </c>
      <c r="E1412" s="4">
        <v>0</v>
      </c>
      <c r="F1412" s="4">
        <v>0</v>
      </c>
      <c r="G1412" s="4">
        <v>17.11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S1412" s="8">
        <f t="shared" si="66"/>
        <v>0</v>
      </c>
      <c r="T1412" s="8">
        <f t="shared" si="67"/>
        <v>0</v>
      </c>
      <c r="U1412" s="9" t="e">
        <f t="shared" si="68"/>
        <v>#DIV/0!</v>
      </c>
    </row>
    <row r="1413" spans="1:22" outlineLevel="2">
      <c r="A1413" t="s">
        <v>439</v>
      </c>
      <c r="B1413" t="s">
        <v>440</v>
      </c>
      <c r="C1413" t="s">
        <v>222</v>
      </c>
      <c r="D1413" t="s">
        <v>223</v>
      </c>
      <c r="E1413" s="4">
        <v>0</v>
      </c>
      <c r="F1413" s="4">
        <v>0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>
        <v>122500</v>
      </c>
      <c r="M1413" s="4">
        <v>0</v>
      </c>
      <c r="N1413" s="4">
        <v>0</v>
      </c>
      <c r="O1413" s="4">
        <v>0</v>
      </c>
      <c r="P1413" s="4">
        <v>0</v>
      </c>
      <c r="Q1413" s="4">
        <v>0</v>
      </c>
      <c r="S1413" s="8">
        <f t="shared" si="66"/>
        <v>20416.666666666668</v>
      </c>
      <c r="T1413" s="8">
        <f t="shared" si="67"/>
        <v>-20416.666666666668</v>
      </c>
      <c r="U1413" s="9">
        <f t="shared" si="68"/>
        <v>-1</v>
      </c>
    </row>
    <row r="1414" spans="1:22" outlineLevel="2">
      <c r="A1414" t="s">
        <v>439</v>
      </c>
      <c r="B1414" t="s">
        <v>440</v>
      </c>
      <c r="C1414" t="s">
        <v>101</v>
      </c>
      <c r="D1414" t="s">
        <v>102</v>
      </c>
      <c r="E1414" s="4">
        <v>0</v>
      </c>
      <c r="F1414" s="4">
        <v>3292.5</v>
      </c>
      <c r="G1414" s="4">
        <v>0</v>
      </c>
      <c r="H1414" s="4">
        <v>0</v>
      </c>
      <c r="I1414" s="4">
        <v>0</v>
      </c>
      <c r="J1414" s="4">
        <v>0</v>
      </c>
      <c r="K1414" s="4">
        <v>262500</v>
      </c>
      <c r="L1414" s="4">
        <v>-112500</v>
      </c>
      <c r="M1414" s="4">
        <v>0</v>
      </c>
      <c r="N1414" s="4">
        <v>0</v>
      </c>
      <c r="O1414" s="4">
        <v>0</v>
      </c>
      <c r="P1414" s="4">
        <v>-7587.27</v>
      </c>
      <c r="Q1414" s="4">
        <v>0</v>
      </c>
      <c r="S1414" s="8">
        <f t="shared" si="66"/>
        <v>-20014.545000000002</v>
      </c>
      <c r="T1414" s="8">
        <f t="shared" si="67"/>
        <v>20014.545000000002</v>
      </c>
      <c r="U1414" s="9">
        <f t="shared" si="68"/>
        <v>-1</v>
      </c>
    </row>
    <row r="1415" spans="1:22" outlineLevel="2">
      <c r="A1415" t="s">
        <v>439</v>
      </c>
      <c r="B1415" t="s">
        <v>440</v>
      </c>
      <c r="C1415" t="s">
        <v>238</v>
      </c>
      <c r="D1415" t="s">
        <v>239</v>
      </c>
      <c r="E1415" s="4">
        <v>0</v>
      </c>
      <c r="F1415" s="4">
        <v>0</v>
      </c>
      <c r="G1415" s="4">
        <v>1.25</v>
      </c>
      <c r="H1415" s="4">
        <v>0</v>
      </c>
      <c r="I1415" s="4">
        <v>0</v>
      </c>
      <c r="J1415" s="4">
        <v>443.58</v>
      </c>
      <c r="K1415" s="4">
        <v>0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S1415" s="8">
        <f t="shared" si="66"/>
        <v>0</v>
      </c>
      <c r="T1415" s="8">
        <f t="shared" si="67"/>
        <v>0</v>
      </c>
      <c r="U1415" s="9" t="e">
        <f t="shared" si="68"/>
        <v>#DIV/0!</v>
      </c>
    </row>
    <row r="1416" spans="1:22" outlineLevel="2">
      <c r="A1416" t="s">
        <v>439</v>
      </c>
      <c r="B1416" t="s">
        <v>440</v>
      </c>
      <c r="C1416" t="s">
        <v>240</v>
      </c>
      <c r="D1416" t="s">
        <v>241</v>
      </c>
      <c r="E1416" s="4">
        <v>0</v>
      </c>
      <c r="F1416" s="4">
        <v>0</v>
      </c>
      <c r="G1416" s="4">
        <v>8562.36</v>
      </c>
      <c r="H1416" s="4">
        <v>94185.94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S1416" s="8">
        <f t="shared" si="66"/>
        <v>0</v>
      </c>
      <c r="T1416" s="8">
        <f t="shared" si="67"/>
        <v>0</v>
      </c>
      <c r="U1416" s="9" t="e">
        <f t="shared" si="68"/>
        <v>#DIV/0!</v>
      </c>
    </row>
    <row r="1417" spans="1:22" outlineLevel="2">
      <c r="A1417" t="s">
        <v>439</v>
      </c>
      <c r="B1417" t="s">
        <v>440</v>
      </c>
      <c r="C1417" t="s">
        <v>172</v>
      </c>
      <c r="D1417" t="s">
        <v>173</v>
      </c>
      <c r="E1417" s="4">
        <v>0</v>
      </c>
      <c r="F1417" s="4">
        <v>0</v>
      </c>
      <c r="G1417" s="4">
        <v>225</v>
      </c>
      <c r="H1417" s="4">
        <v>75</v>
      </c>
      <c r="I1417" s="4">
        <v>75</v>
      </c>
      <c r="J1417" s="4">
        <v>75</v>
      </c>
      <c r="K1417" s="4">
        <v>75</v>
      </c>
      <c r="L1417" s="4">
        <v>75</v>
      </c>
      <c r="M1417" s="4">
        <v>75</v>
      </c>
      <c r="N1417" s="4">
        <v>75</v>
      </c>
      <c r="O1417" s="4">
        <v>-75</v>
      </c>
      <c r="P1417" s="4">
        <v>0</v>
      </c>
      <c r="Q1417" s="4">
        <v>75</v>
      </c>
      <c r="S1417" s="8">
        <f t="shared" si="66"/>
        <v>37.5</v>
      </c>
      <c r="T1417" s="8">
        <f t="shared" si="67"/>
        <v>-37.5</v>
      </c>
      <c r="U1417" s="9">
        <f t="shared" si="68"/>
        <v>-1</v>
      </c>
    </row>
    <row r="1418" spans="1:22" outlineLevel="2">
      <c r="A1418" t="s">
        <v>439</v>
      </c>
      <c r="B1418" t="s">
        <v>440</v>
      </c>
      <c r="C1418" t="s">
        <v>132</v>
      </c>
      <c r="D1418" t="s">
        <v>133</v>
      </c>
      <c r="E1418" s="4">
        <v>0</v>
      </c>
      <c r="F1418" s="4">
        <v>0</v>
      </c>
      <c r="G1418" s="4">
        <v>94</v>
      </c>
      <c r="H1418" s="4">
        <v>2632</v>
      </c>
      <c r="I1418" s="4">
        <v>141</v>
      </c>
      <c r="J1418" s="4">
        <v>1316</v>
      </c>
      <c r="K1418" s="4">
        <v>0</v>
      </c>
      <c r="L1418" s="4">
        <v>0</v>
      </c>
      <c r="M1418" s="4">
        <v>0</v>
      </c>
      <c r="N1418" s="4">
        <v>0</v>
      </c>
      <c r="O1418" s="4">
        <v>1504</v>
      </c>
      <c r="P1418" s="4">
        <v>0</v>
      </c>
      <c r="Q1418" s="4">
        <v>0</v>
      </c>
      <c r="S1418" s="8">
        <f t="shared" si="66"/>
        <v>250.66666666666666</v>
      </c>
      <c r="T1418" s="8">
        <f t="shared" si="67"/>
        <v>-250.66666666666666</v>
      </c>
      <c r="U1418" s="9">
        <f t="shared" si="68"/>
        <v>-1</v>
      </c>
    </row>
    <row r="1419" spans="1:22" outlineLevel="1">
      <c r="A1419" s="1" t="s">
        <v>777</v>
      </c>
      <c r="E1419" s="4">
        <f>SUBTOTAL(9,E1403:E1418)</f>
        <v>109302.31</v>
      </c>
      <c r="F1419" s="4">
        <f>SUBTOTAL(9,F1403:F1418)</f>
        <v>-33704.430000000015</v>
      </c>
      <c r="G1419" s="4">
        <f>SUBTOTAL(9,G1403:G1418)</f>
        <v>182198.99</v>
      </c>
      <c r="H1419" s="4">
        <f>SUBTOTAL(9,H1403:H1418)</f>
        <v>87568.43</v>
      </c>
      <c r="I1419" s="4">
        <f>SUBTOTAL(9,I1403:I1418)</f>
        <v>4161.4499999999935</v>
      </c>
      <c r="J1419" s="4">
        <f>SUBTOTAL(9,J1403:J1418)</f>
        <v>168835.56999999998</v>
      </c>
      <c r="K1419" s="4">
        <f>SUBTOTAL(9,K1403:K1418)</f>
        <v>249280.96</v>
      </c>
      <c r="L1419" s="4">
        <f>SUBTOTAL(9,L1403:L1418)</f>
        <v>10001.37999999999</v>
      </c>
      <c r="M1419" s="4">
        <f>SUBTOTAL(9,M1403:M1418)</f>
        <v>-369979.08</v>
      </c>
      <c r="N1419" s="4">
        <f>SUBTOTAL(9,N1403:N1418)</f>
        <v>-107587.89</v>
      </c>
      <c r="O1419" s="4">
        <f>SUBTOTAL(9,O1403:O1418)</f>
        <v>-5452.9800000000087</v>
      </c>
      <c r="P1419" s="4">
        <f>SUBTOTAL(9,P1403:P1418)</f>
        <v>107395.06</v>
      </c>
      <c r="Q1419" s="4">
        <f>SUBTOTAL(9,Q1403:Q1418)</f>
        <v>101756.12999999999</v>
      </c>
      <c r="R1419" s="4">
        <f>SUBTOTAL(9,R1403:R1418)</f>
        <v>-113436.70000000001</v>
      </c>
      <c r="S1419" s="8">
        <f t="shared" si="66"/>
        <v>-43977.896666666667</v>
      </c>
      <c r="T1419" s="8">
        <f t="shared" si="67"/>
        <v>-69458.803333333344</v>
      </c>
      <c r="U1419" s="9">
        <f t="shared" si="68"/>
        <v>1.579402577158268</v>
      </c>
      <c r="V1419" t="s">
        <v>897</v>
      </c>
    </row>
    <row r="1420" spans="1:22" outlineLevel="2">
      <c r="A1420" t="s">
        <v>443</v>
      </c>
      <c r="B1420" t="s">
        <v>444</v>
      </c>
      <c r="C1420" t="s">
        <v>136</v>
      </c>
      <c r="D1420" t="s">
        <v>137</v>
      </c>
      <c r="E1420" s="4">
        <v>9178.66</v>
      </c>
      <c r="F1420" s="4">
        <v>8290.4</v>
      </c>
      <c r="G1420" s="4">
        <v>9178.66</v>
      </c>
      <c r="H1420" s="4">
        <v>8882.5599999999977</v>
      </c>
      <c r="I1420" s="4">
        <v>9178.66</v>
      </c>
      <c r="J1420" s="4">
        <v>8882.5799999999981</v>
      </c>
      <c r="K1420" s="4">
        <v>7166.0700000000006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S1420" s="8">
        <f t="shared" si="66"/>
        <v>0</v>
      </c>
      <c r="T1420" s="8">
        <f t="shared" si="67"/>
        <v>0</v>
      </c>
      <c r="U1420" s="9" t="e">
        <f t="shared" si="68"/>
        <v>#DIV/0!</v>
      </c>
    </row>
    <row r="1421" spans="1:22" outlineLevel="2">
      <c r="A1421" t="s">
        <v>443</v>
      </c>
      <c r="B1421" t="s">
        <v>444</v>
      </c>
      <c r="C1421" t="s">
        <v>144</v>
      </c>
      <c r="D1421" t="s">
        <v>145</v>
      </c>
      <c r="E1421" s="4">
        <v>1601.0000000000005</v>
      </c>
      <c r="F1421" s="4">
        <v>790.76999999999987</v>
      </c>
      <c r="G1421" s="4">
        <v>1203.1300000000001</v>
      </c>
      <c r="H1421" s="4">
        <v>936.2700000000001</v>
      </c>
      <c r="I1421" s="4">
        <v>1461.62</v>
      </c>
      <c r="J1421" s="4">
        <v>1500.13</v>
      </c>
      <c r="K1421" s="4">
        <v>1106.23</v>
      </c>
      <c r="L1421" s="4">
        <v>1778.97</v>
      </c>
      <c r="M1421" s="4">
        <v>2505.88</v>
      </c>
      <c r="N1421" s="4">
        <v>1513.7</v>
      </c>
      <c r="O1421" s="4">
        <v>1342.3000000000002</v>
      </c>
      <c r="P1421" s="4">
        <v>1039.6599999999999</v>
      </c>
      <c r="Q1421" s="4">
        <v>119.29</v>
      </c>
      <c r="S1421" s="8">
        <f t="shared" si="66"/>
        <v>1383.3000000000002</v>
      </c>
      <c r="T1421" s="8">
        <f t="shared" si="67"/>
        <v>-1383.3000000000002</v>
      </c>
      <c r="U1421" s="9">
        <f t="shared" si="68"/>
        <v>-1</v>
      </c>
    </row>
    <row r="1422" spans="1:22" outlineLevel="2">
      <c r="A1422" t="s">
        <v>443</v>
      </c>
      <c r="B1422" t="s">
        <v>444</v>
      </c>
      <c r="C1422" t="s">
        <v>146</v>
      </c>
      <c r="D1422" t="s">
        <v>147</v>
      </c>
      <c r="E1422" s="4">
        <v>917.8599999999999</v>
      </c>
      <c r="F1422" s="4">
        <v>829.04</v>
      </c>
      <c r="G1422" s="4">
        <v>1267.4899999999998</v>
      </c>
      <c r="H1422" s="4">
        <v>888.25999999999988</v>
      </c>
      <c r="I1422" s="4">
        <v>917.86000000000013</v>
      </c>
      <c r="J1422" s="4">
        <v>888.26</v>
      </c>
      <c r="K1422" s="4">
        <v>716.61</v>
      </c>
      <c r="L1422" s="4">
        <v>0</v>
      </c>
      <c r="M1422" s="4">
        <v>24.4</v>
      </c>
      <c r="N1422" s="4">
        <v>0</v>
      </c>
      <c r="O1422" s="4">
        <v>0</v>
      </c>
      <c r="P1422" s="4">
        <v>0</v>
      </c>
      <c r="Q1422" s="4">
        <v>0</v>
      </c>
      <c r="S1422" s="8">
        <f t="shared" si="66"/>
        <v>4.0666666666666664</v>
      </c>
      <c r="T1422" s="8">
        <f t="shared" si="67"/>
        <v>-4.0666666666666664</v>
      </c>
      <c r="U1422" s="9">
        <f t="shared" si="68"/>
        <v>-1</v>
      </c>
    </row>
    <row r="1423" spans="1:22" outlineLevel="2">
      <c r="A1423" t="s">
        <v>443</v>
      </c>
      <c r="B1423" t="s">
        <v>444</v>
      </c>
      <c r="C1423" t="s">
        <v>150</v>
      </c>
      <c r="D1423" t="s">
        <v>151</v>
      </c>
      <c r="E1423" s="4">
        <v>0</v>
      </c>
      <c r="F1423" s="4">
        <v>1438</v>
      </c>
      <c r="G1423" s="4">
        <v>287.59999999999991</v>
      </c>
      <c r="H1423" s="4">
        <v>1866.91</v>
      </c>
      <c r="I1423" s="4">
        <v>1571.72</v>
      </c>
      <c r="J1423" s="4">
        <v>1041.83</v>
      </c>
      <c r="K1423" s="4">
        <v>0</v>
      </c>
      <c r="L1423" s="4">
        <v>0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S1423" s="8">
        <f t="shared" si="66"/>
        <v>0</v>
      </c>
      <c r="T1423" s="8">
        <f t="shared" si="67"/>
        <v>0</v>
      </c>
      <c r="U1423" s="9" t="e">
        <f t="shared" si="68"/>
        <v>#DIV/0!</v>
      </c>
    </row>
    <row r="1424" spans="1:22" outlineLevel="2">
      <c r="A1424" t="s">
        <v>443</v>
      </c>
      <c r="B1424" t="s">
        <v>444</v>
      </c>
      <c r="C1424" t="s">
        <v>152</v>
      </c>
      <c r="D1424" t="s">
        <v>153</v>
      </c>
      <c r="E1424" s="4">
        <v>671.57</v>
      </c>
      <c r="F1424" s="4">
        <v>606.56999999999994</v>
      </c>
      <c r="G1424" s="4">
        <v>939.02</v>
      </c>
      <c r="H1424" s="4">
        <v>649.90000000000009</v>
      </c>
      <c r="I1424" s="4">
        <v>671.56</v>
      </c>
      <c r="J1424" s="4">
        <v>1222.3</v>
      </c>
      <c r="K1424" s="4">
        <v>549.19000000000005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S1424" s="8">
        <f t="shared" si="66"/>
        <v>0</v>
      </c>
      <c r="T1424" s="8">
        <f t="shared" si="67"/>
        <v>0</v>
      </c>
      <c r="U1424" s="9" t="e">
        <f t="shared" si="68"/>
        <v>#DIV/0!</v>
      </c>
    </row>
    <row r="1425" spans="1:21" outlineLevel="2">
      <c r="A1425" t="s">
        <v>443</v>
      </c>
      <c r="B1425" t="s">
        <v>444</v>
      </c>
      <c r="C1425" t="s">
        <v>154</v>
      </c>
      <c r="D1425" t="s">
        <v>155</v>
      </c>
      <c r="E1425" s="4">
        <v>609.9</v>
      </c>
      <c r="F1425" s="4">
        <v>0</v>
      </c>
      <c r="G1425" s="4">
        <v>0</v>
      </c>
      <c r="H1425" s="4">
        <v>0</v>
      </c>
      <c r="I1425" s="4">
        <v>-491.4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S1425" s="8">
        <f t="shared" si="66"/>
        <v>0</v>
      </c>
      <c r="T1425" s="8">
        <f t="shared" si="67"/>
        <v>0</v>
      </c>
      <c r="U1425" s="9" t="e">
        <f t="shared" si="68"/>
        <v>#DIV/0!</v>
      </c>
    </row>
    <row r="1426" spans="1:21" outlineLevel="2">
      <c r="A1426" t="s">
        <v>443</v>
      </c>
      <c r="B1426" t="s">
        <v>444</v>
      </c>
      <c r="C1426" t="s">
        <v>158</v>
      </c>
      <c r="D1426" t="s">
        <v>159</v>
      </c>
      <c r="E1426" s="4">
        <v>666.67</v>
      </c>
      <c r="F1426" s="4">
        <v>667</v>
      </c>
      <c r="G1426" s="4">
        <v>7172.3099999999995</v>
      </c>
      <c r="H1426" s="4">
        <v>667</v>
      </c>
      <c r="I1426" s="4">
        <v>667</v>
      </c>
      <c r="J1426" s="4">
        <v>6384.38</v>
      </c>
      <c r="K1426" s="4">
        <v>667</v>
      </c>
      <c r="L1426" s="4">
        <v>667</v>
      </c>
      <c r="M1426" s="4">
        <v>2238.06</v>
      </c>
      <c r="N1426" s="4">
        <v>667</v>
      </c>
      <c r="O1426" s="4">
        <v>667</v>
      </c>
      <c r="P1426" s="4">
        <v>-5730.59</v>
      </c>
      <c r="Q1426" s="4">
        <v>0</v>
      </c>
      <c r="S1426" s="8">
        <f t="shared" si="66"/>
        <v>-248.58833333333345</v>
      </c>
      <c r="T1426" s="8">
        <f t="shared" si="67"/>
        <v>248.58833333333345</v>
      </c>
      <c r="U1426" s="9">
        <f t="shared" si="68"/>
        <v>-1</v>
      </c>
    </row>
    <row r="1427" spans="1:21" outlineLevel="2">
      <c r="A1427" t="s">
        <v>443</v>
      </c>
      <c r="B1427" t="s">
        <v>444</v>
      </c>
      <c r="C1427" t="s">
        <v>274</v>
      </c>
      <c r="D1427" t="s">
        <v>275</v>
      </c>
      <c r="E1427" s="4">
        <v>0</v>
      </c>
      <c r="F1427" s="4">
        <v>-0.62</v>
      </c>
      <c r="G1427" s="4">
        <v>0</v>
      </c>
      <c r="H1427" s="4">
        <v>-10211.920000000031</v>
      </c>
      <c r="I1427" s="4">
        <v>-140.95999999999913</v>
      </c>
      <c r="J1427" s="4">
        <v>0</v>
      </c>
      <c r="K1427" s="4">
        <v>0</v>
      </c>
      <c r="L1427" s="4">
        <v>0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S1427" s="8">
        <f t="shared" si="66"/>
        <v>0</v>
      </c>
      <c r="T1427" s="8">
        <f t="shared" si="67"/>
        <v>0</v>
      </c>
      <c r="U1427" s="9" t="e">
        <f t="shared" si="68"/>
        <v>#DIV/0!</v>
      </c>
    </row>
    <row r="1428" spans="1:21" outlineLevel="2">
      <c r="A1428" t="s">
        <v>443</v>
      </c>
      <c r="B1428" t="s">
        <v>444</v>
      </c>
      <c r="C1428" t="s">
        <v>170</v>
      </c>
      <c r="D1428" t="s">
        <v>171</v>
      </c>
      <c r="E1428" s="4">
        <v>135</v>
      </c>
      <c r="F1428" s="4">
        <v>90</v>
      </c>
      <c r="G1428" s="4">
        <v>90</v>
      </c>
      <c r="H1428" s="4">
        <v>90</v>
      </c>
      <c r="I1428" s="4">
        <v>90</v>
      </c>
      <c r="J1428" s="4">
        <v>90</v>
      </c>
      <c r="K1428" s="4">
        <v>45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S1428" s="8">
        <f t="shared" si="66"/>
        <v>0</v>
      </c>
      <c r="T1428" s="8">
        <f t="shared" si="67"/>
        <v>0</v>
      </c>
      <c r="U1428" s="9" t="e">
        <f t="shared" si="68"/>
        <v>#DIV/0!</v>
      </c>
    </row>
    <row r="1429" spans="1:21" outlineLevel="1">
      <c r="A1429" s="1" t="s">
        <v>778</v>
      </c>
      <c r="E1429" s="4">
        <f>SUBTOTAL(9,E1420:E1428)</f>
        <v>13780.66</v>
      </c>
      <c r="F1429" s="4">
        <f>SUBTOTAL(9,F1420:F1428)</f>
        <v>12711.159999999998</v>
      </c>
      <c r="G1429" s="4">
        <f>SUBTOTAL(9,G1420:G1428)</f>
        <v>20138.21</v>
      </c>
      <c r="H1429" s="4">
        <f>SUBTOTAL(9,H1420:H1428)</f>
        <v>3768.9799999999668</v>
      </c>
      <c r="I1429" s="4">
        <f>SUBTOTAL(9,I1420:I1428)</f>
        <v>13926.06</v>
      </c>
      <c r="J1429" s="4">
        <f>SUBTOTAL(9,J1420:J1428)</f>
        <v>20009.48</v>
      </c>
      <c r="K1429" s="4">
        <f>SUBTOTAL(9,K1420:K1428)</f>
        <v>10250.100000000002</v>
      </c>
      <c r="L1429" s="4">
        <f>SUBTOTAL(9,L1420:L1428)</f>
        <v>2445.9700000000003</v>
      </c>
      <c r="M1429" s="4">
        <f>SUBTOTAL(9,M1420:M1428)</f>
        <v>4768.34</v>
      </c>
      <c r="N1429" s="4">
        <f>SUBTOTAL(9,N1420:N1428)</f>
        <v>2180.6999999999998</v>
      </c>
      <c r="O1429" s="4">
        <f>SUBTOTAL(9,O1420:O1428)</f>
        <v>2009.3000000000002</v>
      </c>
      <c r="P1429" s="4">
        <f>SUBTOTAL(9,P1420:P1428)</f>
        <v>-4690.93</v>
      </c>
      <c r="Q1429" s="4">
        <f>SUBTOTAL(9,Q1420:Q1428)</f>
        <v>119.29</v>
      </c>
      <c r="R1429" s="4">
        <f>SUBTOTAL(9,R1420:R1428)</f>
        <v>0</v>
      </c>
      <c r="S1429" s="8">
        <f t="shared" si="66"/>
        <v>1138.7783333333334</v>
      </c>
      <c r="T1429" s="8">
        <f t="shared" si="67"/>
        <v>-1138.7783333333334</v>
      </c>
      <c r="U1429" s="9">
        <f t="shared" si="68"/>
        <v>-1</v>
      </c>
    </row>
    <row r="1430" spans="1:21" outlineLevel="2">
      <c r="A1430" t="s">
        <v>445</v>
      </c>
      <c r="B1430" t="s">
        <v>446</v>
      </c>
      <c r="C1430" t="s">
        <v>59</v>
      </c>
      <c r="D1430" t="s">
        <v>60</v>
      </c>
      <c r="E1430" s="4">
        <v>16862.879999999997</v>
      </c>
      <c r="F1430" s="4">
        <v>845.3</v>
      </c>
      <c r="G1430" s="4">
        <v>0</v>
      </c>
      <c r="H1430" s="4">
        <v>581.41</v>
      </c>
      <c r="I1430" s="4">
        <v>0</v>
      </c>
      <c r="J1430" s="4">
        <v>1016.0799999999999</v>
      </c>
      <c r="K1430" s="4">
        <v>83.67</v>
      </c>
      <c r="L1430" s="4">
        <v>0</v>
      </c>
      <c r="M1430" s="4">
        <v>0</v>
      </c>
      <c r="N1430" s="4">
        <v>0</v>
      </c>
      <c r="O1430" s="4">
        <v>0</v>
      </c>
      <c r="P1430" s="4">
        <v>756.14</v>
      </c>
      <c r="Q1430" s="4">
        <v>4279.17</v>
      </c>
      <c r="R1430" s="4">
        <v>-4279.17</v>
      </c>
      <c r="S1430" s="8">
        <f t="shared" si="66"/>
        <v>839.21833333333336</v>
      </c>
      <c r="T1430" s="8">
        <f t="shared" si="67"/>
        <v>-5118.3883333333333</v>
      </c>
      <c r="U1430" s="9">
        <f t="shared" si="68"/>
        <v>-6.098994898030111</v>
      </c>
    </row>
    <row r="1431" spans="1:21" outlineLevel="2">
      <c r="A1431" t="s">
        <v>445</v>
      </c>
      <c r="B1431" t="s">
        <v>446</v>
      </c>
      <c r="C1431" t="s">
        <v>238</v>
      </c>
      <c r="D1431" t="s">
        <v>239</v>
      </c>
      <c r="E1431" s="4">
        <v>0</v>
      </c>
      <c r="F1431" s="4">
        <v>0</v>
      </c>
      <c r="G1431" s="4">
        <v>0</v>
      </c>
      <c r="H1431" s="4">
        <v>0</v>
      </c>
      <c r="I1431" s="4">
        <v>8.42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  <c r="O1431" s="4">
        <v>0</v>
      </c>
      <c r="P1431" s="4">
        <v>0</v>
      </c>
      <c r="Q1431" s="4">
        <v>0</v>
      </c>
      <c r="S1431" s="8">
        <f t="shared" si="66"/>
        <v>0</v>
      </c>
      <c r="T1431" s="8">
        <f t="shared" si="67"/>
        <v>0</v>
      </c>
      <c r="U1431" s="9" t="e">
        <f t="shared" si="68"/>
        <v>#DIV/0!</v>
      </c>
    </row>
    <row r="1432" spans="1:21" outlineLevel="1">
      <c r="A1432" s="1" t="s">
        <v>779</v>
      </c>
      <c r="E1432" s="4">
        <f>SUBTOTAL(9,E1430:E1431)</f>
        <v>16862.879999999997</v>
      </c>
      <c r="F1432" s="4">
        <f>SUBTOTAL(9,F1430:F1431)</f>
        <v>845.3</v>
      </c>
      <c r="G1432" s="4">
        <f>SUBTOTAL(9,G1430:G1431)</f>
        <v>0</v>
      </c>
      <c r="H1432" s="4">
        <f>SUBTOTAL(9,H1430:H1431)</f>
        <v>581.41</v>
      </c>
      <c r="I1432" s="4">
        <f>SUBTOTAL(9,I1430:I1431)</f>
        <v>8.42</v>
      </c>
      <c r="J1432" s="4">
        <f>SUBTOTAL(9,J1430:J1431)</f>
        <v>1016.0799999999999</v>
      </c>
      <c r="K1432" s="4">
        <f>SUBTOTAL(9,K1430:K1431)</f>
        <v>83.67</v>
      </c>
      <c r="L1432" s="4">
        <f>SUBTOTAL(9,L1430:L1431)</f>
        <v>0</v>
      </c>
      <c r="M1432" s="4">
        <f>SUBTOTAL(9,M1430:M1431)</f>
        <v>0</v>
      </c>
      <c r="N1432" s="4">
        <f>SUBTOTAL(9,N1430:N1431)</f>
        <v>0</v>
      </c>
      <c r="O1432" s="4">
        <f>SUBTOTAL(9,O1430:O1431)</f>
        <v>0</v>
      </c>
      <c r="P1432" s="4">
        <f>SUBTOTAL(9,P1430:P1431)</f>
        <v>756.14</v>
      </c>
      <c r="Q1432" s="4">
        <f>SUBTOTAL(9,Q1430:Q1431)</f>
        <v>4279.17</v>
      </c>
      <c r="R1432" s="4">
        <f>SUBTOTAL(9,R1430:R1431)</f>
        <v>-4279.17</v>
      </c>
      <c r="S1432" s="8">
        <f t="shared" si="66"/>
        <v>839.21833333333336</v>
      </c>
      <c r="T1432" s="8">
        <f t="shared" si="67"/>
        <v>-5118.3883333333333</v>
      </c>
      <c r="U1432" s="9">
        <f t="shared" si="68"/>
        <v>-6.098994898030111</v>
      </c>
    </row>
    <row r="1433" spans="1:21" outlineLevel="2">
      <c r="A1433" t="s">
        <v>447</v>
      </c>
      <c r="B1433" t="s">
        <v>448</v>
      </c>
      <c r="C1433" t="s">
        <v>238</v>
      </c>
      <c r="D1433" t="s">
        <v>239</v>
      </c>
      <c r="E1433" s="4">
        <v>0</v>
      </c>
      <c r="F1433" s="4">
        <v>0</v>
      </c>
      <c r="G1433" s="4">
        <v>0</v>
      </c>
      <c r="H1433" s="4">
        <v>0</v>
      </c>
      <c r="I1433" s="4">
        <v>0</v>
      </c>
      <c r="J1433" s="4">
        <v>0</v>
      </c>
      <c r="K1433" s="4">
        <v>0</v>
      </c>
      <c r="L1433" s="4">
        <v>0</v>
      </c>
      <c r="M1433" s="4">
        <v>506.21</v>
      </c>
      <c r="N1433" s="4">
        <v>0</v>
      </c>
      <c r="O1433" s="4">
        <v>0</v>
      </c>
      <c r="P1433" s="4">
        <v>0</v>
      </c>
      <c r="Q1433" s="4">
        <v>0</v>
      </c>
      <c r="S1433" s="8">
        <f t="shared" si="66"/>
        <v>84.368333333333325</v>
      </c>
      <c r="T1433" s="8">
        <f t="shared" si="67"/>
        <v>-84.368333333333325</v>
      </c>
      <c r="U1433" s="9">
        <f t="shared" si="68"/>
        <v>-1</v>
      </c>
    </row>
    <row r="1434" spans="1:21" outlineLevel="1">
      <c r="A1434" s="1" t="s">
        <v>780</v>
      </c>
      <c r="E1434" s="4">
        <f>SUBTOTAL(9,E1433:E1433)</f>
        <v>0</v>
      </c>
      <c r="F1434" s="4">
        <f>SUBTOTAL(9,F1433:F1433)</f>
        <v>0</v>
      </c>
      <c r="G1434" s="4">
        <f>SUBTOTAL(9,G1433:G1433)</f>
        <v>0</v>
      </c>
      <c r="H1434" s="4">
        <f>SUBTOTAL(9,H1433:H1433)</f>
        <v>0</v>
      </c>
      <c r="I1434" s="4">
        <f>SUBTOTAL(9,I1433:I1433)</f>
        <v>0</v>
      </c>
      <c r="J1434" s="4">
        <f>SUBTOTAL(9,J1433:J1433)</f>
        <v>0</v>
      </c>
      <c r="K1434" s="4">
        <f>SUBTOTAL(9,K1433:K1433)</f>
        <v>0</v>
      </c>
      <c r="L1434" s="4">
        <f>SUBTOTAL(9,L1433:L1433)</f>
        <v>0</v>
      </c>
      <c r="M1434" s="4">
        <f>SUBTOTAL(9,M1433:M1433)</f>
        <v>506.21</v>
      </c>
      <c r="N1434" s="4">
        <f>SUBTOTAL(9,N1433:N1433)</f>
        <v>0</v>
      </c>
      <c r="O1434" s="4">
        <f>SUBTOTAL(9,O1433:O1433)</f>
        <v>0</v>
      </c>
      <c r="P1434" s="4">
        <f>SUBTOTAL(9,P1433:P1433)</f>
        <v>0</v>
      </c>
      <c r="Q1434" s="4">
        <f>SUBTOTAL(9,Q1433:Q1433)</f>
        <v>0</v>
      </c>
      <c r="R1434" s="4">
        <f>SUBTOTAL(9,R1433:R1433)</f>
        <v>0</v>
      </c>
      <c r="S1434" s="8">
        <f t="shared" si="66"/>
        <v>84.368333333333325</v>
      </c>
      <c r="T1434" s="8">
        <f t="shared" si="67"/>
        <v>-84.368333333333325</v>
      </c>
      <c r="U1434" s="9">
        <f t="shared" si="68"/>
        <v>-1</v>
      </c>
    </row>
    <row r="1435" spans="1:21" outlineLevel="2">
      <c r="A1435" t="s">
        <v>449</v>
      </c>
      <c r="B1435" t="s">
        <v>450</v>
      </c>
      <c r="C1435" t="s">
        <v>101</v>
      </c>
      <c r="D1435" t="s">
        <v>102</v>
      </c>
      <c r="E1435" s="4">
        <v>0</v>
      </c>
      <c r="F1435" s="4">
        <v>0</v>
      </c>
      <c r="G1435" s="4">
        <v>0</v>
      </c>
      <c r="H1435" s="4">
        <v>0</v>
      </c>
      <c r="I1435" s="4">
        <v>0</v>
      </c>
      <c r="J1435" s="4">
        <v>0</v>
      </c>
      <c r="K1435" s="4">
        <v>0</v>
      </c>
      <c r="L1435" s="4">
        <v>0</v>
      </c>
      <c r="M1435" s="4">
        <v>0</v>
      </c>
      <c r="N1435" s="4">
        <v>0</v>
      </c>
      <c r="O1435" s="4">
        <v>0</v>
      </c>
      <c r="P1435" s="4">
        <v>-2.2737367544323206E-13</v>
      </c>
      <c r="Q1435" s="4">
        <v>0</v>
      </c>
      <c r="S1435" s="8">
        <f t="shared" si="66"/>
        <v>-3.7895612573872008E-14</v>
      </c>
      <c r="T1435" s="8">
        <f t="shared" si="67"/>
        <v>3.7895612573872008E-14</v>
      </c>
      <c r="U1435" s="9">
        <f t="shared" si="68"/>
        <v>-1</v>
      </c>
    </row>
    <row r="1436" spans="1:21" outlineLevel="1">
      <c r="A1436" s="1" t="s">
        <v>781</v>
      </c>
      <c r="E1436" s="4">
        <f>SUBTOTAL(9,E1435:E1435)</f>
        <v>0</v>
      </c>
      <c r="F1436" s="4">
        <f>SUBTOTAL(9,F1435:F1435)</f>
        <v>0</v>
      </c>
      <c r="G1436" s="4">
        <f>SUBTOTAL(9,G1435:G1435)</f>
        <v>0</v>
      </c>
      <c r="H1436" s="4">
        <f>SUBTOTAL(9,H1435:H1435)</f>
        <v>0</v>
      </c>
      <c r="I1436" s="4">
        <f>SUBTOTAL(9,I1435:I1435)</f>
        <v>0</v>
      </c>
      <c r="J1436" s="4">
        <f>SUBTOTAL(9,J1435:J1435)</f>
        <v>0</v>
      </c>
      <c r="K1436" s="4">
        <f>SUBTOTAL(9,K1435:K1435)</f>
        <v>0</v>
      </c>
      <c r="L1436" s="4">
        <f>SUBTOTAL(9,L1435:L1435)</f>
        <v>0</v>
      </c>
      <c r="M1436" s="4">
        <f>SUBTOTAL(9,M1435:M1435)</f>
        <v>0</v>
      </c>
      <c r="N1436" s="4">
        <f>SUBTOTAL(9,N1435:N1435)</f>
        <v>0</v>
      </c>
      <c r="O1436" s="4">
        <f>SUBTOTAL(9,O1435:O1435)</f>
        <v>0</v>
      </c>
      <c r="P1436" s="4">
        <f>SUBTOTAL(9,P1435:P1435)</f>
        <v>-2.2737367544323206E-13</v>
      </c>
      <c r="Q1436" s="4">
        <f>SUBTOTAL(9,Q1435:Q1435)</f>
        <v>0</v>
      </c>
      <c r="R1436" s="4">
        <f>SUBTOTAL(9,R1435:R1435)</f>
        <v>0</v>
      </c>
      <c r="S1436" s="8">
        <f t="shared" si="66"/>
        <v>-3.7895612573872008E-14</v>
      </c>
      <c r="T1436" s="8">
        <f t="shared" si="67"/>
        <v>3.7895612573872008E-14</v>
      </c>
      <c r="U1436" s="9">
        <f t="shared" si="68"/>
        <v>-1</v>
      </c>
    </row>
    <row r="1437" spans="1:21" outlineLevel="2">
      <c r="A1437" t="s">
        <v>451</v>
      </c>
      <c r="B1437" t="s">
        <v>446</v>
      </c>
      <c r="C1437" t="s">
        <v>21</v>
      </c>
      <c r="D1437" t="s">
        <v>22</v>
      </c>
      <c r="E1437" s="4">
        <v>0</v>
      </c>
      <c r="F1437" s="4">
        <v>0</v>
      </c>
      <c r="G1437" s="4">
        <v>0</v>
      </c>
      <c r="H1437" s="4">
        <v>0</v>
      </c>
      <c r="I1437" s="4">
        <v>0</v>
      </c>
      <c r="J1437" s="4">
        <v>0</v>
      </c>
      <c r="K1437" s="4">
        <v>0</v>
      </c>
      <c r="L1437" s="4">
        <v>0</v>
      </c>
      <c r="M1437" s="4">
        <v>0</v>
      </c>
      <c r="N1437" s="4">
        <v>0</v>
      </c>
      <c r="O1437" s="4">
        <v>0</v>
      </c>
      <c r="P1437" s="4">
        <v>0</v>
      </c>
      <c r="Q1437" s="4">
        <v>0</v>
      </c>
      <c r="S1437" s="8">
        <f t="shared" si="66"/>
        <v>0</v>
      </c>
      <c r="T1437" s="8">
        <f t="shared" si="67"/>
        <v>0</v>
      </c>
      <c r="U1437" s="9" t="e">
        <f t="shared" si="68"/>
        <v>#DIV/0!</v>
      </c>
    </row>
    <row r="1438" spans="1:21" outlineLevel="2">
      <c r="A1438" t="s">
        <v>451</v>
      </c>
      <c r="B1438" t="s">
        <v>446</v>
      </c>
      <c r="C1438" t="s">
        <v>59</v>
      </c>
      <c r="D1438" t="s">
        <v>60</v>
      </c>
      <c r="E1438" s="4">
        <v>0</v>
      </c>
      <c r="F1438" s="4">
        <v>0</v>
      </c>
      <c r="G1438" s="4">
        <v>1451.08</v>
      </c>
      <c r="H1438" s="4">
        <v>0</v>
      </c>
      <c r="I1438" s="4">
        <v>0</v>
      </c>
      <c r="J1438" s="4">
        <v>0</v>
      </c>
      <c r="K1438" s="4">
        <v>2966.29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1278.53</v>
      </c>
      <c r="R1438" s="4">
        <v>386.96999999999997</v>
      </c>
      <c r="S1438" s="8">
        <f t="shared" si="66"/>
        <v>213.08833333333334</v>
      </c>
      <c r="T1438" s="8">
        <f t="shared" si="67"/>
        <v>173.88166666666663</v>
      </c>
      <c r="U1438" s="9">
        <f t="shared" si="68"/>
        <v>0.81600744605132436</v>
      </c>
    </row>
    <row r="1439" spans="1:21" outlineLevel="2">
      <c r="A1439" t="s">
        <v>451</v>
      </c>
      <c r="B1439" t="s">
        <v>446</v>
      </c>
      <c r="C1439" t="s">
        <v>83</v>
      </c>
      <c r="D1439" t="s">
        <v>84</v>
      </c>
      <c r="E1439" s="4">
        <v>0</v>
      </c>
      <c r="F1439" s="4">
        <v>0</v>
      </c>
      <c r="G1439" s="4">
        <v>0</v>
      </c>
      <c r="H1439" s="4">
        <v>0</v>
      </c>
      <c r="I1439" s="4">
        <v>0</v>
      </c>
      <c r="J1439" s="4">
        <v>0</v>
      </c>
      <c r="K1439" s="4">
        <v>0</v>
      </c>
      <c r="L1439" s="4">
        <v>0</v>
      </c>
      <c r="M1439" s="4">
        <v>66.48</v>
      </c>
      <c r="N1439" s="4">
        <v>0</v>
      </c>
      <c r="O1439" s="4">
        <v>0</v>
      </c>
      <c r="P1439" s="4">
        <v>0</v>
      </c>
      <c r="Q1439" s="4">
        <v>0</v>
      </c>
      <c r="S1439" s="8">
        <f t="shared" si="66"/>
        <v>11.08</v>
      </c>
      <c r="T1439" s="8">
        <f t="shared" si="67"/>
        <v>-11.08</v>
      </c>
      <c r="U1439" s="9">
        <f t="shared" si="68"/>
        <v>-1</v>
      </c>
    </row>
    <row r="1440" spans="1:21" outlineLevel="1">
      <c r="A1440" s="1" t="s">
        <v>782</v>
      </c>
      <c r="E1440" s="4">
        <f>SUBTOTAL(9,E1437:E1439)</f>
        <v>0</v>
      </c>
      <c r="F1440" s="4">
        <f>SUBTOTAL(9,F1437:F1439)</f>
        <v>0</v>
      </c>
      <c r="G1440" s="4">
        <f>SUBTOTAL(9,G1437:G1439)</f>
        <v>1451.08</v>
      </c>
      <c r="H1440" s="4">
        <f>SUBTOTAL(9,H1437:H1439)</f>
        <v>0</v>
      </c>
      <c r="I1440" s="4">
        <f>SUBTOTAL(9,I1437:I1439)</f>
        <v>0</v>
      </c>
      <c r="J1440" s="4">
        <f>SUBTOTAL(9,J1437:J1439)</f>
        <v>0</v>
      </c>
      <c r="K1440" s="4">
        <f>SUBTOTAL(9,K1437:K1439)</f>
        <v>2966.29</v>
      </c>
      <c r="L1440" s="4">
        <f>SUBTOTAL(9,L1437:L1439)</f>
        <v>0</v>
      </c>
      <c r="M1440" s="4">
        <f>SUBTOTAL(9,M1437:M1439)</f>
        <v>66.48</v>
      </c>
      <c r="N1440" s="4">
        <f>SUBTOTAL(9,N1437:N1439)</f>
        <v>0</v>
      </c>
      <c r="O1440" s="4">
        <f>SUBTOTAL(9,O1437:O1439)</f>
        <v>0</v>
      </c>
      <c r="P1440" s="4">
        <f>SUBTOTAL(9,P1437:P1439)</f>
        <v>0</v>
      </c>
      <c r="Q1440" s="4">
        <f>SUBTOTAL(9,Q1437:Q1439)</f>
        <v>1278.53</v>
      </c>
      <c r="R1440" s="4">
        <f>SUBTOTAL(9,R1437:R1439)</f>
        <v>386.96999999999997</v>
      </c>
      <c r="S1440" s="8">
        <f t="shared" si="66"/>
        <v>224.16833333333332</v>
      </c>
      <c r="T1440" s="8">
        <f t="shared" si="67"/>
        <v>162.80166666666665</v>
      </c>
      <c r="U1440" s="9">
        <f t="shared" si="68"/>
        <v>0.72624738849525272</v>
      </c>
    </row>
    <row r="1441" spans="1:22" outlineLevel="2">
      <c r="A1441" t="s">
        <v>452</v>
      </c>
      <c r="B1441" t="s">
        <v>453</v>
      </c>
      <c r="C1441" t="s">
        <v>83</v>
      </c>
      <c r="D1441" t="s">
        <v>84</v>
      </c>
      <c r="E1441" s="4">
        <v>0</v>
      </c>
      <c r="F1441" s="4">
        <v>0</v>
      </c>
      <c r="G1441" s="4">
        <v>0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15.54</v>
      </c>
      <c r="S1441" s="8">
        <f t="shared" si="66"/>
        <v>0</v>
      </c>
      <c r="T1441" s="8">
        <f t="shared" si="67"/>
        <v>15.54</v>
      </c>
      <c r="U1441" s="9" t="e">
        <f t="shared" si="68"/>
        <v>#DIV/0!</v>
      </c>
      <c r="V1441" t="s">
        <v>895</v>
      </c>
    </row>
    <row r="1442" spans="1:22" outlineLevel="2">
      <c r="A1442" t="s">
        <v>452</v>
      </c>
      <c r="B1442" t="s">
        <v>453</v>
      </c>
      <c r="C1442" t="s">
        <v>89</v>
      </c>
      <c r="D1442" t="s">
        <v>90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296.39999999999998</v>
      </c>
      <c r="L1442" s="4">
        <v>-296.39999999999998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S1442" s="8">
        <f t="shared" si="66"/>
        <v>-49.4</v>
      </c>
      <c r="T1442" s="8">
        <f t="shared" si="67"/>
        <v>49.4</v>
      </c>
      <c r="U1442" s="9">
        <f t="shared" si="68"/>
        <v>-1</v>
      </c>
    </row>
    <row r="1443" spans="1:22" outlineLevel="2">
      <c r="A1443" t="s">
        <v>452</v>
      </c>
      <c r="B1443" t="s">
        <v>453</v>
      </c>
      <c r="C1443" t="s">
        <v>97</v>
      </c>
      <c r="D1443" t="s">
        <v>98</v>
      </c>
      <c r="E1443" s="4">
        <v>0</v>
      </c>
      <c r="F1443" s="4">
        <v>0</v>
      </c>
      <c r="G1443" s="4">
        <v>0</v>
      </c>
      <c r="H1443" s="4">
        <v>0</v>
      </c>
      <c r="I1443" s="4">
        <v>0</v>
      </c>
      <c r="J1443" s="4">
        <v>0</v>
      </c>
      <c r="K1443" s="4">
        <v>2600</v>
      </c>
      <c r="L1443" s="4">
        <v>0</v>
      </c>
      <c r="M1443" s="4">
        <v>0</v>
      </c>
      <c r="N1443" s="4">
        <v>0</v>
      </c>
      <c r="O1443" s="4">
        <v>0</v>
      </c>
      <c r="P1443" s="4">
        <v>0</v>
      </c>
      <c r="Q1443" s="4">
        <v>0</v>
      </c>
      <c r="S1443" s="8">
        <f t="shared" si="66"/>
        <v>0</v>
      </c>
      <c r="T1443" s="8">
        <f t="shared" si="67"/>
        <v>0</v>
      </c>
      <c r="U1443" s="9" t="e">
        <f t="shared" si="68"/>
        <v>#DIV/0!</v>
      </c>
    </row>
    <row r="1444" spans="1:22" outlineLevel="2">
      <c r="A1444" t="s">
        <v>452</v>
      </c>
      <c r="B1444" t="s">
        <v>453</v>
      </c>
      <c r="C1444" t="s">
        <v>101</v>
      </c>
      <c r="D1444" t="s">
        <v>102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3591.85</v>
      </c>
      <c r="Q1444" s="4">
        <v>-3591.85</v>
      </c>
      <c r="S1444" s="8">
        <f t="shared" si="66"/>
        <v>0</v>
      </c>
      <c r="T1444" s="8">
        <f t="shared" si="67"/>
        <v>0</v>
      </c>
      <c r="U1444" s="9" t="e">
        <f t="shared" si="68"/>
        <v>#DIV/0!</v>
      </c>
    </row>
    <row r="1445" spans="1:22" outlineLevel="1">
      <c r="A1445" s="1" t="s">
        <v>783</v>
      </c>
      <c r="E1445" s="4">
        <f>SUBTOTAL(9,E1441:E1444)</f>
        <v>0</v>
      </c>
      <c r="F1445" s="4">
        <f>SUBTOTAL(9,F1441:F1444)</f>
        <v>0</v>
      </c>
      <c r="G1445" s="4">
        <f>SUBTOTAL(9,G1441:G1444)</f>
        <v>0</v>
      </c>
      <c r="H1445" s="4">
        <f>SUBTOTAL(9,H1441:H1444)</f>
        <v>0</v>
      </c>
      <c r="I1445" s="4">
        <f>SUBTOTAL(9,I1441:I1444)</f>
        <v>0</v>
      </c>
      <c r="J1445" s="4">
        <f>SUBTOTAL(9,J1441:J1444)</f>
        <v>0</v>
      </c>
      <c r="K1445" s="4">
        <f>SUBTOTAL(9,K1441:K1444)</f>
        <v>2896.4</v>
      </c>
      <c r="L1445" s="4">
        <f>SUBTOTAL(9,L1441:L1444)</f>
        <v>-296.39999999999998</v>
      </c>
      <c r="M1445" s="4">
        <f>SUBTOTAL(9,M1441:M1444)</f>
        <v>0</v>
      </c>
      <c r="N1445" s="4">
        <f>SUBTOTAL(9,N1441:N1444)</f>
        <v>0</v>
      </c>
      <c r="O1445" s="4">
        <f>SUBTOTAL(9,O1441:O1444)</f>
        <v>0</v>
      </c>
      <c r="P1445" s="4">
        <f>SUBTOTAL(9,P1441:P1444)</f>
        <v>3591.85</v>
      </c>
      <c r="Q1445" s="4">
        <f>SUBTOTAL(9,Q1441:Q1444)</f>
        <v>-3591.85</v>
      </c>
      <c r="R1445" s="4">
        <f>SUBTOTAL(9,R1441:R1444)</f>
        <v>15.54</v>
      </c>
      <c r="S1445" s="8">
        <f t="shared" si="66"/>
        <v>-49.400000000000013</v>
      </c>
      <c r="T1445" s="8">
        <f t="shared" si="67"/>
        <v>64.940000000000012</v>
      </c>
      <c r="U1445" s="9">
        <f t="shared" si="68"/>
        <v>-1.3145748987854251</v>
      </c>
      <c r="V1445" t="s">
        <v>895</v>
      </c>
    </row>
    <row r="1446" spans="1:22" outlineLevel="2">
      <c r="A1446" t="s">
        <v>454</v>
      </c>
      <c r="B1446" t="s">
        <v>455</v>
      </c>
      <c r="C1446" t="s">
        <v>83</v>
      </c>
      <c r="D1446" t="s">
        <v>84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S1446" s="8">
        <f t="shared" si="66"/>
        <v>0</v>
      </c>
      <c r="T1446" s="8">
        <f t="shared" si="67"/>
        <v>0</v>
      </c>
      <c r="U1446" s="9" t="e">
        <f t="shared" si="68"/>
        <v>#DIV/0!</v>
      </c>
    </row>
    <row r="1447" spans="1:22" outlineLevel="1">
      <c r="A1447" s="1" t="s">
        <v>784</v>
      </c>
      <c r="E1447" s="4">
        <f>SUBTOTAL(9,E1446:E1446)</f>
        <v>0</v>
      </c>
      <c r="F1447" s="4">
        <f>SUBTOTAL(9,F1446:F1446)</f>
        <v>0</v>
      </c>
      <c r="G1447" s="4">
        <f>SUBTOTAL(9,G1446:G1446)</f>
        <v>0</v>
      </c>
      <c r="H1447" s="4">
        <f>SUBTOTAL(9,H1446:H1446)</f>
        <v>0</v>
      </c>
      <c r="I1447" s="4">
        <f>SUBTOTAL(9,I1446:I1446)</f>
        <v>0</v>
      </c>
      <c r="J1447" s="4">
        <f>SUBTOTAL(9,J1446:J1446)</f>
        <v>0</v>
      </c>
      <c r="K1447" s="4">
        <f>SUBTOTAL(9,K1446:K1446)</f>
        <v>0</v>
      </c>
      <c r="L1447" s="4">
        <f>SUBTOTAL(9,L1446:L1446)</f>
        <v>0</v>
      </c>
      <c r="M1447" s="4">
        <f>SUBTOTAL(9,M1446:M1446)</f>
        <v>0</v>
      </c>
      <c r="N1447" s="4">
        <f>SUBTOTAL(9,N1446:N1446)</f>
        <v>0</v>
      </c>
      <c r="O1447" s="4">
        <f>SUBTOTAL(9,O1446:O1446)</f>
        <v>0</v>
      </c>
      <c r="P1447" s="4">
        <f>SUBTOTAL(9,P1446:P1446)</f>
        <v>0</v>
      </c>
      <c r="Q1447" s="4">
        <f>SUBTOTAL(9,Q1446:Q1446)</f>
        <v>0</v>
      </c>
      <c r="R1447" s="4">
        <f>SUBTOTAL(9,R1446:R1446)</f>
        <v>0</v>
      </c>
      <c r="S1447" s="8">
        <f t="shared" si="66"/>
        <v>0</v>
      </c>
      <c r="T1447" s="8">
        <f t="shared" si="67"/>
        <v>0</v>
      </c>
      <c r="U1447" s="9" t="e">
        <f t="shared" si="68"/>
        <v>#DIV/0!</v>
      </c>
    </row>
    <row r="1448" spans="1:22" outlineLevel="2">
      <c r="A1448" t="s">
        <v>456</v>
      </c>
      <c r="B1448" t="s">
        <v>457</v>
      </c>
      <c r="C1448" t="s">
        <v>458</v>
      </c>
      <c r="D1448" t="s">
        <v>459</v>
      </c>
      <c r="E1448" s="4">
        <v>674.83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S1448" s="8">
        <f t="shared" si="66"/>
        <v>0</v>
      </c>
      <c r="T1448" s="8">
        <f t="shared" si="67"/>
        <v>0</v>
      </c>
      <c r="U1448" s="9" t="e">
        <f t="shared" si="68"/>
        <v>#DIV/0!</v>
      </c>
    </row>
    <row r="1449" spans="1:22" outlineLevel="2">
      <c r="A1449" t="s">
        <v>456</v>
      </c>
      <c r="B1449" t="s">
        <v>457</v>
      </c>
      <c r="C1449" t="s">
        <v>83</v>
      </c>
      <c r="D1449" t="s">
        <v>84</v>
      </c>
      <c r="E1449" s="4">
        <v>0</v>
      </c>
      <c r="F1449" s="4">
        <v>0</v>
      </c>
      <c r="G1449" s="4">
        <v>0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  <c r="Q1449" s="4">
        <v>0</v>
      </c>
      <c r="R1449" s="4">
        <v>19.009999999999998</v>
      </c>
      <c r="S1449" s="8">
        <f t="shared" si="66"/>
        <v>0</v>
      </c>
      <c r="T1449" s="8">
        <f t="shared" si="67"/>
        <v>19.009999999999998</v>
      </c>
      <c r="U1449" s="9" t="e">
        <f t="shared" si="68"/>
        <v>#DIV/0!</v>
      </c>
      <c r="V1449" t="s">
        <v>895</v>
      </c>
    </row>
    <row r="1450" spans="1:22" outlineLevel="2">
      <c r="A1450" t="s">
        <v>456</v>
      </c>
      <c r="B1450" t="s">
        <v>457</v>
      </c>
      <c r="C1450" t="s">
        <v>101</v>
      </c>
      <c r="D1450" t="s">
        <v>102</v>
      </c>
      <c r="E1450" s="4">
        <v>2520</v>
      </c>
      <c r="F1450" s="4">
        <v>0</v>
      </c>
      <c r="G1450" s="4">
        <v>0</v>
      </c>
      <c r="H1450" s="4">
        <v>0</v>
      </c>
      <c r="I1450" s="4">
        <v>0</v>
      </c>
      <c r="J1450" s="4">
        <v>2020</v>
      </c>
      <c r="K1450" s="4">
        <v>2160</v>
      </c>
      <c r="L1450" s="4">
        <v>0</v>
      </c>
      <c r="M1450" s="4">
        <v>0</v>
      </c>
      <c r="N1450" s="4">
        <v>0</v>
      </c>
      <c r="O1450" s="4">
        <v>2160</v>
      </c>
      <c r="P1450" s="4">
        <v>0</v>
      </c>
      <c r="Q1450" s="4">
        <v>0</v>
      </c>
      <c r="S1450" s="8">
        <f t="shared" si="66"/>
        <v>360</v>
      </c>
      <c r="T1450" s="8">
        <f t="shared" si="67"/>
        <v>-360</v>
      </c>
      <c r="U1450" s="9">
        <f t="shared" si="68"/>
        <v>-1</v>
      </c>
    </row>
    <row r="1451" spans="1:22" outlineLevel="1">
      <c r="A1451" s="1" t="s">
        <v>785</v>
      </c>
      <c r="E1451" s="4">
        <f>SUBTOTAL(9,E1448:E1450)</f>
        <v>3194.83</v>
      </c>
      <c r="F1451" s="4">
        <f>SUBTOTAL(9,F1448:F1450)</f>
        <v>0</v>
      </c>
      <c r="G1451" s="4">
        <f>SUBTOTAL(9,G1448:G1450)</f>
        <v>0</v>
      </c>
      <c r="H1451" s="4">
        <f>SUBTOTAL(9,H1448:H1450)</f>
        <v>0</v>
      </c>
      <c r="I1451" s="4">
        <f>SUBTOTAL(9,I1448:I1450)</f>
        <v>0</v>
      </c>
      <c r="J1451" s="4">
        <f>SUBTOTAL(9,J1448:J1450)</f>
        <v>2020</v>
      </c>
      <c r="K1451" s="4">
        <f>SUBTOTAL(9,K1448:K1450)</f>
        <v>2160</v>
      </c>
      <c r="L1451" s="4">
        <f>SUBTOTAL(9,L1448:L1450)</f>
        <v>0</v>
      </c>
      <c r="M1451" s="4">
        <f>SUBTOTAL(9,M1448:M1450)</f>
        <v>0</v>
      </c>
      <c r="N1451" s="4">
        <f>SUBTOTAL(9,N1448:N1450)</f>
        <v>0</v>
      </c>
      <c r="O1451" s="4">
        <f>SUBTOTAL(9,O1448:O1450)</f>
        <v>2160</v>
      </c>
      <c r="P1451" s="4">
        <f>SUBTOTAL(9,P1448:P1450)</f>
        <v>0</v>
      </c>
      <c r="Q1451" s="4">
        <f>SUBTOTAL(9,Q1448:Q1450)</f>
        <v>0</v>
      </c>
      <c r="R1451" s="4">
        <f>SUBTOTAL(9,R1448:R1450)</f>
        <v>19.009999999999998</v>
      </c>
      <c r="S1451" s="8">
        <f t="shared" si="66"/>
        <v>360</v>
      </c>
      <c r="T1451" s="8">
        <f t="shared" si="67"/>
        <v>-340.99</v>
      </c>
      <c r="U1451" s="9">
        <f t="shared" si="68"/>
        <v>-0.94719444444444445</v>
      </c>
      <c r="V1451" t="s">
        <v>895</v>
      </c>
    </row>
    <row r="1452" spans="1:22" outlineLevel="2">
      <c r="A1452" t="s">
        <v>460</v>
      </c>
      <c r="B1452" t="s">
        <v>461</v>
      </c>
      <c r="C1452" t="s">
        <v>19</v>
      </c>
      <c r="D1452" t="s">
        <v>20</v>
      </c>
      <c r="E1452" s="4">
        <v>2014.98</v>
      </c>
      <c r="F1452" s="4">
        <v>2063.31</v>
      </c>
      <c r="G1452" s="4">
        <v>0</v>
      </c>
      <c r="H1452" s="4">
        <v>163.72999999999999</v>
      </c>
      <c r="I1452" s="4">
        <v>43.09</v>
      </c>
      <c r="J1452" s="4">
        <v>0</v>
      </c>
      <c r="K1452" s="4">
        <v>2887.6899999999996</v>
      </c>
      <c r="L1452" s="4">
        <v>0</v>
      </c>
      <c r="M1452" s="4">
        <v>0</v>
      </c>
      <c r="N1452" s="4">
        <v>0</v>
      </c>
      <c r="O1452" s="4">
        <v>0</v>
      </c>
      <c r="P1452" s="4">
        <v>25.23</v>
      </c>
      <c r="Q1452" s="4">
        <v>366.88</v>
      </c>
      <c r="R1452" s="4">
        <v>1063.02</v>
      </c>
      <c r="S1452" s="8">
        <f t="shared" si="66"/>
        <v>65.351666666666674</v>
      </c>
      <c r="T1452" s="8">
        <f t="shared" si="67"/>
        <v>997.66833333333329</v>
      </c>
      <c r="U1452" s="9">
        <f t="shared" si="68"/>
        <v>15.266149804901683</v>
      </c>
    </row>
    <row r="1453" spans="1:22" outlineLevel="2">
      <c r="A1453" t="s">
        <v>460</v>
      </c>
      <c r="B1453" t="s">
        <v>461</v>
      </c>
      <c r="C1453" t="s">
        <v>21</v>
      </c>
      <c r="D1453" t="s">
        <v>22</v>
      </c>
      <c r="E1453" s="4">
        <v>0</v>
      </c>
      <c r="F1453" s="4">
        <v>145.75</v>
      </c>
      <c r="G1453" s="4">
        <v>245.7</v>
      </c>
      <c r="H1453" s="4">
        <v>632.9</v>
      </c>
      <c r="I1453" s="4">
        <v>2204.9899999999998</v>
      </c>
      <c r="J1453" s="4">
        <v>0</v>
      </c>
      <c r="K1453" s="4">
        <v>371.91</v>
      </c>
      <c r="L1453" s="4">
        <v>1109.3400000000001</v>
      </c>
      <c r="M1453" s="4">
        <v>0</v>
      </c>
      <c r="N1453" s="4">
        <v>1245.1200000000001</v>
      </c>
      <c r="O1453" s="4">
        <v>0</v>
      </c>
      <c r="P1453" s="4">
        <v>1447.67</v>
      </c>
      <c r="Q1453" s="4">
        <v>-5.6843418860808015E-14</v>
      </c>
      <c r="R1453" s="4">
        <v>2193.75</v>
      </c>
      <c r="S1453" s="8">
        <f t="shared" si="66"/>
        <v>633.68833333333339</v>
      </c>
      <c r="T1453" s="8">
        <f t="shared" si="67"/>
        <v>1560.0616666666665</v>
      </c>
      <c r="U1453" s="9">
        <f t="shared" si="68"/>
        <v>2.4618753172563794</v>
      </c>
    </row>
    <row r="1454" spans="1:22" outlineLevel="2">
      <c r="A1454" t="s">
        <v>460</v>
      </c>
      <c r="B1454" t="s">
        <v>461</v>
      </c>
      <c r="C1454" t="s">
        <v>23</v>
      </c>
      <c r="D1454" t="s">
        <v>24</v>
      </c>
      <c r="E1454" s="4">
        <v>0</v>
      </c>
      <c r="F1454" s="4">
        <v>0</v>
      </c>
      <c r="G1454" s="4">
        <v>911.18</v>
      </c>
      <c r="H1454" s="4">
        <v>0</v>
      </c>
      <c r="I1454" s="4">
        <v>2557.98</v>
      </c>
      <c r="J1454" s="4">
        <v>84.15</v>
      </c>
      <c r="K1454" s="4">
        <v>2101.86</v>
      </c>
      <c r="L1454" s="4">
        <v>0</v>
      </c>
      <c r="M1454" s="4">
        <v>0</v>
      </c>
      <c r="N1454" s="4">
        <v>406.82</v>
      </c>
      <c r="O1454" s="4">
        <v>0</v>
      </c>
      <c r="P1454" s="4">
        <v>0</v>
      </c>
      <c r="Q1454" s="4">
        <v>0</v>
      </c>
      <c r="S1454" s="8">
        <f t="shared" si="66"/>
        <v>67.803333333333327</v>
      </c>
      <c r="T1454" s="8">
        <f t="shared" si="67"/>
        <v>-67.803333333333327</v>
      </c>
      <c r="U1454" s="9">
        <f t="shared" si="68"/>
        <v>-1</v>
      </c>
    </row>
    <row r="1455" spans="1:22" outlineLevel="2">
      <c r="A1455" t="s">
        <v>460</v>
      </c>
      <c r="B1455" t="s">
        <v>461</v>
      </c>
      <c r="C1455" t="s">
        <v>25</v>
      </c>
      <c r="D1455" t="s">
        <v>26</v>
      </c>
      <c r="E1455" s="4">
        <v>0</v>
      </c>
      <c r="F1455" s="4">
        <v>0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484.02000000000004</v>
      </c>
      <c r="O1455" s="4">
        <v>0</v>
      </c>
      <c r="P1455" s="4">
        <v>0</v>
      </c>
      <c r="Q1455" s="4">
        <v>0</v>
      </c>
      <c r="S1455" s="8">
        <f t="shared" si="66"/>
        <v>80.67</v>
      </c>
      <c r="T1455" s="8">
        <f t="shared" si="67"/>
        <v>-80.67</v>
      </c>
      <c r="U1455" s="9">
        <f t="shared" si="68"/>
        <v>-1</v>
      </c>
    </row>
    <row r="1456" spans="1:22" outlineLevel="2">
      <c r="A1456" t="s">
        <v>460</v>
      </c>
      <c r="B1456" t="s">
        <v>461</v>
      </c>
      <c r="C1456" t="s">
        <v>33</v>
      </c>
      <c r="D1456" t="s">
        <v>34</v>
      </c>
      <c r="E1456" s="4">
        <v>0</v>
      </c>
      <c r="F1456" s="4">
        <v>327.9</v>
      </c>
      <c r="G1456" s="4">
        <v>2004.97</v>
      </c>
      <c r="H1456" s="4">
        <v>0</v>
      </c>
      <c r="I1456" s="4">
        <v>435.6</v>
      </c>
      <c r="J1456" s="4">
        <v>0</v>
      </c>
      <c r="K1456" s="4">
        <v>2064</v>
      </c>
      <c r="L1456" s="4">
        <v>0</v>
      </c>
      <c r="M1456" s="4">
        <v>1322.26</v>
      </c>
      <c r="N1456" s="4">
        <v>142.18</v>
      </c>
      <c r="O1456" s="4">
        <v>845</v>
      </c>
      <c r="P1456" s="4">
        <v>0</v>
      </c>
      <c r="Q1456" s="4">
        <v>0</v>
      </c>
      <c r="R1456" s="4">
        <v>3385.45</v>
      </c>
      <c r="S1456" s="8">
        <f t="shared" si="66"/>
        <v>384.90666666666669</v>
      </c>
      <c r="T1456" s="8">
        <f t="shared" si="67"/>
        <v>3000.5433333333331</v>
      </c>
      <c r="U1456" s="9">
        <f t="shared" si="68"/>
        <v>7.7955088679506703</v>
      </c>
    </row>
    <row r="1457" spans="1:22" outlineLevel="2">
      <c r="A1457" t="s">
        <v>460</v>
      </c>
      <c r="B1457" t="s">
        <v>461</v>
      </c>
      <c r="C1457" t="s">
        <v>35</v>
      </c>
      <c r="D1457" t="s">
        <v>36</v>
      </c>
      <c r="E1457" s="4">
        <v>0</v>
      </c>
      <c r="F1457" s="4">
        <v>0</v>
      </c>
      <c r="G1457" s="4">
        <v>2494.04</v>
      </c>
      <c r="H1457" s="4">
        <v>0</v>
      </c>
      <c r="I1457" s="4">
        <v>0</v>
      </c>
      <c r="J1457" s="4">
        <v>0</v>
      </c>
      <c r="K1457" s="4">
        <v>0</v>
      </c>
      <c r="L1457" s="4">
        <v>0</v>
      </c>
      <c r="M1457" s="4">
        <v>8.5265128291212022E-14</v>
      </c>
      <c r="N1457" s="4">
        <v>0</v>
      </c>
      <c r="O1457" s="4">
        <v>0</v>
      </c>
      <c r="P1457" s="4">
        <v>0</v>
      </c>
      <c r="Q1457" s="4">
        <v>0</v>
      </c>
      <c r="S1457" s="8">
        <f t="shared" si="66"/>
        <v>1.4210854715202004E-14</v>
      </c>
      <c r="T1457" s="8">
        <f t="shared" si="67"/>
        <v>-1.4210854715202004E-14</v>
      </c>
      <c r="U1457" s="9">
        <f t="shared" si="68"/>
        <v>-1</v>
      </c>
    </row>
    <row r="1458" spans="1:22" outlineLevel="2">
      <c r="A1458" t="s">
        <v>460</v>
      </c>
      <c r="B1458" t="s">
        <v>461</v>
      </c>
      <c r="C1458" t="s">
        <v>156</v>
      </c>
      <c r="D1458" t="s">
        <v>157</v>
      </c>
      <c r="E1458" s="4">
        <v>1253.77</v>
      </c>
      <c r="F1458" s="4">
        <v>4509.8900000000003</v>
      </c>
      <c r="G1458" s="4">
        <v>3134.13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1377.77</v>
      </c>
      <c r="S1458" s="8">
        <f t="shared" si="66"/>
        <v>229.62833333333333</v>
      </c>
      <c r="T1458" s="8">
        <f t="shared" si="67"/>
        <v>-229.62833333333333</v>
      </c>
      <c r="U1458" s="9">
        <f t="shared" si="68"/>
        <v>-1</v>
      </c>
    </row>
    <row r="1459" spans="1:22" outlineLevel="2">
      <c r="A1459" t="s">
        <v>460</v>
      </c>
      <c r="B1459" t="s">
        <v>461</v>
      </c>
      <c r="C1459" t="s">
        <v>180</v>
      </c>
      <c r="D1459" t="s">
        <v>181</v>
      </c>
      <c r="E1459" s="4">
        <v>0</v>
      </c>
      <c r="F1459" s="4">
        <v>0</v>
      </c>
      <c r="G1459" s="4">
        <v>0</v>
      </c>
      <c r="H1459" s="4">
        <v>0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38.520000000000003</v>
      </c>
      <c r="O1459" s="4">
        <v>0</v>
      </c>
      <c r="P1459" s="4">
        <v>0</v>
      </c>
      <c r="Q1459" s="4">
        <v>0</v>
      </c>
      <c r="S1459" s="8">
        <f t="shared" si="66"/>
        <v>6.4200000000000008</v>
      </c>
      <c r="T1459" s="8">
        <f t="shared" si="67"/>
        <v>-6.4200000000000008</v>
      </c>
      <c r="U1459" s="9">
        <f t="shared" si="68"/>
        <v>-1</v>
      </c>
    </row>
    <row r="1460" spans="1:22" outlineLevel="2">
      <c r="A1460" t="s">
        <v>460</v>
      </c>
      <c r="B1460" t="s">
        <v>461</v>
      </c>
      <c r="C1460" t="s">
        <v>51</v>
      </c>
      <c r="D1460" t="s">
        <v>52</v>
      </c>
      <c r="E1460" s="4">
        <v>0</v>
      </c>
      <c r="F1460" s="4">
        <v>0</v>
      </c>
      <c r="G1460" s="4">
        <v>0</v>
      </c>
      <c r="H1460" s="4">
        <v>24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S1460" s="8">
        <f t="shared" si="66"/>
        <v>0</v>
      </c>
      <c r="T1460" s="8">
        <f t="shared" si="67"/>
        <v>0</v>
      </c>
      <c r="U1460" s="9" t="e">
        <f t="shared" si="68"/>
        <v>#DIV/0!</v>
      </c>
    </row>
    <row r="1461" spans="1:22" outlineLevel="2">
      <c r="A1461" t="s">
        <v>460</v>
      </c>
      <c r="B1461" t="s">
        <v>461</v>
      </c>
      <c r="C1461" t="s">
        <v>59</v>
      </c>
      <c r="D1461" t="s">
        <v>60</v>
      </c>
      <c r="E1461" s="4">
        <v>79.759999999999991</v>
      </c>
      <c r="F1461" s="4">
        <v>0</v>
      </c>
      <c r="G1461" s="4">
        <v>378.88</v>
      </c>
      <c r="H1461" s="4">
        <v>254.35000000000002</v>
      </c>
      <c r="I1461" s="4">
        <v>27.3</v>
      </c>
      <c r="J1461" s="4">
        <v>225</v>
      </c>
      <c r="K1461" s="4">
        <v>296.64</v>
      </c>
      <c r="L1461" s="4">
        <v>-21.700000000000017</v>
      </c>
      <c r="M1461" s="4">
        <v>0</v>
      </c>
      <c r="N1461" s="4">
        <v>89.92</v>
      </c>
      <c r="O1461" s="4">
        <v>0</v>
      </c>
      <c r="P1461" s="4">
        <v>1662.92</v>
      </c>
      <c r="Q1461" s="4">
        <v>11879.98</v>
      </c>
      <c r="R1461" s="4">
        <v>252.88</v>
      </c>
      <c r="S1461" s="8">
        <f t="shared" si="66"/>
        <v>2268.52</v>
      </c>
      <c r="T1461" s="8">
        <f t="shared" si="67"/>
        <v>-2015.6399999999999</v>
      </c>
      <c r="U1461" s="9">
        <f t="shared" si="68"/>
        <v>-0.88852644014599824</v>
      </c>
    </row>
    <row r="1462" spans="1:22" outlineLevel="2">
      <c r="A1462" t="s">
        <v>460</v>
      </c>
      <c r="B1462" t="s">
        <v>461</v>
      </c>
      <c r="C1462" t="s">
        <v>63</v>
      </c>
      <c r="D1462" t="s">
        <v>64</v>
      </c>
      <c r="E1462" s="4">
        <v>0</v>
      </c>
      <c r="F1462" s="4">
        <v>0</v>
      </c>
      <c r="G1462" s="4">
        <v>0</v>
      </c>
      <c r="H1462" s="4">
        <v>-34.81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S1462" s="8">
        <f t="shared" si="66"/>
        <v>0</v>
      </c>
      <c r="T1462" s="8">
        <f t="shared" si="67"/>
        <v>0</v>
      </c>
      <c r="U1462" s="9" t="e">
        <f t="shared" si="68"/>
        <v>#DIV/0!</v>
      </c>
    </row>
    <row r="1463" spans="1:22" outlineLevel="2">
      <c r="A1463" t="s">
        <v>460</v>
      </c>
      <c r="B1463" t="s">
        <v>461</v>
      </c>
      <c r="C1463" t="s">
        <v>83</v>
      </c>
      <c r="D1463" t="s">
        <v>84</v>
      </c>
      <c r="E1463" s="4">
        <v>0</v>
      </c>
      <c r="F1463" s="4">
        <v>275.48</v>
      </c>
      <c r="G1463" s="4">
        <v>0</v>
      </c>
      <c r="H1463" s="4">
        <v>0</v>
      </c>
      <c r="I1463" s="4">
        <v>0</v>
      </c>
      <c r="J1463" s="4">
        <v>0</v>
      </c>
      <c r="K1463" s="4">
        <v>267.76</v>
      </c>
      <c r="L1463" s="4">
        <v>205.54000000000002</v>
      </c>
      <c r="M1463" s="4">
        <v>0</v>
      </c>
      <c r="N1463" s="4">
        <v>397.71</v>
      </c>
      <c r="O1463" s="4">
        <v>0</v>
      </c>
      <c r="P1463" s="4">
        <v>358.94000000000005</v>
      </c>
      <c r="Q1463" s="4">
        <v>0</v>
      </c>
      <c r="R1463" s="4">
        <v>236.51999999999998</v>
      </c>
      <c r="S1463" s="8">
        <f t="shared" si="66"/>
        <v>160.36500000000001</v>
      </c>
      <c r="T1463" s="8">
        <f t="shared" si="67"/>
        <v>76.154999999999973</v>
      </c>
      <c r="U1463" s="9">
        <f t="shared" si="68"/>
        <v>0.47488541764100628</v>
      </c>
    </row>
    <row r="1464" spans="1:22" outlineLevel="2">
      <c r="A1464" t="s">
        <v>460</v>
      </c>
      <c r="B1464" t="s">
        <v>461</v>
      </c>
      <c r="C1464" t="s">
        <v>87</v>
      </c>
      <c r="D1464" t="s">
        <v>88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31.8</v>
      </c>
      <c r="O1464" s="4">
        <v>3.1</v>
      </c>
      <c r="P1464" s="4">
        <v>0</v>
      </c>
      <c r="Q1464" s="4">
        <v>0</v>
      </c>
      <c r="S1464" s="8">
        <f t="shared" si="66"/>
        <v>5.8166666666666664</v>
      </c>
      <c r="T1464" s="8">
        <f t="shared" si="67"/>
        <v>-5.8166666666666664</v>
      </c>
      <c r="U1464" s="9">
        <f t="shared" si="68"/>
        <v>-1</v>
      </c>
    </row>
    <row r="1465" spans="1:22" outlineLevel="2">
      <c r="A1465" t="s">
        <v>460</v>
      </c>
      <c r="B1465" t="s">
        <v>461</v>
      </c>
      <c r="C1465" t="s">
        <v>462</v>
      </c>
      <c r="D1465" t="s">
        <v>463</v>
      </c>
      <c r="E1465" s="4">
        <v>0</v>
      </c>
      <c r="F1465" s="4">
        <v>0</v>
      </c>
      <c r="G1465" s="4">
        <v>0</v>
      </c>
      <c r="H1465" s="4">
        <v>0</v>
      </c>
      <c r="I1465" s="4">
        <v>0</v>
      </c>
      <c r="J1465" s="4">
        <v>0</v>
      </c>
      <c r="K1465" s="4">
        <v>0</v>
      </c>
      <c r="L1465" s="4">
        <v>0</v>
      </c>
      <c r="M1465" s="4">
        <v>0</v>
      </c>
      <c r="N1465" s="4">
        <v>0</v>
      </c>
      <c r="O1465" s="4">
        <v>0</v>
      </c>
      <c r="P1465" s="4">
        <v>0</v>
      </c>
      <c r="Q1465" s="4">
        <v>0</v>
      </c>
      <c r="S1465" s="8">
        <f t="shared" si="66"/>
        <v>0</v>
      </c>
      <c r="T1465" s="8">
        <f t="shared" si="67"/>
        <v>0</v>
      </c>
      <c r="U1465" s="9" t="e">
        <f t="shared" si="68"/>
        <v>#DIV/0!</v>
      </c>
    </row>
    <row r="1466" spans="1:22" outlineLevel="2">
      <c r="A1466" t="s">
        <v>460</v>
      </c>
      <c r="B1466" t="s">
        <v>461</v>
      </c>
      <c r="C1466" t="s">
        <v>89</v>
      </c>
      <c r="D1466" t="s">
        <v>90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518.51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39.590000000000003</v>
      </c>
      <c r="S1466" s="8">
        <f t="shared" si="66"/>
        <v>86.418333333333337</v>
      </c>
      <c r="T1466" s="8">
        <f t="shared" si="67"/>
        <v>-46.828333333333333</v>
      </c>
      <c r="U1466" s="9">
        <f t="shared" si="68"/>
        <v>-0.54187961659370121</v>
      </c>
    </row>
    <row r="1467" spans="1:22" outlineLevel="2">
      <c r="A1467" t="s">
        <v>460</v>
      </c>
      <c r="B1467" t="s">
        <v>461</v>
      </c>
      <c r="C1467" t="s">
        <v>93</v>
      </c>
      <c r="D1467" t="s">
        <v>94</v>
      </c>
      <c r="E1467" s="4">
        <v>0</v>
      </c>
      <c r="F1467" s="4">
        <v>0</v>
      </c>
      <c r="G1467" s="4">
        <v>0</v>
      </c>
      <c r="H1467" s="4">
        <v>0</v>
      </c>
      <c r="I1467" s="4">
        <v>0</v>
      </c>
      <c r="J1467" s="4">
        <v>0</v>
      </c>
      <c r="K1467" s="4">
        <v>0</v>
      </c>
      <c r="L1467" s="4">
        <v>0</v>
      </c>
      <c r="M1467" s="4">
        <v>0</v>
      </c>
      <c r="N1467" s="4">
        <v>0</v>
      </c>
      <c r="O1467" s="4">
        <v>0</v>
      </c>
      <c r="P1467" s="4">
        <v>0</v>
      </c>
      <c r="Q1467" s="4">
        <v>0</v>
      </c>
      <c r="R1467" s="4">
        <v>32.729999999999997</v>
      </c>
      <c r="S1467" s="8">
        <f t="shared" si="66"/>
        <v>0</v>
      </c>
      <c r="T1467" s="8">
        <f t="shared" si="67"/>
        <v>32.729999999999997</v>
      </c>
      <c r="U1467" s="9" t="e">
        <f t="shared" si="68"/>
        <v>#DIV/0!</v>
      </c>
      <c r="V1467" t="s">
        <v>895</v>
      </c>
    </row>
    <row r="1468" spans="1:22" outlineLevel="2">
      <c r="A1468" t="s">
        <v>460</v>
      </c>
      <c r="B1468" t="s">
        <v>461</v>
      </c>
      <c r="C1468" t="s">
        <v>464</v>
      </c>
      <c r="D1468" t="s">
        <v>465</v>
      </c>
      <c r="E1468" s="4">
        <v>0</v>
      </c>
      <c r="F1468" s="4">
        <v>20.28</v>
      </c>
      <c r="G1468" s="4">
        <v>37.590000000000003</v>
      </c>
      <c r="H1468" s="4">
        <v>0</v>
      </c>
      <c r="I1468" s="4">
        <v>38.64</v>
      </c>
      <c r="J1468" s="4">
        <v>21.19</v>
      </c>
      <c r="K1468" s="4">
        <v>0</v>
      </c>
      <c r="L1468" s="4">
        <v>0</v>
      </c>
      <c r="M1468" s="4">
        <v>37.26</v>
      </c>
      <c r="N1468" s="4">
        <v>0</v>
      </c>
      <c r="O1468" s="4">
        <v>35.880000000000003</v>
      </c>
      <c r="P1468" s="4">
        <v>0</v>
      </c>
      <c r="Q1468" s="4">
        <v>10.88</v>
      </c>
      <c r="R1468" s="4">
        <v>30.59</v>
      </c>
      <c r="S1468" s="8">
        <f t="shared" si="66"/>
        <v>14.003333333333332</v>
      </c>
      <c r="T1468" s="8">
        <f t="shared" si="67"/>
        <v>16.586666666666666</v>
      </c>
      <c r="U1468" s="9">
        <f t="shared" si="68"/>
        <v>1.1844798857414902</v>
      </c>
    </row>
    <row r="1469" spans="1:22" outlineLevel="2">
      <c r="A1469" t="s">
        <v>460</v>
      </c>
      <c r="B1469" t="s">
        <v>461</v>
      </c>
      <c r="C1469" t="s">
        <v>127</v>
      </c>
      <c r="D1469" t="s">
        <v>120</v>
      </c>
      <c r="E1469" s="4">
        <v>0</v>
      </c>
      <c r="F1469" s="4">
        <v>0</v>
      </c>
      <c r="G1469" s="4">
        <v>0</v>
      </c>
      <c r="H1469" s="4">
        <v>0</v>
      </c>
      <c r="I1469" s="4">
        <v>0</v>
      </c>
      <c r="J1469" s="4">
        <v>0</v>
      </c>
      <c r="K1469" s="4">
        <v>0</v>
      </c>
      <c r="L1469" s="4">
        <v>0</v>
      </c>
      <c r="M1469" s="4">
        <v>0</v>
      </c>
      <c r="N1469" s="4">
        <v>0</v>
      </c>
      <c r="O1469" s="4">
        <v>0</v>
      </c>
      <c r="P1469" s="4">
        <v>0</v>
      </c>
      <c r="Q1469" s="4">
        <v>1.4210854715202004E-14</v>
      </c>
      <c r="S1469" s="8">
        <f t="shared" si="66"/>
        <v>2.3684757858670005E-15</v>
      </c>
      <c r="T1469" s="8">
        <f t="shared" si="67"/>
        <v>-2.3684757858670005E-15</v>
      </c>
      <c r="U1469" s="9">
        <f t="shared" si="68"/>
        <v>-1</v>
      </c>
    </row>
    <row r="1470" spans="1:22" outlineLevel="2">
      <c r="A1470" t="s">
        <v>460</v>
      </c>
      <c r="B1470" t="s">
        <v>461</v>
      </c>
      <c r="C1470" t="s">
        <v>238</v>
      </c>
      <c r="D1470" t="s">
        <v>239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24</v>
      </c>
      <c r="S1470" s="8">
        <f t="shared" si="66"/>
        <v>0</v>
      </c>
      <c r="T1470" s="8">
        <f t="shared" si="67"/>
        <v>24</v>
      </c>
      <c r="U1470" s="9" t="e">
        <f t="shared" si="68"/>
        <v>#DIV/0!</v>
      </c>
      <c r="V1470" t="s">
        <v>895</v>
      </c>
    </row>
    <row r="1471" spans="1:22" outlineLevel="2">
      <c r="A1471" t="s">
        <v>460</v>
      </c>
      <c r="B1471" t="s">
        <v>461</v>
      </c>
      <c r="C1471" t="s">
        <v>132</v>
      </c>
      <c r="D1471" t="s">
        <v>133</v>
      </c>
      <c r="E1471" s="4">
        <v>0</v>
      </c>
      <c r="F1471" s="4">
        <v>0</v>
      </c>
      <c r="G1471" s="4">
        <v>282</v>
      </c>
      <c r="H1471" s="4">
        <v>0</v>
      </c>
      <c r="I1471" s="4">
        <v>0</v>
      </c>
      <c r="J1471" s="4">
        <v>0</v>
      </c>
      <c r="K1471" s="4">
        <v>0</v>
      </c>
      <c r="L1471" s="4">
        <v>0</v>
      </c>
      <c r="M1471" s="4">
        <v>0</v>
      </c>
      <c r="N1471" s="4">
        <v>0</v>
      </c>
      <c r="O1471" s="4">
        <v>0</v>
      </c>
      <c r="P1471" s="4">
        <v>282</v>
      </c>
      <c r="Q1471" s="4">
        <v>0</v>
      </c>
      <c r="S1471" s="8">
        <f t="shared" si="66"/>
        <v>47</v>
      </c>
      <c r="T1471" s="8">
        <f t="shared" si="67"/>
        <v>-47</v>
      </c>
      <c r="U1471" s="9">
        <f t="shared" si="68"/>
        <v>-1</v>
      </c>
    </row>
    <row r="1472" spans="1:22" outlineLevel="1">
      <c r="A1472" s="1" t="s">
        <v>786</v>
      </c>
      <c r="E1472" s="4">
        <f>SUBTOTAL(9,E1452:E1471)</f>
        <v>3348.51</v>
      </c>
      <c r="F1472" s="4">
        <f>SUBTOTAL(9,F1452:F1471)</f>
        <v>7342.61</v>
      </c>
      <c r="G1472" s="4">
        <f>SUBTOTAL(9,G1452:G1471)</f>
        <v>9488.49</v>
      </c>
      <c r="H1472" s="4">
        <f>SUBTOTAL(9,H1452:H1471)</f>
        <v>1040.17</v>
      </c>
      <c r="I1472" s="4">
        <f>SUBTOTAL(9,I1452:I1471)</f>
        <v>5307.6</v>
      </c>
      <c r="J1472" s="4">
        <f>SUBTOTAL(9,J1452:J1471)</f>
        <v>330.34</v>
      </c>
      <c r="K1472" s="4">
        <f>SUBTOTAL(9,K1452:K1471)</f>
        <v>7989.86</v>
      </c>
      <c r="L1472" s="4">
        <f>SUBTOTAL(9,L1452:L1471)</f>
        <v>1811.69</v>
      </c>
      <c r="M1472" s="4">
        <f>SUBTOTAL(9,M1452:M1471)</f>
        <v>1359.52</v>
      </c>
      <c r="N1472" s="4">
        <f>SUBTOTAL(9,N1452:N1471)</f>
        <v>2836.09</v>
      </c>
      <c r="O1472" s="4">
        <f>SUBTOTAL(9,O1452:O1471)</f>
        <v>883.98</v>
      </c>
      <c r="P1472" s="4">
        <f>SUBTOTAL(9,P1452:P1471)</f>
        <v>3776.76</v>
      </c>
      <c r="Q1472" s="4">
        <f>SUBTOTAL(9,Q1452:Q1471)</f>
        <v>13635.509999999998</v>
      </c>
      <c r="R1472" s="4">
        <f>SUBTOTAL(9,R1452:R1471)</f>
        <v>7258.5299999999988</v>
      </c>
      <c r="S1472" s="8">
        <f t="shared" si="66"/>
        <v>4050.5916666666667</v>
      </c>
      <c r="T1472" s="8">
        <f t="shared" si="67"/>
        <v>3207.9383333333321</v>
      </c>
      <c r="U1472" s="9">
        <f t="shared" si="68"/>
        <v>0.79196784008920473</v>
      </c>
    </row>
    <row r="1473" spans="1:22" outlineLevel="2">
      <c r="A1473" t="s">
        <v>466</v>
      </c>
      <c r="B1473" t="s">
        <v>467</v>
      </c>
      <c r="C1473" t="s">
        <v>19</v>
      </c>
      <c r="D1473" t="s">
        <v>20</v>
      </c>
      <c r="E1473" s="4">
        <v>0</v>
      </c>
      <c r="F1473" s="4">
        <v>0</v>
      </c>
      <c r="G1473" s="4">
        <v>156.34</v>
      </c>
      <c r="H1473" s="4">
        <v>0</v>
      </c>
      <c r="I1473" s="4">
        <v>87.09</v>
      </c>
      <c r="J1473" s="4">
        <v>211.93</v>
      </c>
      <c r="K1473" s="4">
        <v>0</v>
      </c>
      <c r="L1473" s="4">
        <v>150</v>
      </c>
      <c r="M1473" s="4">
        <v>632.07000000000005</v>
      </c>
      <c r="N1473" s="4">
        <v>427.51</v>
      </c>
      <c r="O1473" s="4">
        <v>478.38</v>
      </c>
      <c r="P1473" s="4">
        <v>0</v>
      </c>
      <c r="Q1473" s="4">
        <v>0</v>
      </c>
      <c r="S1473" s="8">
        <f t="shared" si="66"/>
        <v>281.32666666666665</v>
      </c>
      <c r="T1473" s="8">
        <f t="shared" si="67"/>
        <v>-281.32666666666665</v>
      </c>
      <c r="U1473" s="9">
        <f t="shared" si="68"/>
        <v>-1</v>
      </c>
    </row>
    <row r="1474" spans="1:22" outlineLevel="2">
      <c r="A1474" t="s">
        <v>466</v>
      </c>
      <c r="B1474" t="s">
        <v>467</v>
      </c>
      <c r="C1474" t="s">
        <v>21</v>
      </c>
      <c r="D1474" t="s">
        <v>22</v>
      </c>
      <c r="E1474" s="4">
        <v>0</v>
      </c>
      <c r="F1474" s="4">
        <v>0</v>
      </c>
      <c r="G1474" s="4">
        <v>2441.5700000000002</v>
      </c>
      <c r="H1474" s="4">
        <v>1554.35</v>
      </c>
      <c r="I1474" s="4">
        <v>601.47</v>
      </c>
      <c r="J1474" s="4">
        <v>3566.4599999999991</v>
      </c>
      <c r="K1474" s="4">
        <v>3452.0400000000004</v>
      </c>
      <c r="L1474" s="4">
        <v>3101.79</v>
      </c>
      <c r="M1474" s="4">
        <v>2168.0600000000004</v>
      </c>
      <c r="N1474" s="4">
        <v>3968.1699999999996</v>
      </c>
      <c r="O1474" s="4">
        <v>1682.1799999999998</v>
      </c>
      <c r="P1474" s="4">
        <v>1376.23</v>
      </c>
      <c r="Q1474" s="4">
        <v>1558.09</v>
      </c>
      <c r="R1474" s="4">
        <v>596.87</v>
      </c>
      <c r="S1474" s="8">
        <f t="shared" si="66"/>
        <v>2309.0866666666666</v>
      </c>
      <c r="T1474" s="8">
        <f t="shared" si="67"/>
        <v>-1712.2166666666667</v>
      </c>
      <c r="U1474" s="9">
        <f t="shared" si="68"/>
        <v>-0.74151251721459854</v>
      </c>
    </row>
    <row r="1475" spans="1:22" outlineLevel="2">
      <c r="A1475" t="s">
        <v>466</v>
      </c>
      <c r="B1475" t="s">
        <v>467</v>
      </c>
      <c r="C1475" t="s">
        <v>23</v>
      </c>
      <c r="D1475" t="s">
        <v>24</v>
      </c>
      <c r="E1475" s="4">
        <v>0</v>
      </c>
      <c r="F1475" s="4">
        <v>296.19</v>
      </c>
      <c r="G1475" s="4">
        <v>0</v>
      </c>
      <c r="H1475" s="4">
        <v>0</v>
      </c>
      <c r="I1475" s="4">
        <v>0</v>
      </c>
      <c r="J1475" s="4">
        <v>1857.39</v>
      </c>
      <c r="K1475" s="4">
        <v>1712.57</v>
      </c>
      <c r="L1475" s="4">
        <v>671.16000000000008</v>
      </c>
      <c r="M1475" s="4">
        <v>0</v>
      </c>
      <c r="N1475" s="4">
        <v>106.08</v>
      </c>
      <c r="O1475" s="4">
        <v>0</v>
      </c>
      <c r="P1475" s="4">
        <v>77</v>
      </c>
      <c r="Q1475" s="4">
        <v>0</v>
      </c>
      <c r="S1475" s="8">
        <f t="shared" ref="S1475:S1538" si="69">AVERAGE(L1475:Q1475)</f>
        <v>142.37333333333336</v>
      </c>
      <c r="T1475" s="8">
        <f t="shared" ref="T1475:T1538" si="70">R1475-S1475</f>
        <v>-142.37333333333336</v>
      </c>
      <c r="U1475" s="9">
        <f t="shared" ref="U1475:U1538" si="71">(R1475-S1475)/S1475</f>
        <v>-1</v>
      </c>
    </row>
    <row r="1476" spans="1:22" outlineLevel="2">
      <c r="A1476" t="s">
        <v>466</v>
      </c>
      <c r="B1476" t="s">
        <v>467</v>
      </c>
      <c r="C1476" t="s">
        <v>25</v>
      </c>
      <c r="D1476" t="s">
        <v>26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2433.0300000000002</v>
      </c>
      <c r="O1476" s="4">
        <v>1760.2100000000003</v>
      </c>
      <c r="P1476" s="4">
        <v>1241.73</v>
      </c>
      <c r="Q1476" s="4">
        <v>0</v>
      </c>
      <c r="R1476" s="4">
        <v>436.08</v>
      </c>
      <c r="S1476" s="8">
        <f t="shared" si="69"/>
        <v>905.82833333333349</v>
      </c>
      <c r="T1476" s="8">
        <f t="shared" si="70"/>
        <v>-469.74833333333351</v>
      </c>
      <c r="U1476" s="9">
        <f t="shared" si="71"/>
        <v>-0.51858427921405281</v>
      </c>
    </row>
    <row r="1477" spans="1:22" outlineLevel="2">
      <c r="A1477" t="s">
        <v>466</v>
      </c>
      <c r="B1477" t="s">
        <v>467</v>
      </c>
      <c r="C1477" t="s">
        <v>27</v>
      </c>
      <c r="D1477" t="s">
        <v>28</v>
      </c>
      <c r="E1477" s="4">
        <v>0</v>
      </c>
      <c r="F1477" s="4">
        <v>0</v>
      </c>
      <c r="G1477" s="4">
        <v>0</v>
      </c>
      <c r="H1477" s="4">
        <v>0</v>
      </c>
      <c r="I1477" s="4">
        <v>0</v>
      </c>
      <c r="J1477" s="4">
        <v>0</v>
      </c>
      <c r="K1477" s="4">
        <v>0</v>
      </c>
      <c r="L1477" s="4">
        <v>0</v>
      </c>
      <c r="M1477" s="4">
        <v>0</v>
      </c>
      <c r="N1477" s="4">
        <v>428.4</v>
      </c>
      <c r="O1477" s="4">
        <v>53.33</v>
      </c>
      <c r="P1477" s="4">
        <v>1375.39</v>
      </c>
      <c r="Q1477" s="4">
        <v>0</v>
      </c>
      <c r="S1477" s="8">
        <f t="shared" si="69"/>
        <v>309.52000000000004</v>
      </c>
      <c r="T1477" s="8">
        <f t="shared" si="70"/>
        <v>-309.52000000000004</v>
      </c>
      <c r="U1477" s="9">
        <f t="shared" si="71"/>
        <v>-1</v>
      </c>
    </row>
    <row r="1478" spans="1:22" outlineLevel="2">
      <c r="A1478" t="s">
        <v>466</v>
      </c>
      <c r="B1478" t="s">
        <v>467</v>
      </c>
      <c r="C1478" t="s">
        <v>194</v>
      </c>
      <c r="D1478" t="s">
        <v>195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159.88</v>
      </c>
      <c r="R1478" s="4">
        <v>205.56</v>
      </c>
      <c r="S1478" s="8">
        <f t="shared" si="69"/>
        <v>26.646666666666665</v>
      </c>
      <c r="T1478" s="8">
        <f t="shared" si="70"/>
        <v>178.91333333333333</v>
      </c>
      <c r="U1478" s="9">
        <f t="shared" si="71"/>
        <v>6.7142857142857144</v>
      </c>
    </row>
    <row r="1479" spans="1:22" outlineLevel="2">
      <c r="A1479" t="s">
        <v>466</v>
      </c>
      <c r="B1479" t="s">
        <v>467</v>
      </c>
      <c r="C1479" t="s">
        <v>136</v>
      </c>
      <c r="D1479" t="s">
        <v>137</v>
      </c>
      <c r="E1479" s="4">
        <v>-3.637978807091713E-12</v>
      </c>
      <c r="F1479" s="4">
        <v>9.0949470177292824E-13</v>
      </c>
      <c r="G1479" s="4">
        <v>-99999.999999999985</v>
      </c>
      <c r="H1479" s="4">
        <v>0</v>
      </c>
      <c r="I1479" s="4">
        <v>0</v>
      </c>
      <c r="J1479" s="4">
        <v>0</v>
      </c>
      <c r="K1479" s="4">
        <v>0</v>
      </c>
      <c r="L1479" s="4">
        <v>-61851.499999999993</v>
      </c>
      <c r="M1479" s="4">
        <v>3.637978807091713E-12</v>
      </c>
      <c r="N1479" s="4">
        <v>-7.2759576141834259E-12</v>
      </c>
      <c r="O1479" s="4">
        <v>-7.2759576141834259E-12</v>
      </c>
      <c r="P1479" s="4">
        <v>0</v>
      </c>
      <c r="Q1479" s="4">
        <v>-3.637978807091713E-12</v>
      </c>
      <c r="R1479" s="4">
        <v>0</v>
      </c>
      <c r="S1479" s="8">
        <f t="shared" si="69"/>
        <v>-10308.583333333334</v>
      </c>
      <c r="T1479" s="8">
        <f t="shared" si="70"/>
        <v>10308.583333333334</v>
      </c>
      <c r="U1479" s="9">
        <f t="shared" si="71"/>
        <v>-1</v>
      </c>
    </row>
    <row r="1480" spans="1:22" outlineLevel="2">
      <c r="A1480" t="s">
        <v>466</v>
      </c>
      <c r="B1480" t="s">
        <v>467</v>
      </c>
      <c r="C1480" t="s">
        <v>138</v>
      </c>
      <c r="D1480" t="s">
        <v>139</v>
      </c>
      <c r="E1480" s="4">
        <v>-1.8189894035458565E-12</v>
      </c>
      <c r="F1480" s="4">
        <v>0</v>
      </c>
      <c r="G1480" s="4">
        <v>0</v>
      </c>
      <c r="H1480" s="4">
        <v>-4.5474735088646412E-13</v>
      </c>
      <c r="I1480" s="4">
        <v>0</v>
      </c>
      <c r="J1480" s="4">
        <v>0</v>
      </c>
      <c r="K1480" s="4">
        <v>-9.0949470177292824E-13</v>
      </c>
      <c r="L1480" s="4">
        <v>1.1368683772161603E-12</v>
      </c>
      <c r="M1480" s="4">
        <v>9.0949470177292824E-13</v>
      </c>
      <c r="N1480" s="4">
        <v>0</v>
      </c>
      <c r="O1480" s="4">
        <v>0</v>
      </c>
      <c r="P1480" s="4">
        <v>0</v>
      </c>
      <c r="Q1480" s="4">
        <v>0</v>
      </c>
      <c r="S1480" s="8">
        <f t="shared" si="69"/>
        <v>3.4106051316484809E-13</v>
      </c>
      <c r="T1480" s="8">
        <f t="shared" si="70"/>
        <v>-3.4106051316484809E-13</v>
      </c>
      <c r="U1480" s="9">
        <f t="shared" si="71"/>
        <v>-1</v>
      </c>
    </row>
    <row r="1481" spans="1:22" outlineLevel="2">
      <c r="A1481" t="s">
        <v>466</v>
      </c>
      <c r="B1481" t="s">
        <v>467</v>
      </c>
      <c r="C1481" t="s">
        <v>29</v>
      </c>
      <c r="D1481" t="s">
        <v>30</v>
      </c>
      <c r="E1481" s="4">
        <v>1.3500311979441904E-13</v>
      </c>
      <c r="F1481" s="4">
        <v>-2.4868995751603507E-13</v>
      </c>
      <c r="G1481" s="4">
        <v>-5.6843418860808015E-14</v>
      </c>
      <c r="H1481" s="4">
        <v>1.4210854715202004E-14</v>
      </c>
      <c r="I1481" s="4">
        <v>-2.2737367544323206E-13</v>
      </c>
      <c r="J1481" s="4">
        <v>0</v>
      </c>
      <c r="K1481" s="4">
        <v>2.8421709430404007E-14</v>
      </c>
      <c r="L1481" s="4">
        <v>-1.0658141036401503E-13</v>
      </c>
      <c r="M1481" s="4">
        <v>0</v>
      </c>
      <c r="N1481" s="4">
        <v>0</v>
      </c>
      <c r="O1481" s="4">
        <v>0</v>
      </c>
      <c r="P1481" s="4">
        <v>0</v>
      </c>
      <c r="Q1481" s="4">
        <v>0</v>
      </c>
      <c r="S1481" s="8">
        <f t="shared" si="69"/>
        <v>-1.7763568394002505E-14</v>
      </c>
      <c r="T1481" s="8">
        <f t="shared" si="70"/>
        <v>1.7763568394002505E-14</v>
      </c>
      <c r="U1481" s="9">
        <f t="shared" si="71"/>
        <v>-1</v>
      </c>
    </row>
    <row r="1482" spans="1:22" outlineLevel="2">
      <c r="A1482" t="s">
        <v>466</v>
      </c>
      <c r="B1482" t="s">
        <v>467</v>
      </c>
      <c r="C1482" t="s">
        <v>142</v>
      </c>
      <c r="D1482" t="s">
        <v>143</v>
      </c>
      <c r="E1482" s="4">
        <v>0</v>
      </c>
      <c r="F1482" s="4">
        <v>0</v>
      </c>
      <c r="G1482" s="4">
        <v>100000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S1482" s="8">
        <f t="shared" si="69"/>
        <v>0</v>
      </c>
      <c r="T1482" s="8">
        <f t="shared" si="70"/>
        <v>0</v>
      </c>
      <c r="U1482" s="9" t="e">
        <f t="shared" si="71"/>
        <v>#DIV/0!</v>
      </c>
    </row>
    <row r="1483" spans="1:22" outlineLevel="2">
      <c r="A1483" t="s">
        <v>466</v>
      </c>
      <c r="B1483" t="s">
        <v>467</v>
      </c>
      <c r="C1483" t="s">
        <v>144</v>
      </c>
      <c r="D1483" t="s">
        <v>145</v>
      </c>
      <c r="E1483" s="4">
        <v>-4.5474735088646412E-13</v>
      </c>
      <c r="F1483" s="4">
        <v>0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>
        <v>1.1368683772161603E-13</v>
      </c>
      <c r="M1483" s="4">
        <v>0</v>
      </c>
      <c r="N1483" s="4">
        <v>0</v>
      </c>
      <c r="O1483" s="4">
        <v>0</v>
      </c>
      <c r="P1483" s="4">
        <v>0</v>
      </c>
      <c r="Q1483" s="4">
        <v>4060.2899999999995</v>
      </c>
      <c r="R1483" s="4">
        <v>4992.84</v>
      </c>
      <c r="S1483" s="8">
        <f t="shared" si="69"/>
        <v>676.71499999999992</v>
      </c>
      <c r="T1483" s="8">
        <f t="shared" si="70"/>
        <v>4316.125</v>
      </c>
      <c r="U1483" s="9">
        <f t="shared" si="71"/>
        <v>6.3780542769112563</v>
      </c>
    </row>
    <row r="1484" spans="1:22" outlineLevel="2">
      <c r="A1484" t="s">
        <v>466</v>
      </c>
      <c r="B1484" t="s">
        <v>467</v>
      </c>
      <c r="C1484" t="s">
        <v>146</v>
      </c>
      <c r="D1484" t="s">
        <v>147</v>
      </c>
      <c r="E1484" s="4">
        <v>0</v>
      </c>
      <c r="F1484" s="4">
        <v>-3.4106051316484809E-13</v>
      </c>
      <c r="G1484" s="4">
        <v>0</v>
      </c>
      <c r="H1484" s="4">
        <v>-4.5474735088646412E-13</v>
      </c>
      <c r="I1484" s="4">
        <v>0</v>
      </c>
      <c r="J1484" s="4">
        <v>9.0949470177292824E-13</v>
      </c>
      <c r="K1484" s="4">
        <v>0</v>
      </c>
      <c r="L1484" s="4">
        <v>-1129.4600000000003</v>
      </c>
      <c r="M1484" s="4">
        <v>9618.89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8">
        <f t="shared" si="69"/>
        <v>1414.9049999999997</v>
      </c>
      <c r="T1484" s="8">
        <f t="shared" si="70"/>
        <v>-1414.9049999999997</v>
      </c>
      <c r="U1484" s="9">
        <f t="shared" si="71"/>
        <v>-1</v>
      </c>
    </row>
    <row r="1485" spans="1:22" outlineLevel="2">
      <c r="A1485" t="s">
        <v>466</v>
      </c>
      <c r="B1485" t="s">
        <v>467</v>
      </c>
      <c r="C1485" t="s">
        <v>150</v>
      </c>
      <c r="D1485" t="s">
        <v>151</v>
      </c>
      <c r="E1485" s="4">
        <v>0</v>
      </c>
      <c r="F1485" s="4">
        <v>0</v>
      </c>
      <c r="G1485" s="4">
        <v>-67988.72</v>
      </c>
      <c r="H1485" s="4">
        <v>55685.919999999998</v>
      </c>
      <c r="I1485" s="4">
        <v>24362.59</v>
      </c>
      <c r="J1485" s="4">
        <v>16148.92</v>
      </c>
      <c r="K1485" s="4">
        <v>19518.419999999998</v>
      </c>
      <c r="L1485" s="4">
        <v>19518.419999999998</v>
      </c>
      <c r="M1485" s="4">
        <v>19518.419999999998</v>
      </c>
      <c r="N1485" s="4">
        <v>13561.57</v>
      </c>
      <c r="O1485" s="4">
        <v>0</v>
      </c>
      <c r="P1485" s="4">
        <v>13561.57</v>
      </c>
      <c r="Q1485" s="4">
        <v>9702.68</v>
      </c>
      <c r="R1485" s="4">
        <v>9178.73</v>
      </c>
      <c r="S1485" s="8">
        <f t="shared" si="69"/>
        <v>12643.776666666667</v>
      </c>
      <c r="T1485" s="8">
        <f t="shared" si="70"/>
        <v>-3465.0466666666671</v>
      </c>
      <c r="U1485" s="9">
        <f t="shared" si="71"/>
        <v>-0.27405155579833351</v>
      </c>
    </row>
    <row r="1486" spans="1:22" outlineLevel="2">
      <c r="A1486" t="s">
        <v>466</v>
      </c>
      <c r="B1486" t="s">
        <v>467</v>
      </c>
      <c r="C1486" t="s">
        <v>152</v>
      </c>
      <c r="D1486" t="s">
        <v>153</v>
      </c>
      <c r="E1486" s="4">
        <v>0</v>
      </c>
      <c r="F1486" s="4">
        <v>1.1368683772161603E-13</v>
      </c>
      <c r="G1486" s="4">
        <v>4.5474735088646412E-13</v>
      </c>
      <c r="H1486" s="4">
        <v>0</v>
      </c>
      <c r="I1486" s="4">
        <v>4.5474735088646412E-13</v>
      </c>
      <c r="J1486" s="4">
        <v>0</v>
      </c>
      <c r="K1486" s="4">
        <v>-9.0949470177292824E-13</v>
      </c>
      <c r="L1486" s="4">
        <v>0</v>
      </c>
      <c r="M1486" s="4">
        <v>2.2737367544323206E-13</v>
      </c>
      <c r="N1486" s="4">
        <v>2.2737367544323206E-13</v>
      </c>
      <c r="O1486" s="4">
        <v>0</v>
      </c>
      <c r="P1486" s="4">
        <v>0</v>
      </c>
      <c r="Q1486" s="4">
        <v>-3.4106051316484809E-13</v>
      </c>
      <c r="R1486" s="4">
        <v>22026.28</v>
      </c>
      <c r="S1486" s="8">
        <f t="shared" si="69"/>
        <v>1.8947806286936004E-14</v>
      </c>
      <c r="T1486" s="8">
        <f t="shared" si="70"/>
        <v>22026.28</v>
      </c>
      <c r="U1486" s="9">
        <f t="shared" si="71"/>
        <v>1.1624712468791977E+18</v>
      </c>
      <c r="V1486" t="s">
        <v>895</v>
      </c>
    </row>
    <row r="1487" spans="1:22" outlineLevel="2">
      <c r="A1487" t="s">
        <v>466</v>
      </c>
      <c r="B1487" t="s">
        <v>467</v>
      </c>
      <c r="C1487" t="s">
        <v>154</v>
      </c>
      <c r="D1487" t="s">
        <v>155</v>
      </c>
      <c r="E1487" s="4">
        <v>-2.8421709430404007E-14</v>
      </c>
      <c r="F1487" s="4">
        <v>0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  <c r="Q1487" s="4">
        <v>-1.7763568394002505E-14</v>
      </c>
      <c r="S1487" s="8">
        <f t="shared" si="69"/>
        <v>-2.9605947323337509E-15</v>
      </c>
      <c r="T1487" s="8">
        <f t="shared" si="70"/>
        <v>2.9605947323337509E-15</v>
      </c>
      <c r="U1487" s="9">
        <f t="shared" si="71"/>
        <v>-1</v>
      </c>
    </row>
    <row r="1488" spans="1:22" outlineLevel="2">
      <c r="A1488" t="s">
        <v>466</v>
      </c>
      <c r="B1488" t="s">
        <v>467</v>
      </c>
      <c r="C1488" t="s">
        <v>212</v>
      </c>
      <c r="D1488" t="s">
        <v>213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213.9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S1488" s="8">
        <f t="shared" si="69"/>
        <v>0</v>
      </c>
      <c r="T1488" s="8">
        <f t="shared" si="70"/>
        <v>0</v>
      </c>
      <c r="U1488" s="9" t="e">
        <f t="shared" si="71"/>
        <v>#DIV/0!</v>
      </c>
    </row>
    <row r="1489" spans="1:22" outlineLevel="2">
      <c r="A1489" t="s">
        <v>466</v>
      </c>
      <c r="B1489" t="s">
        <v>467</v>
      </c>
      <c r="C1489" t="s">
        <v>156</v>
      </c>
      <c r="D1489" t="s">
        <v>157</v>
      </c>
      <c r="E1489" s="4">
        <v>1799.57</v>
      </c>
      <c r="F1489" s="4">
        <v>1017.01</v>
      </c>
      <c r="G1489" s="4">
        <v>3007.04</v>
      </c>
      <c r="H1489" s="4">
        <v>4287.38</v>
      </c>
      <c r="I1489" s="4">
        <v>0</v>
      </c>
      <c r="J1489" s="4">
        <v>44.150000000000006</v>
      </c>
      <c r="K1489" s="4">
        <v>-49.48</v>
      </c>
      <c r="L1489" s="4">
        <v>2087.7399999999998</v>
      </c>
      <c r="M1489" s="4">
        <v>329.25</v>
      </c>
      <c r="N1489" s="4">
        <v>105.36</v>
      </c>
      <c r="O1489" s="4">
        <v>125.11999999999999</v>
      </c>
      <c r="P1489" s="4">
        <v>-107.56</v>
      </c>
      <c r="Q1489" s="4">
        <v>745.46</v>
      </c>
      <c r="R1489" s="4">
        <v>-180.43</v>
      </c>
      <c r="S1489" s="8">
        <f t="shared" si="69"/>
        <v>547.56166666666661</v>
      </c>
      <c r="T1489" s="8">
        <f t="shared" si="70"/>
        <v>-727.99166666666656</v>
      </c>
      <c r="U1489" s="9">
        <f t="shared" si="71"/>
        <v>-1.3295153970481255</v>
      </c>
    </row>
    <row r="1490" spans="1:22" outlineLevel="2">
      <c r="A1490" t="s">
        <v>466</v>
      </c>
      <c r="B1490" t="s">
        <v>467</v>
      </c>
      <c r="C1490" t="s">
        <v>180</v>
      </c>
      <c r="D1490" t="s">
        <v>181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3983.38</v>
      </c>
      <c r="Q1490" s="4">
        <v>0</v>
      </c>
      <c r="S1490" s="8">
        <f t="shared" si="69"/>
        <v>663.89666666666665</v>
      </c>
      <c r="T1490" s="8">
        <f t="shared" si="70"/>
        <v>-663.89666666666665</v>
      </c>
      <c r="U1490" s="9">
        <f t="shared" si="71"/>
        <v>-1</v>
      </c>
    </row>
    <row r="1491" spans="1:22" outlineLevel="2">
      <c r="A1491" t="s">
        <v>466</v>
      </c>
      <c r="B1491" t="s">
        <v>467</v>
      </c>
      <c r="C1491" t="s">
        <v>158</v>
      </c>
      <c r="D1491" t="s">
        <v>159</v>
      </c>
      <c r="E1491" s="4">
        <v>0</v>
      </c>
      <c r="F1491" s="4">
        <v>0</v>
      </c>
      <c r="G1491" s="4">
        <v>0</v>
      </c>
      <c r="H1491" s="4">
        <v>5.6843418860808015E-14</v>
      </c>
      <c r="I1491" s="4">
        <v>0</v>
      </c>
      <c r="J1491" s="4">
        <v>0</v>
      </c>
      <c r="K1491" s="4">
        <v>0</v>
      </c>
      <c r="L1491" s="4">
        <v>0</v>
      </c>
      <c r="M1491" s="4">
        <v>0</v>
      </c>
      <c r="N1491" s="4">
        <v>0</v>
      </c>
      <c r="O1491" s="4">
        <v>0</v>
      </c>
      <c r="P1491" s="4">
        <v>-1.7053025658242404E-13</v>
      </c>
      <c r="Q1491" s="4">
        <v>0</v>
      </c>
      <c r="R1491" s="4">
        <v>0</v>
      </c>
      <c r="S1491" s="8">
        <f t="shared" si="69"/>
        <v>-2.8421709430404007E-14</v>
      </c>
      <c r="T1491" s="8">
        <f t="shared" si="70"/>
        <v>2.8421709430404007E-14</v>
      </c>
      <c r="U1491" s="9">
        <f t="shared" si="71"/>
        <v>-1</v>
      </c>
    </row>
    <row r="1492" spans="1:22" outlineLevel="2">
      <c r="A1492" t="s">
        <v>466</v>
      </c>
      <c r="B1492" t="s">
        <v>467</v>
      </c>
      <c r="C1492" t="s">
        <v>160</v>
      </c>
      <c r="D1492" t="s">
        <v>161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1129.4000000000001</v>
      </c>
      <c r="N1492" s="4">
        <v>0</v>
      </c>
      <c r="O1492" s="4">
        <v>0</v>
      </c>
      <c r="P1492" s="4">
        <v>0</v>
      </c>
      <c r="Q1492" s="4">
        <v>0</v>
      </c>
      <c r="S1492" s="8">
        <f t="shared" si="69"/>
        <v>188.23333333333335</v>
      </c>
      <c r="T1492" s="8">
        <f t="shared" si="70"/>
        <v>-188.23333333333335</v>
      </c>
      <c r="U1492" s="9">
        <f t="shared" si="71"/>
        <v>-1</v>
      </c>
    </row>
    <row r="1493" spans="1:22" outlineLevel="2">
      <c r="A1493" t="s">
        <v>466</v>
      </c>
      <c r="B1493" t="s">
        <v>467</v>
      </c>
      <c r="C1493" t="s">
        <v>47</v>
      </c>
      <c r="D1493" t="s">
        <v>48</v>
      </c>
      <c r="E1493" s="4">
        <v>5579.38</v>
      </c>
      <c r="F1493" s="4">
        <v>15209.7</v>
      </c>
      <c r="G1493" s="4">
        <v>-11638.18</v>
      </c>
      <c r="H1493" s="4">
        <v>1813.6799999999998</v>
      </c>
      <c r="I1493" s="4">
        <v>1721.25</v>
      </c>
      <c r="J1493" s="4">
        <v>1050</v>
      </c>
      <c r="K1493" s="4">
        <v>1680.9700000000003</v>
      </c>
      <c r="L1493" s="4">
        <v>1738.45</v>
      </c>
      <c r="M1493" s="4">
        <v>1995.4700000000003</v>
      </c>
      <c r="N1493" s="4">
        <v>1899.74</v>
      </c>
      <c r="O1493" s="4">
        <v>1199.4299999999998</v>
      </c>
      <c r="P1493" s="4">
        <v>1214.67</v>
      </c>
      <c r="Q1493" s="4">
        <v>1212.7700000000002</v>
      </c>
      <c r="R1493" s="4">
        <v>1218.3100000000002</v>
      </c>
      <c r="S1493" s="8">
        <f t="shared" si="69"/>
        <v>1543.4216666666669</v>
      </c>
      <c r="T1493" s="8">
        <f t="shared" si="70"/>
        <v>-325.11166666666668</v>
      </c>
      <c r="U1493" s="9">
        <f t="shared" si="71"/>
        <v>-0.21064345129274456</v>
      </c>
    </row>
    <row r="1494" spans="1:22" outlineLevel="2">
      <c r="A1494" t="s">
        <v>466</v>
      </c>
      <c r="B1494" t="s">
        <v>467</v>
      </c>
      <c r="C1494" t="s">
        <v>49</v>
      </c>
      <c r="D1494" t="s">
        <v>50</v>
      </c>
      <c r="E1494" s="4">
        <v>36759.509999999995</v>
      </c>
      <c r="F1494" s="4">
        <v>31943.250000000004</v>
      </c>
      <c r="G1494" s="4">
        <v>43836.480000000003</v>
      </c>
      <c r="H1494" s="4">
        <v>22331.19</v>
      </c>
      <c r="I1494" s="4">
        <v>46933.100000000028</v>
      </c>
      <c r="J1494" s="4">
        <v>64325.66</v>
      </c>
      <c r="K1494" s="4">
        <v>21976.49</v>
      </c>
      <c r="L1494" s="4">
        <v>39490.919999999984</v>
      </c>
      <c r="M1494" s="4">
        <v>51794.849999999991</v>
      </c>
      <c r="N1494" s="4">
        <v>49667.94</v>
      </c>
      <c r="O1494" s="4">
        <v>62349.39999999998</v>
      </c>
      <c r="P1494" s="4">
        <v>42701.64</v>
      </c>
      <c r="Q1494" s="4">
        <v>-5046.6400000000067</v>
      </c>
      <c r="R1494" s="4">
        <v>72038.780000000013</v>
      </c>
      <c r="S1494" s="8">
        <f t="shared" si="69"/>
        <v>40159.68499999999</v>
      </c>
      <c r="T1494" s="8">
        <f t="shared" si="70"/>
        <v>31879.095000000023</v>
      </c>
      <c r="U1494" s="9">
        <f t="shared" si="71"/>
        <v>0.79380839267041137</v>
      </c>
      <c r="V1494" t="s">
        <v>896</v>
      </c>
    </row>
    <row r="1495" spans="1:22" outlineLevel="2">
      <c r="A1495" t="s">
        <v>466</v>
      </c>
      <c r="B1495" t="s">
        <v>467</v>
      </c>
      <c r="C1495" t="s">
        <v>344</v>
      </c>
      <c r="D1495" t="s">
        <v>345</v>
      </c>
      <c r="E1495" s="4">
        <v>0</v>
      </c>
      <c r="F1495" s="4">
        <v>0</v>
      </c>
      <c r="G1495" s="4">
        <v>0</v>
      </c>
      <c r="H1495" s="4">
        <v>0</v>
      </c>
      <c r="I1495" s="4">
        <v>0</v>
      </c>
      <c r="J1495" s="4">
        <v>0</v>
      </c>
      <c r="K1495" s="4">
        <v>0</v>
      </c>
      <c r="L1495" s="4">
        <v>0</v>
      </c>
      <c r="M1495" s="4">
        <v>0</v>
      </c>
      <c r="N1495" s="4">
        <v>0</v>
      </c>
      <c r="O1495" s="4">
        <v>482.69</v>
      </c>
      <c r="P1495" s="4">
        <v>638.85</v>
      </c>
      <c r="Q1495" s="4">
        <v>619.38</v>
      </c>
      <c r="R1495" s="4">
        <v>676.25</v>
      </c>
      <c r="S1495" s="8">
        <f t="shared" si="69"/>
        <v>290.15333333333336</v>
      </c>
      <c r="T1495" s="8">
        <f t="shared" si="70"/>
        <v>386.09666666666664</v>
      </c>
      <c r="U1495" s="9">
        <f t="shared" si="71"/>
        <v>1.3306642464903611</v>
      </c>
    </row>
    <row r="1496" spans="1:22" outlineLevel="2">
      <c r="A1496" t="s">
        <v>466</v>
      </c>
      <c r="B1496" t="s">
        <v>467</v>
      </c>
      <c r="C1496" t="s">
        <v>51</v>
      </c>
      <c r="D1496" t="s">
        <v>52</v>
      </c>
      <c r="E1496" s="4">
        <v>0</v>
      </c>
      <c r="F1496" s="4">
        <v>795</v>
      </c>
      <c r="G1496" s="4">
        <v>0</v>
      </c>
      <c r="H1496" s="4">
        <v>0</v>
      </c>
      <c r="I1496" s="4">
        <v>0</v>
      </c>
      <c r="J1496" s="4">
        <v>0</v>
      </c>
      <c r="K1496" s="4">
        <v>85</v>
      </c>
      <c r="L1496" s="4">
        <v>0</v>
      </c>
      <c r="M1496" s="4">
        <v>24</v>
      </c>
      <c r="N1496" s="4">
        <v>0</v>
      </c>
      <c r="O1496" s="4">
        <v>0</v>
      </c>
      <c r="P1496" s="4">
        <v>736.4</v>
      </c>
      <c r="Q1496" s="4">
        <v>0</v>
      </c>
      <c r="S1496" s="8">
        <f t="shared" si="69"/>
        <v>126.73333333333333</v>
      </c>
      <c r="T1496" s="8">
        <f t="shared" si="70"/>
        <v>-126.73333333333333</v>
      </c>
      <c r="U1496" s="9">
        <f t="shared" si="71"/>
        <v>-1</v>
      </c>
    </row>
    <row r="1497" spans="1:22" outlineLevel="2">
      <c r="A1497" t="s">
        <v>466</v>
      </c>
      <c r="B1497" t="s">
        <v>467</v>
      </c>
      <c r="C1497" t="s">
        <v>164</v>
      </c>
      <c r="D1497" t="s">
        <v>165</v>
      </c>
      <c r="E1497" s="4">
        <v>315</v>
      </c>
      <c r="F1497" s="4">
        <v>210</v>
      </c>
      <c r="G1497" s="4">
        <v>210</v>
      </c>
      <c r="H1497" s="4">
        <v>210</v>
      </c>
      <c r="I1497" s="4">
        <v>210</v>
      </c>
      <c r="J1497" s="4">
        <v>210</v>
      </c>
      <c r="K1497" s="4">
        <v>280</v>
      </c>
      <c r="L1497" s="4">
        <v>385</v>
      </c>
      <c r="M1497" s="4">
        <v>210</v>
      </c>
      <c r="N1497" s="4">
        <v>210</v>
      </c>
      <c r="O1497" s="4">
        <v>210</v>
      </c>
      <c r="P1497" s="4">
        <v>210</v>
      </c>
      <c r="Q1497" s="4">
        <v>315</v>
      </c>
      <c r="R1497" s="4">
        <v>210</v>
      </c>
      <c r="S1497" s="8">
        <f t="shared" si="69"/>
        <v>256.66666666666669</v>
      </c>
      <c r="T1497" s="8">
        <f t="shared" si="70"/>
        <v>-46.666666666666686</v>
      </c>
      <c r="U1497" s="9">
        <f t="shared" si="71"/>
        <v>-0.18181818181818188</v>
      </c>
    </row>
    <row r="1498" spans="1:22" outlineLevel="2">
      <c r="A1498" t="s">
        <v>466</v>
      </c>
      <c r="B1498" t="s">
        <v>467</v>
      </c>
      <c r="C1498" t="s">
        <v>55</v>
      </c>
      <c r="D1498" t="s">
        <v>56</v>
      </c>
      <c r="E1498" s="4">
        <v>344.33</v>
      </c>
      <c r="F1498" s="4">
        <v>162.06</v>
      </c>
      <c r="G1498" s="4">
        <v>99.93</v>
      </c>
      <c r="H1498" s="4">
        <v>0</v>
      </c>
      <c r="I1498" s="4">
        <v>113.93</v>
      </c>
      <c r="J1498" s="4">
        <v>0</v>
      </c>
      <c r="K1498" s="4">
        <v>34.799999999999997</v>
      </c>
      <c r="L1498" s="4">
        <v>184.99</v>
      </c>
      <c r="M1498" s="4">
        <v>23.4</v>
      </c>
      <c r="N1498" s="4">
        <v>0</v>
      </c>
      <c r="O1498" s="4">
        <v>0</v>
      </c>
      <c r="P1498" s="4">
        <v>17.34</v>
      </c>
      <c r="Q1498" s="4">
        <v>422.74</v>
      </c>
      <c r="R1498" s="4">
        <v>15.77</v>
      </c>
      <c r="S1498" s="8">
        <f t="shared" si="69"/>
        <v>108.07833333333333</v>
      </c>
      <c r="T1498" s="8">
        <f t="shared" si="70"/>
        <v>-92.308333333333337</v>
      </c>
      <c r="U1498" s="9">
        <f t="shared" si="71"/>
        <v>-0.85408731321418108</v>
      </c>
    </row>
    <row r="1499" spans="1:22" outlineLevel="2">
      <c r="A1499" t="s">
        <v>466</v>
      </c>
      <c r="B1499" t="s">
        <v>467</v>
      </c>
      <c r="C1499" t="s">
        <v>59</v>
      </c>
      <c r="D1499" t="s">
        <v>60</v>
      </c>
      <c r="E1499" s="4">
        <v>30.829999999999984</v>
      </c>
      <c r="F1499" s="4">
        <v>988.56</v>
      </c>
      <c r="G1499" s="4">
        <v>-9758.7800000000007</v>
      </c>
      <c r="H1499" s="4">
        <v>484.39000000000004</v>
      </c>
      <c r="I1499" s="4">
        <v>851.79</v>
      </c>
      <c r="J1499" s="4">
        <v>10501.48</v>
      </c>
      <c r="K1499" s="4">
        <v>539.41000000000008</v>
      </c>
      <c r="L1499" s="4">
        <v>259</v>
      </c>
      <c r="M1499" s="4">
        <v>165.02</v>
      </c>
      <c r="N1499" s="4">
        <v>213.79</v>
      </c>
      <c r="O1499" s="4">
        <v>144.56</v>
      </c>
      <c r="P1499" s="4">
        <v>132.1</v>
      </c>
      <c r="Q1499" s="4">
        <v>430.09999999999997</v>
      </c>
      <c r="R1499" s="4">
        <v>404.09</v>
      </c>
      <c r="S1499" s="8">
        <f t="shared" si="69"/>
        <v>224.095</v>
      </c>
      <c r="T1499" s="8">
        <f t="shared" si="70"/>
        <v>179.99499999999998</v>
      </c>
      <c r="U1499" s="9">
        <f t="shared" si="71"/>
        <v>0.80320846069747198</v>
      </c>
    </row>
    <row r="1500" spans="1:22" outlineLevel="2">
      <c r="A1500" t="s">
        <v>466</v>
      </c>
      <c r="B1500" t="s">
        <v>467</v>
      </c>
      <c r="C1500" t="s">
        <v>274</v>
      </c>
      <c r="D1500" t="s">
        <v>275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5775</v>
      </c>
      <c r="O1500" s="4">
        <v>0</v>
      </c>
      <c r="P1500" s="4">
        <v>0</v>
      </c>
      <c r="Q1500" s="4">
        <v>0</v>
      </c>
      <c r="S1500" s="8">
        <f t="shared" si="69"/>
        <v>962.5</v>
      </c>
      <c r="T1500" s="8">
        <f t="shared" si="70"/>
        <v>-962.5</v>
      </c>
      <c r="U1500" s="9">
        <f t="shared" si="71"/>
        <v>-1</v>
      </c>
    </row>
    <row r="1501" spans="1:22" outlineLevel="2">
      <c r="A1501" t="s">
        <v>466</v>
      </c>
      <c r="B1501" t="s">
        <v>467</v>
      </c>
      <c r="C1501" t="s">
        <v>196</v>
      </c>
      <c r="D1501" t="s">
        <v>197</v>
      </c>
      <c r="E1501" s="4">
        <v>18264.95</v>
      </c>
      <c r="F1501" s="4">
        <v>102.78999999999913</v>
      </c>
      <c r="G1501" s="4">
        <v>2427.3099999999995</v>
      </c>
      <c r="H1501" s="4">
        <v>15462.060000000005</v>
      </c>
      <c r="I1501" s="4">
        <v>7096.9500000000007</v>
      </c>
      <c r="J1501" s="4">
        <v>-12080.48</v>
      </c>
      <c r="K1501" s="4">
        <v>33193.249999999993</v>
      </c>
      <c r="L1501" s="4">
        <v>15067.5</v>
      </c>
      <c r="M1501" s="4">
        <v>1591.010000000002</v>
      </c>
      <c r="N1501" s="4">
        <v>31378.019999999997</v>
      </c>
      <c r="O1501" s="4">
        <v>12813.209999999997</v>
      </c>
      <c r="P1501" s="4">
        <v>63298.849999999991</v>
      </c>
      <c r="Q1501" s="4">
        <v>600.66999999999996</v>
      </c>
      <c r="R1501" s="4">
        <v>7527.1100000000006</v>
      </c>
      <c r="S1501" s="8">
        <f t="shared" si="69"/>
        <v>20791.543333333331</v>
      </c>
      <c r="T1501" s="8">
        <f t="shared" si="70"/>
        <v>-13264.433333333331</v>
      </c>
      <c r="U1501" s="9">
        <f t="shared" si="71"/>
        <v>-0.63797252184101128</v>
      </c>
    </row>
    <row r="1502" spans="1:22" outlineLevel="2">
      <c r="A1502" t="s">
        <v>466</v>
      </c>
      <c r="B1502" t="s">
        <v>467</v>
      </c>
      <c r="C1502" t="s">
        <v>63</v>
      </c>
      <c r="D1502" t="s">
        <v>64</v>
      </c>
      <c r="E1502" s="4">
        <v>0</v>
      </c>
      <c r="F1502" s="4">
        <v>0</v>
      </c>
      <c r="G1502" s="4">
        <v>0</v>
      </c>
      <c r="H1502" s="4">
        <v>-39.510000000000005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S1502" s="8">
        <f t="shared" si="69"/>
        <v>0</v>
      </c>
      <c r="T1502" s="8">
        <f t="shared" si="70"/>
        <v>0</v>
      </c>
      <c r="U1502" s="9" t="e">
        <f t="shared" si="71"/>
        <v>#DIV/0!</v>
      </c>
    </row>
    <row r="1503" spans="1:22" outlineLevel="2">
      <c r="A1503" t="s">
        <v>466</v>
      </c>
      <c r="B1503" t="s">
        <v>467</v>
      </c>
      <c r="C1503" t="s">
        <v>83</v>
      </c>
      <c r="D1503" t="s">
        <v>84</v>
      </c>
      <c r="E1503" s="4">
        <v>1518.7800000000002</v>
      </c>
      <c r="F1503" s="4">
        <v>1338.6200000000001</v>
      </c>
      <c r="G1503" s="4">
        <v>673.23</v>
      </c>
      <c r="H1503" s="4">
        <v>975.31999999999982</v>
      </c>
      <c r="I1503" s="4">
        <v>2090.6400000000003</v>
      </c>
      <c r="J1503" s="4">
        <v>1580.55</v>
      </c>
      <c r="K1503" s="4">
        <v>1812.8700000000001</v>
      </c>
      <c r="L1503" s="4">
        <v>2000.49</v>
      </c>
      <c r="M1503" s="4">
        <v>1624.28</v>
      </c>
      <c r="N1503" s="4">
        <v>921.31000000000017</v>
      </c>
      <c r="O1503" s="4">
        <v>654.28</v>
      </c>
      <c r="P1503" s="4">
        <v>368.36</v>
      </c>
      <c r="Q1503" s="4">
        <v>761.28</v>
      </c>
      <c r="R1503" s="4">
        <v>2826.4299999999994</v>
      </c>
      <c r="S1503" s="8">
        <f t="shared" si="69"/>
        <v>1054.9999999999998</v>
      </c>
      <c r="T1503" s="8">
        <f t="shared" si="70"/>
        <v>1771.4299999999996</v>
      </c>
      <c r="U1503" s="9">
        <f t="shared" si="71"/>
        <v>1.6790805687203791</v>
      </c>
    </row>
    <row r="1504" spans="1:22" outlineLevel="2">
      <c r="A1504" t="s">
        <v>466</v>
      </c>
      <c r="B1504" t="s">
        <v>467</v>
      </c>
      <c r="C1504" t="s">
        <v>89</v>
      </c>
      <c r="D1504" t="s">
        <v>90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10.63000000000001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S1504" s="8">
        <f t="shared" si="69"/>
        <v>0</v>
      </c>
      <c r="T1504" s="8">
        <f t="shared" si="70"/>
        <v>0</v>
      </c>
      <c r="U1504" s="9" t="e">
        <f t="shared" si="71"/>
        <v>#DIV/0!</v>
      </c>
    </row>
    <row r="1505" spans="1:22" outlineLevel="2">
      <c r="A1505" t="s">
        <v>466</v>
      </c>
      <c r="B1505" t="s">
        <v>467</v>
      </c>
      <c r="C1505" t="s">
        <v>166</v>
      </c>
      <c r="D1505" t="s">
        <v>167</v>
      </c>
      <c r="E1505" s="4">
        <v>3861.99</v>
      </c>
      <c r="F1505" s="4">
        <v>2555.5</v>
      </c>
      <c r="G1505" s="4">
        <v>7052.7900000000009</v>
      </c>
      <c r="H1505" s="4">
        <v>-895.6099999999999</v>
      </c>
      <c r="I1505" s="4">
        <v>469.54</v>
      </c>
      <c r="J1505" s="4">
        <v>-4207.58</v>
      </c>
      <c r="K1505" s="4">
        <v>499.46999999999997</v>
      </c>
      <c r="L1505" s="4">
        <v>-9772.34</v>
      </c>
      <c r="M1505" s="4">
        <v>-4621.01</v>
      </c>
      <c r="N1505" s="4">
        <v>-8826.3799999999992</v>
      </c>
      <c r="O1505" s="4">
        <v>539.14</v>
      </c>
      <c r="P1505" s="4">
        <v>-30648.499999999996</v>
      </c>
      <c r="Q1505" s="4">
        <v>1970.42</v>
      </c>
      <c r="R1505" s="4">
        <v>4113.1499999999996</v>
      </c>
      <c r="S1505" s="8">
        <f t="shared" si="69"/>
        <v>-8559.7783333333336</v>
      </c>
      <c r="T1505" s="8">
        <f t="shared" si="70"/>
        <v>12672.928333333333</v>
      </c>
      <c r="U1505" s="9">
        <f t="shared" si="71"/>
        <v>-1.4805206209584476</v>
      </c>
    </row>
    <row r="1506" spans="1:22" outlineLevel="2">
      <c r="A1506" t="s">
        <v>466</v>
      </c>
      <c r="B1506" t="s">
        <v>467</v>
      </c>
      <c r="C1506" t="s">
        <v>182</v>
      </c>
      <c r="D1506" t="s">
        <v>183</v>
      </c>
      <c r="E1506" s="4">
        <v>33662.549999999996</v>
      </c>
      <c r="F1506" s="4">
        <v>33116.25</v>
      </c>
      <c r="G1506" s="4">
        <v>32455.799999999996</v>
      </c>
      <c r="H1506" s="4">
        <v>1248.5</v>
      </c>
      <c r="I1506" s="4">
        <v>59696.139999999992</v>
      </c>
      <c r="J1506" s="4">
        <v>34569.86</v>
      </c>
      <c r="K1506" s="4">
        <v>29709.410000000003</v>
      </c>
      <c r="L1506" s="4">
        <v>35609.979999999996</v>
      </c>
      <c r="M1506" s="4">
        <v>32998.050000000003</v>
      </c>
      <c r="N1506" s="4">
        <v>32923.850000000006</v>
      </c>
      <c r="O1506" s="4">
        <v>30576.02</v>
      </c>
      <c r="P1506" s="4">
        <v>29887.99</v>
      </c>
      <c r="Q1506" s="4">
        <v>25867.229999999996</v>
      </c>
      <c r="R1506" s="4">
        <v>22211.280000000002</v>
      </c>
      <c r="S1506" s="8">
        <f t="shared" si="69"/>
        <v>31310.52</v>
      </c>
      <c r="T1506" s="8">
        <f t="shared" si="70"/>
        <v>-9099.239999999998</v>
      </c>
      <c r="U1506" s="9">
        <f t="shared" si="71"/>
        <v>-0.29061286749629189</v>
      </c>
    </row>
    <row r="1507" spans="1:22" outlineLevel="2">
      <c r="A1507" t="s">
        <v>466</v>
      </c>
      <c r="B1507" t="s">
        <v>467</v>
      </c>
      <c r="C1507" t="s">
        <v>93</v>
      </c>
      <c r="D1507" t="s">
        <v>94</v>
      </c>
      <c r="E1507" s="4">
        <v>0</v>
      </c>
      <c r="F1507" s="4">
        <v>10.96</v>
      </c>
      <c r="G1507" s="4">
        <v>261.95999999999998</v>
      </c>
      <c r="H1507" s="4">
        <v>0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S1507" s="8">
        <f t="shared" si="69"/>
        <v>0</v>
      </c>
      <c r="T1507" s="8">
        <f t="shared" si="70"/>
        <v>0</v>
      </c>
      <c r="U1507" s="9" t="e">
        <f t="shared" si="71"/>
        <v>#DIV/0!</v>
      </c>
    </row>
    <row r="1508" spans="1:22" outlineLevel="2">
      <c r="A1508" t="s">
        <v>466</v>
      </c>
      <c r="B1508" t="s">
        <v>467</v>
      </c>
      <c r="C1508" t="s">
        <v>97</v>
      </c>
      <c r="D1508" t="s">
        <v>98</v>
      </c>
      <c r="E1508" s="4">
        <v>0</v>
      </c>
      <c r="F1508" s="4">
        <v>0</v>
      </c>
      <c r="G1508" s="4">
        <v>0</v>
      </c>
      <c r="H1508" s="4">
        <v>-47.99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S1508" s="8">
        <f t="shared" si="69"/>
        <v>0</v>
      </c>
      <c r="T1508" s="8">
        <f t="shared" si="70"/>
        <v>0</v>
      </c>
      <c r="U1508" s="9" t="e">
        <f t="shared" si="71"/>
        <v>#DIV/0!</v>
      </c>
    </row>
    <row r="1509" spans="1:22" outlineLevel="2">
      <c r="A1509" t="s">
        <v>466</v>
      </c>
      <c r="B1509" t="s">
        <v>467</v>
      </c>
      <c r="C1509" t="s">
        <v>184</v>
      </c>
      <c r="D1509" t="s">
        <v>185</v>
      </c>
      <c r="E1509" s="4">
        <v>0</v>
      </c>
      <c r="F1509" s="4">
        <v>0</v>
      </c>
      <c r="G1509" s="4">
        <v>0</v>
      </c>
      <c r="H1509" s="4">
        <v>0</v>
      </c>
      <c r="I1509" s="4">
        <v>0</v>
      </c>
      <c r="J1509" s="4">
        <v>0</v>
      </c>
      <c r="K1509" s="4">
        <v>0</v>
      </c>
      <c r="L1509" s="4">
        <v>0</v>
      </c>
      <c r="M1509" s="4">
        <v>0</v>
      </c>
      <c r="N1509" s="4">
        <v>418.26</v>
      </c>
      <c r="O1509" s="4">
        <v>799.93000000000006</v>
      </c>
      <c r="P1509" s="4">
        <v>6900</v>
      </c>
      <c r="Q1509" s="4">
        <v>1439.8500000000001</v>
      </c>
      <c r="S1509" s="8">
        <f t="shared" si="69"/>
        <v>1593.0066666666669</v>
      </c>
      <c r="T1509" s="8">
        <f t="shared" si="70"/>
        <v>-1593.0066666666669</v>
      </c>
      <c r="U1509" s="9">
        <f t="shared" si="71"/>
        <v>-1</v>
      </c>
    </row>
    <row r="1510" spans="1:22" outlineLevel="2">
      <c r="A1510" t="s">
        <v>466</v>
      </c>
      <c r="B1510" t="s">
        <v>467</v>
      </c>
      <c r="C1510" t="s">
        <v>224</v>
      </c>
      <c r="D1510" t="s">
        <v>225</v>
      </c>
      <c r="E1510" s="4">
        <v>54.12</v>
      </c>
      <c r="F1510" s="4">
        <v>10388.36</v>
      </c>
      <c r="G1510" s="4">
        <v>0</v>
      </c>
      <c r="H1510" s="4">
        <v>11040.95</v>
      </c>
      <c r="I1510" s="4">
        <v>3250</v>
      </c>
      <c r="J1510" s="4">
        <v>3708.5</v>
      </c>
      <c r="K1510" s="4">
        <v>5000</v>
      </c>
      <c r="L1510" s="4">
        <v>0</v>
      </c>
      <c r="M1510" s="4">
        <v>0</v>
      </c>
      <c r="N1510" s="4">
        <v>2250</v>
      </c>
      <c r="O1510" s="4">
        <v>1440</v>
      </c>
      <c r="P1510" s="4">
        <v>0</v>
      </c>
      <c r="Q1510" s="4">
        <v>0</v>
      </c>
      <c r="R1510" s="4">
        <v>1411.56</v>
      </c>
      <c r="S1510" s="8">
        <f t="shared" si="69"/>
        <v>615</v>
      </c>
      <c r="T1510" s="8">
        <f t="shared" si="70"/>
        <v>796.56</v>
      </c>
      <c r="U1510" s="9">
        <f t="shared" si="71"/>
        <v>1.2952195121951218</v>
      </c>
    </row>
    <row r="1511" spans="1:22" outlineLevel="2">
      <c r="A1511" t="s">
        <v>466</v>
      </c>
      <c r="B1511" t="s">
        <v>467</v>
      </c>
      <c r="C1511" t="s">
        <v>101</v>
      </c>
      <c r="D1511" t="s">
        <v>102</v>
      </c>
      <c r="E1511" s="4">
        <v>0</v>
      </c>
      <c r="F1511" s="4">
        <v>0</v>
      </c>
      <c r="G1511" s="4">
        <v>0</v>
      </c>
      <c r="H1511" s="4">
        <v>-463.3</v>
      </c>
      <c r="I1511" s="4">
        <v>0</v>
      </c>
      <c r="J1511" s="4">
        <v>0</v>
      </c>
      <c r="K1511" s="4">
        <v>0</v>
      </c>
      <c r="L1511" s="4">
        <v>0</v>
      </c>
      <c r="M1511" s="4">
        <v>0</v>
      </c>
      <c r="N1511" s="4">
        <v>0</v>
      </c>
      <c r="O1511" s="4">
        <v>2681.1699999999996</v>
      </c>
      <c r="P1511" s="4">
        <v>0</v>
      </c>
      <c r="Q1511" s="4">
        <v>0</v>
      </c>
      <c r="S1511" s="8">
        <f t="shared" si="69"/>
        <v>446.86166666666662</v>
      </c>
      <c r="T1511" s="8">
        <f t="shared" si="70"/>
        <v>-446.86166666666662</v>
      </c>
      <c r="U1511" s="9">
        <f t="shared" si="71"/>
        <v>-1</v>
      </c>
    </row>
    <row r="1512" spans="1:22" outlineLevel="2">
      <c r="A1512" t="s">
        <v>466</v>
      </c>
      <c r="B1512" t="s">
        <v>467</v>
      </c>
      <c r="C1512" t="s">
        <v>105</v>
      </c>
      <c r="D1512" t="s">
        <v>106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375</v>
      </c>
      <c r="S1512" s="8">
        <f t="shared" si="69"/>
        <v>0</v>
      </c>
      <c r="T1512" s="8">
        <f t="shared" si="70"/>
        <v>375</v>
      </c>
      <c r="U1512" s="9" t="e">
        <f t="shared" si="71"/>
        <v>#DIV/0!</v>
      </c>
      <c r="V1512" t="s">
        <v>895</v>
      </c>
    </row>
    <row r="1513" spans="1:22" outlineLevel="2">
      <c r="A1513" t="s">
        <v>466</v>
      </c>
      <c r="B1513" t="s">
        <v>467</v>
      </c>
      <c r="C1513" t="s">
        <v>312</v>
      </c>
      <c r="D1513" t="s">
        <v>313</v>
      </c>
      <c r="E1513" s="4">
        <v>0</v>
      </c>
      <c r="F1513" s="4">
        <v>0</v>
      </c>
      <c r="G1513" s="4">
        <v>0</v>
      </c>
      <c r="H1513" s="4">
        <v>0</v>
      </c>
      <c r="I1513" s="4">
        <v>0</v>
      </c>
      <c r="J1513" s="4">
        <v>0</v>
      </c>
      <c r="K1513" s="4">
        <v>495</v>
      </c>
      <c r="L1513" s="4">
        <v>-144.99999999999994</v>
      </c>
      <c r="M1513" s="4">
        <v>100</v>
      </c>
      <c r="N1513" s="4">
        <v>912</v>
      </c>
      <c r="O1513" s="4">
        <v>85918.43</v>
      </c>
      <c r="P1513" s="4">
        <v>-991.43000000000029</v>
      </c>
      <c r="Q1513" s="4">
        <v>2720.73</v>
      </c>
      <c r="R1513" s="4">
        <v>-500.73</v>
      </c>
      <c r="S1513" s="8">
        <f t="shared" si="69"/>
        <v>14752.455</v>
      </c>
      <c r="T1513" s="8">
        <f t="shared" si="70"/>
        <v>-15253.184999999999</v>
      </c>
      <c r="U1513" s="9">
        <f t="shared" si="71"/>
        <v>-1.0339421472561685</v>
      </c>
    </row>
    <row r="1514" spans="1:22" outlineLevel="2">
      <c r="A1514" t="s">
        <v>466</v>
      </c>
      <c r="B1514" t="s">
        <v>467</v>
      </c>
      <c r="C1514" t="s">
        <v>111</v>
      </c>
      <c r="D1514" t="s">
        <v>112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1054.7</v>
      </c>
      <c r="N1514" s="4">
        <v>0</v>
      </c>
      <c r="O1514" s="4">
        <v>0</v>
      </c>
      <c r="P1514" s="4">
        <v>0</v>
      </c>
      <c r="Q1514" s="4">
        <v>0</v>
      </c>
      <c r="S1514" s="8">
        <f t="shared" si="69"/>
        <v>175.78333333333333</v>
      </c>
      <c r="T1514" s="8">
        <f t="shared" si="70"/>
        <v>-175.78333333333333</v>
      </c>
      <c r="U1514" s="9">
        <f t="shared" si="71"/>
        <v>-1</v>
      </c>
    </row>
    <row r="1515" spans="1:22" outlineLevel="2">
      <c r="A1515" t="s">
        <v>466</v>
      </c>
      <c r="B1515" t="s">
        <v>467</v>
      </c>
      <c r="C1515" t="s">
        <v>464</v>
      </c>
      <c r="D1515" t="s">
        <v>465</v>
      </c>
      <c r="E1515" s="4">
        <v>116.9</v>
      </c>
      <c r="F1515" s="4">
        <v>77.739999999999995</v>
      </c>
      <c r="G1515" s="4">
        <v>25.06</v>
      </c>
      <c r="H1515" s="4">
        <v>243.93</v>
      </c>
      <c r="I1515" s="4">
        <v>62.16</v>
      </c>
      <c r="J1515" s="4">
        <v>65.2</v>
      </c>
      <c r="K1515" s="4">
        <v>94.54</v>
      </c>
      <c r="L1515" s="4">
        <v>103.04</v>
      </c>
      <c r="M1515" s="4">
        <v>113.4</v>
      </c>
      <c r="N1515" s="4">
        <v>37.44</v>
      </c>
      <c r="O1515" s="4">
        <v>118.56</v>
      </c>
      <c r="P1515" s="4">
        <v>32.64</v>
      </c>
      <c r="Q1515" s="4">
        <v>50.32</v>
      </c>
      <c r="R1515" s="4">
        <v>95.76</v>
      </c>
      <c r="S1515" s="8">
        <f t="shared" si="69"/>
        <v>75.899999999999991</v>
      </c>
      <c r="T1515" s="8">
        <f t="shared" si="70"/>
        <v>19.860000000000014</v>
      </c>
      <c r="U1515" s="9">
        <f t="shared" si="71"/>
        <v>0.26166007905138361</v>
      </c>
    </row>
    <row r="1516" spans="1:22" outlineLevel="2">
      <c r="A1516" t="s">
        <v>466</v>
      </c>
      <c r="B1516" t="s">
        <v>467</v>
      </c>
      <c r="C1516" t="s">
        <v>127</v>
      </c>
      <c r="D1516" t="s">
        <v>120</v>
      </c>
      <c r="E1516" s="4">
        <v>198.31</v>
      </c>
      <c r="F1516" s="4">
        <v>110</v>
      </c>
      <c r="G1516" s="4">
        <v>1005.1199999999999</v>
      </c>
      <c r="H1516" s="4">
        <v>-78.209999999999923</v>
      </c>
      <c r="I1516" s="4">
        <v>1382.18</v>
      </c>
      <c r="J1516" s="4">
        <v>3856.1</v>
      </c>
      <c r="K1516" s="4">
        <v>418.88000000000005</v>
      </c>
      <c r="L1516" s="4">
        <v>2041.68</v>
      </c>
      <c r="M1516" s="4">
        <v>3825.16</v>
      </c>
      <c r="N1516" s="4">
        <v>917.7</v>
      </c>
      <c r="O1516" s="4">
        <v>5102.2099999999991</v>
      </c>
      <c r="P1516" s="4">
        <v>9379.5400000000009</v>
      </c>
      <c r="Q1516" s="4">
        <v>2316.63</v>
      </c>
      <c r="R1516" s="4">
        <v>1560.47</v>
      </c>
      <c r="S1516" s="8">
        <f t="shared" si="69"/>
        <v>3930.4866666666671</v>
      </c>
      <c r="T1516" s="8">
        <f t="shared" si="70"/>
        <v>-2370.0166666666673</v>
      </c>
      <c r="U1516" s="9">
        <f t="shared" si="71"/>
        <v>-0.60298300634527036</v>
      </c>
    </row>
    <row r="1517" spans="1:22" outlineLevel="2">
      <c r="A1517" t="s">
        <v>466</v>
      </c>
      <c r="B1517" t="s">
        <v>467</v>
      </c>
      <c r="C1517" t="s">
        <v>190</v>
      </c>
      <c r="D1517" t="s">
        <v>191</v>
      </c>
      <c r="E1517" s="4">
        <v>0</v>
      </c>
      <c r="F1517" s="4">
        <v>0</v>
      </c>
      <c r="G1517" s="4">
        <v>0</v>
      </c>
      <c r="H1517" s="4">
        <v>0</v>
      </c>
      <c r="I1517" s="4">
        <v>0</v>
      </c>
      <c r="J1517" s="4">
        <v>0</v>
      </c>
      <c r="K1517" s="4">
        <v>0</v>
      </c>
      <c r="L1517" s="4">
        <v>63015.96</v>
      </c>
      <c r="M1517" s="4">
        <v>0</v>
      </c>
      <c r="N1517" s="4">
        <v>0</v>
      </c>
      <c r="O1517" s="4">
        <v>0</v>
      </c>
      <c r="P1517" s="4">
        <v>0</v>
      </c>
      <c r="Q1517" s="4">
        <v>0</v>
      </c>
      <c r="S1517" s="8">
        <f t="shared" si="69"/>
        <v>10502.66</v>
      </c>
      <c r="T1517" s="8">
        <f t="shared" si="70"/>
        <v>-10502.66</v>
      </c>
      <c r="U1517" s="9">
        <f t="shared" si="71"/>
        <v>-1</v>
      </c>
    </row>
    <row r="1518" spans="1:22" outlineLevel="2">
      <c r="A1518" t="s">
        <v>466</v>
      </c>
      <c r="B1518" t="s">
        <v>467</v>
      </c>
      <c r="C1518" t="s">
        <v>132</v>
      </c>
      <c r="D1518" t="s">
        <v>133</v>
      </c>
      <c r="E1518" s="4">
        <v>0</v>
      </c>
      <c r="F1518" s="4">
        <v>0</v>
      </c>
      <c r="G1518" s="4">
        <v>0</v>
      </c>
      <c r="H1518" s="4">
        <v>3008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S1518" s="8">
        <f t="shared" si="69"/>
        <v>0</v>
      </c>
      <c r="T1518" s="8">
        <f t="shared" si="70"/>
        <v>0</v>
      </c>
      <c r="U1518" s="9" t="e">
        <f t="shared" si="71"/>
        <v>#DIV/0!</v>
      </c>
    </row>
    <row r="1519" spans="1:22" outlineLevel="1">
      <c r="A1519" s="1" t="s">
        <v>787</v>
      </c>
      <c r="E1519" s="4">
        <f>SUBTOTAL(9,E1473:E1518)</f>
        <v>102506.21999999997</v>
      </c>
      <c r="F1519" s="4">
        <f>SUBTOTAL(9,F1473:F1518)</f>
        <v>98321.99000000002</v>
      </c>
      <c r="G1519" s="4">
        <f>SUBTOTAL(9,G1473:G1518)</f>
        <v>4266.9500000000189</v>
      </c>
      <c r="H1519" s="4">
        <f>SUBTOTAL(9,H1473:H1518)</f>
        <v>116821.04999999999</v>
      </c>
      <c r="I1519" s="4">
        <f>SUBTOTAL(9,I1473:I1518)</f>
        <v>148928.82999999999</v>
      </c>
      <c r="J1519" s="4">
        <f>SUBTOTAL(9,J1473:J1518)</f>
        <v>125622.04000000001</v>
      </c>
      <c r="K1519" s="4">
        <f>SUBTOTAL(9,K1473:K1518)</f>
        <v>120464.27</v>
      </c>
      <c r="L1519" s="4">
        <f>SUBTOTAL(9,L1473:L1518)</f>
        <v>112527.81999999998</v>
      </c>
      <c r="M1519" s="4">
        <f>SUBTOTAL(9,M1473:M1518)</f>
        <v>124294.42</v>
      </c>
      <c r="N1519" s="4">
        <f>SUBTOTAL(9,N1473:N1518)</f>
        <v>139728.79</v>
      </c>
      <c r="O1519" s="4">
        <f>SUBTOTAL(9,O1473:O1518)</f>
        <v>209128.24999999994</v>
      </c>
      <c r="P1519" s="4">
        <f>SUBTOTAL(9,P1473:P1518)</f>
        <v>145386.19000000003</v>
      </c>
      <c r="Q1519" s="4">
        <f>SUBTOTAL(9,Q1473:Q1518)</f>
        <v>49906.879999999983</v>
      </c>
      <c r="R1519" s="4">
        <f>SUBTOTAL(9,R1473:R1518)</f>
        <v>151439.16</v>
      </c>
      <c r="S1519" s="8">
        <f t="shared" si="69"/>
        <v>130162.05833333335</v>
      </c>
      <c r="T1519" s="8">
        <f t="shared" si="70"/>
        <v>21277.101666666655</v>
      </c>
      <c r="U1519" s="9">
        <f t="shared" si="71"/>
        <v>0.16346623539232844</v>
      </c>
      <c r="V1519" t="s">
        <v>896</v>
      </c>
    </row>
    <row r="1520" spans="1:22" outlineLevel="2">
      <c r="A1520" t="s">
        <v>468</v>
      </c>
      <c r="B1520" t="s">
        <v>469</v>
      </c>
      <c r="C1520" t="s">
        <v>47</v>
      </c>
      <c r="D1520" t="s">
        <v>48</v>
      </c>
      <c r="E1520" s="4">
        <v>10925.849999999999</v>
      </c>
      <c r="F1520" s="4">
        <v>0</v>
      </c>
      <c r="G1520" s="4">
        <v>0</v>
      </c>
      <c r="H1520" s="4">
        <v>2.9132252166164108E-13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S1520" s="8">
        <f t="shared" si="69"/>
        <v>0</v>
      </c>
      <c r="T1520" s="8">
        <f t="shared" si="70"/>
        <v>0</v>
      </c>
      <c r="U1520" s="9" t="e">
        <f t="shared" si="71"/>
        <v>#DIV/0!</v>
      </c>
    </row>
    <row r="1521" spans="1:21" outlineLevel="2">
      <c r="A1521" t="s">
        <v>468</v>
      </c>
      <c r="B1521" t="s">
        <v>469</v>
      </c>
      <c r="C1521" t="s">
        <v>49</v>
      </c>
      <c r="D1521" t="s">
        <v>50</v>
      </c>
      <c r="E1521" s="4">
        <v>-10160.160000000003</v>
      </c>
      <c r="F1521" s="4">
        <v>1501.4099999999999</v>
      </c>
      <c r="G1521" s="4">
        <v>0</v>
      </c>
      <c r="H1521" s="4">
        <v>-1780.3300000000002</v>
      </c>
      <c r="I1521" s="4">
        <v>1528.35</v>
      </c>
      <c r="J1521" s="4">
        <v>0</v>
      </c>
      <c r="K1521" s="4">
        <v>0</v>
      </c>
      <c r="L1521" s="4">
        <v>0</v>
      </c>
      <c r="M1521" s="4">
        <v>0</v>
      </c>
      <c r="N1521" s="4">
        <v>-2.2204460492503131E-16</v>
      </c>
      <c r="O1521" s="4">
        <v>0</v>
      </c>
      <c r="P1521" s="4">
        <v>0</v>
      </c>
      <c r="Q1521" s="4">
        <v>0</v>
      </c>
      <c r="S1521" s="8">
        <f t="shared" si="69"/>
        <v>-3.7007434154171883E-17</v>
      </c>
      <c r="T1521" s="8">
        <f t="shared" si="70"/>
        <v>3.7007434154171883E-17</v>
      </c>
      <c r="U1521" s="9">
        <f t="shared" si="71"/>
        <v>-1</v>
      </c>
    </row>
    <row r="1522" spans="1:21" outlineLevel="2">
      <c r="A1522" t="s">
        <v>468</v>
      </c>
      <c r="B1522" t="s">
        <v>469</v>
      </c>
      <c r="C1522" t="s">
        <v>53</v>
      </c>
      <c r="D1522" t="s">
        <v>54</v>
      </c>
      <c r="E1522" s="4">
        <v>0</v>
      </c>
      <c r="F1522" s="4">
        <v>0</v>
      </c>
      <c r="G1522" s="4">
        <v>1402.21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S1522" s="8">
        <f t="shared" si="69"/>
        <v>0</v>
      </c>
      <c r="T1522" s="8">
        <f t="shared" si="70"/>
        <v>0</v>
      </c>
      <c r="U1522" s="9" t="e">
        <f t="shared" si="71"/>
        <v>#DIV/0!</v>
      </c>
    </row>
    <row r="1523" spans="1:21" outlineLevel="2">
      <c r="A1523" t="s">
        <v>468</v>
      </c>
      <c r="B1523" t="s">
        <v>469</v>
      </c>
      <c r="C1523" t="s">
        <v>59</v>
      </c>
      <c r="D1523" t="s">
        <v>60</v>
      </c>
      <c r="E1523" s="4">
        <v>0</v>
      </c>
      <c r="F1523" s="4">
        <v>0</v>
      </c>
      <c r="G1523" s="4">
        <v>0</v>
      </c>
      <c r="H1523" s="4">
        <v>0</v>
      </c>
      <c r="I1523" s="4">
        <v>0</v>
      </c>
      <c r="J1523" s="4">
        <v>0</v>
      </c>
      <c r="K1523" s="4">
        <v>276.79000000000002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S1523" s="8">
        <f t="shared" si="69"/>
        <v>0</v>
      </c>
      <c r="T1523" s="8">
        <f t="shared" si="70"/>
        <v>0</v>
      </c>
      <c r="U1523" s="9" t="e">
        <f t="shared" si="71"/>
        <v>#DIV/0!</v>
      </c>
    </row>
    <row r="1524" spans="1:21" outlineLevel="2">
      <c r="A1524" t="s">
        <v>468</v>
      </c>
      <c r="B1524" t="s">
        <v>469</v>
      </c>
      <c r="C1524" t="s">
        <v>83</v>
      </c>
      <c r="D1524" t="s">
        <v>84</v>
      </c>
      <c r="E1524" s="4">
        <v>0</v>
      </c>
      <c r="F1524" s="4">
        <v>0</v>
      </c>
      <c r="G1524" s="4">
        <v>0</v>
      </c>
      <c r="H1524" s="4">
        <v>-1354.06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S1524" s="8">
        <f t="shared" si="69"/>
        <v>0</v>
      </c>
      <c r="T1524" s="8">
        <f t="shared" si="70"/>
        <v>0</v>
      </c>
      <c r="U1524" s="9" t="e">
        <f t="shared" si="71"/>
        <v>#DIV/0!</v>
      </c>
    </row>
    <row r="1525" spans="1:21" outlineLevel="2">
      <c r="A1525" t="s">
        <v>468</v>
      </c>
      <c r="B1525" t="s">
        <v>469</v>
      </c>
      <c r="C1525" t="s">
        <v>101</v>
      </c>
      <c r="D1525" t="s">
        <v>102</v>
      </c>
      <c r="E1525" s="4">
        <v>0</v>
      </c>
      <c r="F1525" s="4">
        <v>0</v>
      </c>
      <c r="G1525" s="4">
        <v>0</v>
      </c>
      <c r="H1525" s="4">
        <v>0</v>
      </c>
      <c r="I1525" s="4">
        <v>0</v>
      </c>
      <c r="J1525" s="4">
        <v>0</v>
      </c>
      <c r="K1525" s="4">
        <v>0</v>
      </c>
      <c r="L1525" s="4">
        <v>0</v>
      </c>
      <c r="M1525" s="4">
        <v>0</v>
      </c>
      <c r="N1525" s="4">
        <v>0</v>
      </c>
      <c r="O1525" s="4">
        <v>1973.85</v>
      </c>
      <c r="P1525" s="4">
        <v>12136.349999999999</v>
      </c>
      <c r="Q1525" s="4">
        <v>0</v>
      </c>
      <c r="S1525" s="8">
        <f t="shared" si="69"/>
        <v>2351.6999999999998</v>
      </c>
      <c r="T1525" s="8">
        <f t="shared" si="70"/>
        <v>-2351.6999999999998</v>
      </c>
      <c r="U1525" s="9">
        <f t="shared" si="71"/>
        <v>-1</v>
      </c>
    </row>
    <row r="1526" spans="1:21" outlineLevel="2">
      <c r="A1526" t="s">
        <v>468</v>
      </c>
      <c r="B1526" t="s">
        <v>469</v>
      </c>
      <c r="C1526" t="s">
        <v>132</v>
      </c>
      <c r="D1526" t="s">
        <v>133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188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S1526" s="8">
        <f t="shared" si="69"/>
        <v>0</v>
      </c>
      <c r="T1526" s="8">
        <f t="shared" si="70"/>
        <v>0</v>
      </c>
      <c r="U1526" s="9" t="e">
        <f t="shared" si="71"/>
        <v>#DIV/0!</v>
      </c>
    </row>
    <row r="1527" spans="1:21" outlineLevel="1">
      <c r="A1527" s="1" t="s">
        <v>788</v>
      </c>
      <c r="E1527" s="4">
        <f>SUBTOTAL(9,E1520:E1526)</f>
        <v>765.68999999999505</v>
      </c>
      <c r="F1527" s="4">
        <f>SUBTOTAL(9,F1520:F1526)</f>
        <v>1501.4099999999999</v>
      </c>
      <c r="G1527" s="4">
        <f>SUBTOTAL(9,G1520:G1526)</f>
        <v>1402.21</v>
      </c>
      <c r="H1527" s="4">
        <f>SUBTOTAL(9,H1520:H1526)</f>
        <v>-3134.39</v>
      </c>
      <c r="I1527" s="4">
        <f>SUBTOTAL(9,I1520:I1526)</f>
        <v>1528.35</v>
      </c>
      <c r="J1527" s="4">
        <f>SUBTOTAL(9,J1520:J1526)</f>
        <v>0</v>
      </c>
      <c r="K1527" s="4">
        <f>SUBTOTAL(9,K1520:K1526)</f>
        <v>464.79</v>
      </c>
      <c r="L1527" s="4">
        <f>SUBTOTAL(9,L1520:L1526)</f>
        <v>0</v>
      </c>
      <c r="M1527" s="4">
        <f>SUBTOTAL(9,M1520:M1526)</f>
        <v>0</v>
      </c>
      <c r="N1527" s="4">
        <f>SUBTOTAL(9,N1520:N1526)</f>
        <v>-2.2204460492503131E-16</v>
      </c>
      <c r="O1527" s="4">
        <f>SUBTOTAL(9,O1520:O1526)</f>
        <v>1973.85</v>
      </c>
      <c r="P1527" s="4">
        <f>SUBTOTAL(9,P1520:P1526)</f>
        <v>12136.349999999999</v>
      </c>
      <c r="Q1527" s="4">
        <f>SUBTOTAL(9,Q1520:Q1526)</f>
        <v>0</v>
      </c>
      <c r="R1527" s="4">
        <f>SUBTOTAL(9,R1520:R1526)</f>
        <v>0</v>
      </c>
      <c r="S1527" s="8">
        <f t="shared" si="69"/>
        <v>2351.6999999999998</v>
      </c>
      <c r="T1527" s="8">
        <f t="shared" si="70"/>
        <v>-2351.6999999999998</v>
      </c>
      <c r="U1527" s="9">
        <f t="shared" si="71"/>
        <v>-1</v>
      </c>
    </row>
    <row r="1528" spans="1:21" outlineLevel="2">
      <c r="A1528" t="s">
        <v>470</v>
      </c>
      <c r="B1528" t="s">
        <v>471</v>
      </c>
      <c r="C1528" t="s">
        <v>21</v>
      </c>
      <c r="D1528" t="s">
        <v>22</v>
      </c>
      <c r="E1528" s="4">
        <v>98.78</v>
      </c>
      <c r="F1528" s="4">
        <v>281.8</v>
      </c>
      <c r="G1528" s="4">
        <v>0</v>
      </c>
      <c r="H1528" s="4">
        <v>1011.2600000000001</v>
      </c>
      <c r="I1528" s="4">
        <v>31.11</v>
      </c>
      <c r="J1528" s="4">
        <v>0</v>
      </c>
      <c r="K1528" s="4">
        <v>422.38</v>
      </c>
      <c r="L1528" s="4">
        <v>430.45000000000005</v>
      </c>
      <c r="M1528" s="4">
        <v>0</v>
      </c>
      <c r="N1528" s="4">
        <v>166.74</v>
      </c>
      <c r="O1528" s="4">
        <v>530.20000000000005</v>
      </c>
      <c r="P1528" s="4">
        <v>461.93</v>
      </c>
      <c r="Q1528" s="4">
        <v>12.25</v>
      </c>
      <c r="S1528" s="8">
        <f t="shared" si="69"/>
        <v>266.92833333333334</v>
      </c>
      <c r="T1528" s="8">
        <f t="shared" si="70"/>
        <v>-266.92833333333334</v>
      </c>
      <c r="U1528" s="9">
        <f t="shared" si="71"/>
        <v>-1</v>
      </c>
    </row>
    <row r="1529" spans="1:21" outlineLevel="2">
      <c r="A1529" t="s">
        <v>470</v>
      </c>
      <c r="B1529" t="s">
        <v>471</v>
      </c>
      <c r="C1529" t="s">
        <v>23</v>
      </c>
      <c r="D1529" t="s">
        <v>24</v>
      </c>
      <c r="E1529" s="4">
        <v>1372.7500000000002</v>
      </c>
      <c r="F1529" s="4">
        <v>2487.9200000000014</v>
      </c>
      <c r="G1529" s="4">
        <v>0</v>
      </c>
      <c r="H1529" s="4">
        <v>1163</v>
      </c>
      <c r="I1529" s="4">
        <v>766.6500000000002</v>
      </c>
      <c r="J1529" s="4">
        <v>352.34999999999997</v>
      </c>
      <c r="K1529" s="4">
        <v>879.94</v>
      </c>
      <c r="L1529" s="4">
        <v>1027.56</v>
      </c>
      <c r="M1529" s="4">
        <v>0</v>
      </c>
      <c r="N1529" s="4">
        <v>106.08</v>
      </c>
      <c r="O1529" s="4">
        <v>19.93</v>
      </c>
      <c r="P1529" s="4">
        <v>19.93</v>
      </c>
      <c r="Q1529" s="4">
        <v>0</v>
      </c>
      <c r="S1529" s="8">
        <f t="shared" si="69"/>
        <v>195.58333333333334</v>
      </c>
      <c r="T1529" s="8">
        <f t="shared" si="70"/>
        <v>-195.58333333333334</v>
      </c>
      <c r="U1529" s="9">
        <f t="shared" si="71"/>
        <v>-1</v>
      </c>
    </row>
    <row r="1530" spans="1:21" outlineLevel="2">
      <c r="A1530" t="s">
        <v>470</v>
      </c>
      <c r="B1530" t="s">
        <v>471</v>
      </c>
      <c r="C1530" t="s">
        <v>25</v>
      </c>
      <c r="D1530" t="s">
        <v>26</v>
      </c>
      <c r="E1530" s="4">
        <v>0</v>
      </c>
      <c r="F1530" s="4">
        <v>0</v>
      </c>
      <c r="G1530" s="4">
        <v>0</v>
      </c>
      <c r="H1530" s="4">
        <v>0</v>
      </c>
      <c r="I1530" s="4">
        <v>0</v>
      </c>
      <c r="J1530" s="4">
        <v>0</v>
      </c>
      <c r="K1530" s="4">
        <v>0</v>
      </c>
      <c r="L1530" s="4">
        <v>0</v>
      </c>
      <c r="M1530" s="4">
        <v>385.01</v>
      </c>
      <c r="N1530" s="4">
        <v>2245.1299999999992</v>
      </c>
      <c r="O1530" s="4">
        <v>1157.2599999999998</v>
      </c>
      <c r="P1530" s="4">
        <v>485.97999999999996</v>
      </c>
      <c r="Q1530" s="4">
        <v>330.28999999999996</v>
      </c>
      <c r="S1530" s="8">
        <f t="shared" si="69"/>
        <v>767.27833333333319</v>
      </c>
      <c r="T1530" s="8">
        <f t="shared" si="70"/>
        <v>-767.27833333333319</v>
      </c>
      <c r="U1530" s="9">
        <f t="shared" si="71"/>
        <v>-1</v>
      </c>
    </row>
    <row r="1531" spans="1:21" outlineLevel="2">
      <c r="A1531" t="s">
        <v>470</v>
      </c>
      <c r="B1531" t="s">
        <v>471</v>
      </c>
      <c r="C1531" t="s">
        <v>27</v>
      </c>
      <c r="D1531" t="s">
        <v>28</v>
      </c>
      <c r="E1531" s="4">
        <v>0</v>
      </c>
      <c r="F1531" s="4">
        <v>0</v>
      </c>
      <c r="G1531" s="4">
        <v>0</v>
      </c>
      <c r="H1531" s="4">
        <v>0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30.93</v>
      </c>
      <c r="O1531" s="4">
        <v>109.92</v>
      </c>
      <c r="P1531" s="4">
        <v>52.3</v>
      </c>
      <c r="Q1531" s="4">
        <v>0</v>
      </c>
      <c r="S1531" s="8">
        <f t="shared" si="69"/>
        <v>32.191666666666663</v>
      </c>
      <c r="T1531" s="8">
        <f t="shared" si="70"/>
        <v>-32.191666666666663</v>
      </c>
      <c r="U1531" s="9">
        <f t="shared" si="71"/>
        <v>-1</v>
      </c>
    </row>
    <row r="1532" spans="1:21" outlineLevel="2">
      <c r="A1532" t="s">
        <v>470</v>
      </c>
      <c r="B1532" t="s">
        <v>471</v>
      </c>
      <c r="C1532" t="s">
        <v>136</v>
      </c>
      <c r="D1532" t="s">
        <v>137</v>
      </c>
      <c r="E1532" s="4">
        <v>52.95</v>
      </c>
      <c r="F1532" s="4">
        <v>173.72</v>
      </c>
      <c r="G1532" s="4">
        <v>-245.23</v>
      </c>
      <c r="H1532" s="4">
        <v>-284.77999999999997</v>
      </c>
      <c r="I1532" s="4">
        <v>0</v>
      </c>
      <c r="J1532" s="4">
        <v>559.03</v>
      </c>
      <c r="K1532" s="4">
        <v>-352.45</v>
      </c>
      <c r="L1532" s="4">
        <v>2140.0500000000002</v>
      </c>
      <c r="M1532" s="4">
        <v>386.78</v>
      </c>
      <c r="N1532" s="4">
        <v>1111.8699999999999</v>
      </c>
      <c r="O1532" s="4">
        <v>-184.94</v>
      </c>
      <c r="P1532" s="4">
        <v>0</v>
      </c>
      <c r="Q1532" s="4">
        <v>-484.13</v>
      </c>
      <c r="R1532" s="4">
        <v>-246.2</v>
      </c>
      <c r="S1532" s="8">
        <f t="shared" si="69"/>
        <v>494.93833333333328</v>
      </c>
      <c r="T1532" s="8">
        <f t="shared" si="70"/>
        <v>-741.13833333333332</v>
      </c>
      <c r="U1532" s="9">
        <f t="shared" si="71"/>
        <v>-1.4974357074787097</v>
      </c>
    </row>
    <row r="1533" spans="1:21" outlineLevel="2">
      <c r="A1533" t="s">
        <v>470</v>
      </c>
      <c r="B1533" t="s">
        <v>471</v>
      </c>
      <c r="C1533" t="s">
        <v>156</v>
      </c>
      <c r="D1533" t="s">
        <v>157</v>
      </c>
      <c r="E1533" s="4">
        <v>67.98</v>
      </c>
      <c r="F1533" s="4">
        <v>0</v>
      </c>
      <c r="G1533" s="4">
        <v>0</v>
      </c>
      <c r="H1533" s="4">
        <v>0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v>0</v>
      </c>
      <c r="O1533" s="4">
        <v>0</v>
      </c>
      <c r="P1533" s="4">
        <v>0</v>
      </c>
      <c r="Q1533" s="4">
        <v>0</v>
      </c>
      <c r="S1533" s="8">
        <f t="shared" si="69"/>
        <v>0</v>
      </c>
      <c r="T1533" s="8">
        <f t="shared" si="70"/>
        <v>0</v>
      </c>
      <c r="U1533" s="9" t="e">
        <f t="shared" si="71"/>
        <v>#DIV/0!</v>
      </c>
    </row>
    <row r="1534" spans="1:21" outlineLevel="2">
      <c r="A1534" t="s">
        <v>470</v>
      </c>
      <c r="B1534" t="s">
        <v>471</v>
      </c>
      <c r="C1534" t="s">
        <v>180</v>
      </c>
      <c r="D1534" t="s">
        <v>181</v>
      </c>
      <c r="E1534" s="4">
        <v>0</v>
      </c>
      <c r="F1534" s="4">
        <v>97.37</v>
      </c>
      <c r="G1534" s="4">
        <v>0</v>
      </c>
      <c r="H1534" s="4">
        <v>0</v>
      </c>
      <c r="I1534" s="4">
        <v>0</v>
      </c>
      <c r="J1534" s="4">
        <v>0</v>
      </c>
      <c r="K1534" s="4">
        <v>0</v>
      </c>
      <c r="L1534" s="4">
        <v>0</v>
      </c>
      <c r="M1534" s="4">
        <v>0</v>
      </c>
      <c r="N1534" s="4">
        <v>0</v>
      </c>
      <c r="O1534" s="4">
        <v>0</v>
      </c>
      <c r="P1534" s="4">
        <v>0</v>
      </c>
      <c r="Q1534" s="4">
        <v>0</v>
      </c>
      <c r="S1534" s="8">
        <f t="shared" si="69"/>
        <v>0</v>
      </c>
      <c r="T1534" s="8">
        <f t="shared" si="70"/>
        <v>0</v>
      </c>
      <c r="U1534" s="9" t="e">
        <f t="shared" si="71"/>
        <v>#DIV/0!</v>
      </c>
    </row>
    <row r="1535" spans="1:21" outlineLevel="2">
      <c r="A1535" t="s">
        <v>470</v>
      </c>
      <c r="B1535" t="s">
        <v>471</v>
      </c>
      <c r="C1535" t="s">
        <v>158</v>
      </c>
      <c r="D1535" t="s">
        <v>159</v>
      </c>
      <c r="E1535" s="4">
        <v>0</v>
      </c>
      <c r="F1535" s="4">
        <v>0</v>
      </c>
      <c r="G1535" s="4">
        <v>0</v>
      </c>
      <c r="H1535" s="4">
        <v>0</v>
      </c>
      <c r="I1535" s="4">
        <v>0</v>
      </c>
      <c r="J1535" s="4">
        <v>0</v>
      </c>
      <c r="K1535" s="4">
        <v>0</v>
      </c>
      <c r="L1535" s="4">
        <v>0</v>
      </c>
      <c r="M1535" s="4">
        <v>0</v>
      </c>
      <c r="N1535" s="4">
        <v>0</v>
      </c>
      <c r="O1535" s="4">
        <v>0</v>
      </c>
      <c r="P1535" s="4">
        <v>-1.7053025658242404E-13</v>
      </c>
      <c r="Q1535" s="4">
        <v>0</v>
      </c>
      <c r="S1535" s="8">
        <f t="shared" si="69"/>
        <v>-2.8421709430404007E-14</v>
      </c>
      <c r="T1535" s="8">
        <f t="shared" si="70"/>
        <v>2.8421709430404007E-14</v>
      </c>
      <c r="U1535" s="9">
        <f t="shared" si="71"/>
        <v>-1</v>
      </c>
    </row>
    <row r="1536" spans="1:21" outlineLevel="2">
      <c r="A1536" t="s">
        <v>470</v>
      </c>
      <c r="B1536" t="s">
        <v>471</v>
      </c>
      <c r="C1536" t="s">
        <v>441</v>
      </c>
      <c r="D1536" t="s">
        <v>442</v>
      </c>
      <c r="E1536" s="4">
        <v>0</v>
      </c>
      <c r="F1536" s="4">
        <v>0</v>
      </c>
      <c r="G1536" s="4">
        <v>-2958.86</v>
      </c>
      <c r="H1536" s="4">
        <v>0</v>
      </c>
      <c r="I1536" s="4">
        <v>0</v>
      </c>
      <c r="J1536" s="4">
        <v>-4096.2700000000004</v>
      </c>
      <c r="K1536" s="4">
        <v>0</v>
      </c>
      <c r="L1536" s="4">
        <v>0</v>
      </c>
      <c r="M1536" s="4">
        <v>4763.4799999999996</v>
      </c>
      <c r="N1536" s="4">
        <v>0</v>
      </c>
      <c r="O1536" s="4">
        <v>0</v>
      </c>
      <c r="P1536" s="4">
        <v>-1342.5</v>
      </c>
      <c r="Q1536" s="4">
        <v>0</v>
      </c>
      <c r="S1536" s="8">
        <f t="shared" si="69"/>
        <v>570.1633333333333</v>
      </c>
      <c r="T1536" s="8">
        <f t="shared" si="70"/>
        <v>-570.1633333333333</v>
      </c>
      <c r="U1536" s="9">
        <f t="shared" si="71"/>
        <v>-1</v>
      </c>
    </row>
    <row r="1537" spans="1:21" outlineLevel="2">
      <c r="A1537" t="s">
        <v>470</v>
      </c>
      <c r="B1537" t="s">
        <v>471</v>
      </c>
      <c r="C1537" t="s">
        <v>230</v>
      </c>
      <c r="D1537" t="s">
        <v>231</v>
      </c>
      <c r="E1537" s="4">
        <v>0</v>
      </c>
      <c r="F1537" s="4">
        <v>-73124.369999999981</v>
      </c>
      <c r="G1537" s="4">
        <v>0</v>
      </c>
      <c r="H1537" s="4">
        <v>0</v>
      </c>
      <c r="I1537" s="4">
        <v>0</v>
      </c>
      <c r="J1537" s="4">
        <v>0</v>
      </c>
      <c r="K1537" s="4">
        <v>0</v>
      </c>
      <c r="L1537" s="4">
        <v>0</v>
      </c>
      <c r="M1537" s="4">
        <v>0</v>
      </c>
      <c r="N1537" s="4">
        <v>0</v>
      </c>
      <c r="O1537" s="4">
        <v>0</v>
      </c>
      <c r="P1537" s="4">
        <v>0</v>
      </c>
      <c r="Q1537" s="4">
        <v>0</v>
      </c>
      <c r="S1537" s="8">
        <f t="shared" si="69"/>
        <v>0</v>
      </c>
      <c r="T1537" s="8">
        <f t="shared" si="70"/>
        <v>0</v>
      </c>
      <c r="U1537" s="9" t="e">
        <f t="shared" si="71"/>
        <v>#DIV/0!</v>
      </c>
    </row>
    <row r="1538" spans="1:21" outlineLevel="2">
      <c r="A1538" t="s">
        <v>470</v>
      </c>
      <c r="B1538" t="s">
        <v>471</v>
      </c>
      <c r="C1538" t="s">
        <v>218</v>
      </c>
      <c r="D1538" t="s">
        <v>219</v>
      </c>
      <c r="E1538" s="4">
        <v>-5.8207660913467407E-11</v>
      </c>
      <c r="F1538" s="4">
        <v>0</v>
      </c>
      <c r="G1538" s="4">
        <v>-1050.68</v>
      </c>
      <c r="H1538" s="4">
        <v>0</v>
      </c>
      <c r="I1538" s="4">
        <v>0</v>
      </c>
      <c r="J1538" s="4">
        <v>0</v>
      </c>
      <c r="K1538" s="4">
        <v>0</v>
      </c>
      <c r="L1538" s="4">
        <v>0</v>
      </c>
      <c r="M1538" s="4">
        <v>-6671</v>
      </c>
      <c r="N1538" s="4">
        <v>6671</v>
      </c>
      <c r="O1538" s="4">
        <v>0</v>
      </c>
      <c r="P1538" s="4">
        <v>0</v>
      </c>
      <c r="Q1538" s="4">
        <v>0</v>
      </c>
      <c r="S1538" s="8">
        <f t="shared" si="69"/>
        <v>0</v>
      </c>
      <c r="T1538" s="8">
        <f t="shared" si="70"/>
        <v>0</v>
      </c>
      <c r="U1538" s="9" t="e">
        <f t="shared" si="71"/>
        <v>#DIV/0!</v>
      </c>
    </row>
    <row r="1539" spans="1:21" outlineLevel="2">
      <c r="A1539" t="s">
        <v>470</v>
      </c>
      <c r="B1539" t="s">
        <v>471</v>
      </c>
      <c r="C1539" t="s">
        <v>234</v>
      </c>
      <c r="D1539" t="s">
        <v>235</v>
      </c>
      <c r="E1539" s="4">
        <v>0</v>
      </c>
      <c r="F1539" s="4">
        <v>5681.41</v>
      </c>
      <c r="G1539" s="4">
        <v>5681.41</v>
      </c>
      <c r="H1539" s="4">
        <v>5681.41</v>
      </c>
      <c r="I1539" s="4">
        <v>5681.41</v>
      </c>
      <c r="J1539" s="4">
        <v>2355.16</v>
      </c>
      <c r="K1539" s="4">
        <v>12.5</v>
      </c>
      <c r="L1539" s="4">
        <v>12.5</v>
      </c>
      <c r="M1539" s="4">
        <v>12.5</v>
      </c>
      <c r="N1539" s="4">
        <v>12.5</v>
      </c>
      <c r="O1539" s="4">
        <v>12.5</v>
      </c>
      <c r="P1539" s="4">
        <v>12.5</v>
      </c>
      <c r="Q1539" s="4">
        <v>12.5</v>
      </c>
      <c r="R1539" s="4">
        <v>12.5</v>
      </c>
      <c r="S1539" s="8">
        <f t="shared" ref="S1539:S1602" si="72">AVERAGE(L1539:Q1539)</f>
        <v>12.5</v>
      </c>
      <c r="T1539" s="8">
        <f t="shared" ref="T1539:T1602" si="73">R1539-S1539</f>
        <v>0</v>
      </c>
      <c r="U1539" s="9">
        <f t="shared" ref="U1539:U1602" si="74">(R1539-S1539)/S1539</f>
        <v>0</v>
      </c>
    </row>
    <row r="1540" spans="1:21" outlineLevel="2">
      <c r="A1540" t="s">
        <v>470</v>
      </c>
      <c r="B1540" t="s">
        <v>471</v>
      </c>
      <c r="C1540" t="s">
        <v>59</v>
      </c>
      <c r="D1540" t="s">
        <v>60</v>
      </c>
      <c r="E1540" s="4">
        <v>0</v>
      </c>
      <c r="F1540" s="4">
        <v>46.66</v>
      </c>
      <c r="G1540" s="4">
        <v>0</v>
      </c>
      <c r="H1540" s="4">
        <v>0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0</v>
      </c>
      <c r="O1540" s="4">
        <v>0</v>
      </c>
      <c r="P1540" s="4">
        <v>0</v>
      </c>
      <c r="Q1540" s="4">
        <v>0</v>
      </c>
      <c r="S1540" s="8">
        <f t="shared" si="72"/>
        <v>0</v>
      </c>
      <c r="T1540" s="8">
        <f t="shared" si="73"/>
        <v>0</v>
      </c>
      <c r="U1540" s="9" t="e">
        <f t="shared" si="74"/>
        <v>#DIV/0!</v>
      </c>
    </row>
    <row r="1541" spans="1:21" outlineLevel="2">
      <c r="A1541" t="s">
        <v>470</v>
      </c>
      <c r="B1541" t="s">
        <v>471</v>
      </c>
      <c r="C1541" t="s">
        <v>83</v>
      </c>
      <c r="D1541" t="s">
        <v>84</v>
      </c>
      <c r="E1541" s="4">
        <v>1224.4800000000002</v>
      </c>
      <c r="F1541" s="4">
        <v>18.97</v>
      </c>
      <c r="G1541" s="4">
        <v>0</v>
      </c>
      <c r="H1541" s="4">
        <v>-724.98</v>
      </c>
      <c r="I1541" s="4">
        <v>0</v>
      </c>
      <c r="J1541" s="4">
        <v>0</v>
      </c>
      <c r="K1541" s="4">
        <v>0</v>
      </c>
      <c r="L1541" s="4">
        <v>-54.61</v>
      </c>
      <c r="M1541" s="4">
        <v>33.18</v>
      </c>
      <c r="N1541" s="4">
        <v>0</v>
      </c>
      <c r="O1541" s="4">
        <v>0</v>
      </c>
      <c r="P1541" s="4">
        <v>0</v>
      </c>
      <c r="Q1541" s="4">
        <v>0</v>
      </c>
      <c r="S1541" s="8">
        <f t="shared" si="72"/>
        <v>-3.5716666666666668</v>
      </c>
      <c r="T1541" s="8">
        <f t="shared" si="73"/>
        <v>3.5716666666666668</v>
      </c>
      <c r="U1541" s="9">
        <f t="shared" si="74"/>
        <v>-1</v>
      </c>
    </row>
    <row r="1542" spans="1:21" outlineLevel="2">
      <c r="A1542" t="s">
        <v>470</v>
      </c>
      <c r="B1542" t="s">
        <v>471</v>
      </c>
      <c r="C1542" t="s">
        <v>87</v>
      </c>
      <c r="D1542" t="s">
        <v>88</v>
      </c>
      <c r="E1542" s="4">
        <v>0</v>
      </c>
      <c r="F1542" s="4">
        <v>66.34</v>
      </c>
      <c r="G1542" s="4">
        <v>0</v>
      </c>
      <c r="H1542" s="4">
        <v>0</v>
      </c>
      <c r="I1542" s="4">
        <v>0</v>
      </c>
      <c r="J1542" s="4">
        <v>0</v>
      </c>
      <c r="K1542" s="4">
        <v>105.44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S1542" s="8">
        <f t="shared" si="72"/>
        <v>0</v>
      </c>
      <c r="T1542" s="8">
        <f t="shared" si="73"/>
        <v>0</v>
      </c>
      <c r="U1542" s="9" t="e">
        <f t="shared" si="74"/>
        <v>#DIV/0!</v>
      </c>
    </row>
    <row r="1543" spans="1:21" outlineLevel="2">
      <c r="A1543" t="s">
        <v>470</v>
      </c>
      <c r="B1543" t="s">
        <v>471</v>
      </c>
      <c r="C1543" t="s">
        <v>93</v>
      </c>
      <c r="D1543" t="s">
        <v>94</v>
      </c>
      <c r="E1543" s="4">
        <v>0</v>
      </c>
      <c r="F1543" s="4">
        <v>24.23</v>
      </c>
      <c r="G1543" s="4">
        <v>0</v>
      </c>
      <c r="H1543" s="4">
        <v>0</v>
      </c>
      <c r="I1543" s="4">
        <v>0</v>
      </c>
      <c r="J1543" s="4">
        <v>0</v>
      </c>
      <c r="K1543" s="4">
        <v>0</v>
      </c>
      <c r="L1543" s="4">
        <v>0</v>
      </c>
      <c r="M1543" s="4">
        <v>533.70000000000005</v>
      </c>
      <c r="N1543" s="4">
        <v>0</v>
      </c>
      <c r="O1543" s="4">
        <v>0</v>
      </c>
      <c r="P1543" s="4">
        <v>0</v>
      </c>
      <c r="Q1543" s="4">
        <v>0</v>
      </c>
      <c r="S1543" s="8">
        <f t="shared" si="72"/>
        <v>88.95</v>
      </c>
      <c r="T1543" s="8">
        <f t="shared" si="73"/>
        <v>-88.95</v>
      </c>
      <c r="U1543" s="9">
        <f t="shared" si="74"/>
        <v>-1</v>
      </c>
    </row>
    <row r="1544" spans="1:21" outlineLevel="2">
      <c r="A1544" t="s">
        <v>470</v>
      </c>
      <c r="B1544" t="s">
        <v>471</v>
      </c>
      <c r="C1544" t="s">
        <v>97</v>
      </c>
      <c r="D1544" t="s">
        <v>98</v>
      </c>
      <c r="E1544" s="4">
        <v>0</v>
      </c>
      <c r="F1544" s="4">
        <v>331.5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S1544" s="8">
        <f t="shared" si="72"/>
        <v>0</v>
      </c>
      <c r="T1544" s="8">
        <f t="shared" si="73"/>
        <v>0</v>
      </c>
      <c r="U1544" s="9" t="e">
        <f t="shared" si="74"/>
        <v>#DIV/0!</v>
      </c>
    </row>
    <row r="1545" spans="1:21" outlineLevel="2">
      <c r="A1545" t="s">
        <v>470</v>
      </c>
      <c r="B1545" t="s">
        <v>471</v>
      </c>
      <c r="C1545" t="s">
        <v>168</v>
      </c>
      <c r="D1545" t="s">
        <v>169</v>
      </c>
      <c r="E1545" s="4">
        <v>0</v>
      </c>
      <c r="F1545" s="4">
        <v>0</v>
      </c>
      <c r="G1545" s="4">
        <v>0</v>
      </c>
      <c r="H1545" s="4">
        <v>0</v>
      </c>
      <c r="I1545" s="4">
        <v>0</v>
      </c>
      <c r="J1545" s="4">
        <v>0</v>
      </c>
      <c r="K1545" s="4">
        <v>0</v>
      </c>
      <c r="L1545" s="4">
        <v>0</v>
      </c>
      <c r="M1545" s="4">
        <v>0</v>
      </c>
      <c r="N1545" s="4">
        <v>16077</v>
      </c>
      <c r="O1545" s="4">
        <v>8440.5</v>
      </c>
      <c r="P1545" s="4">
        <v>0</v>
      </c>
      <c r="Q1545" s="4">
        <v>9501</v>
      </c>
      <c r="R1545" s="4">
        <v>0</v>
      </c>
      <c r="S1545" s="8">
        <f t="shared" si="72"/>
        <v>5669.75</v>
      </c>
      <c r="T1545" s="8">
        <f t="shared" si="73"/>
        <v>-5669.75</v>
      </c>
      <c r="U1545" s="9">
        <f t="shared" si="74"/>
        <v>-1</v>
      </c>
    </row>
    <row r="1546" spans="1:21" outlineLevel="2">
      <c r="A1546" t="s">
        <v>470</v>
      </c>
      <c r="B1546" t="s">
        <v>471</v>
      </c>
      <c r="C1546" t="s">
        <v>236</v>
      </c>
      <c r="D1546" t="s">
        <v>237</v>
      </c>
      <c r="E1546" s="4">
        <v>-17194</v>
      </c>
      <c r="F1546" s="4">
        <v>-17194</v>
      </c>
      <c r="G1546" s="4">
        <v>-17194</v>
      </c>
      <c r="H1546" s="4">
        <v>-17194</v>
      </c>
      <c r="I1546" s="4">
        <v>-17194</v>
      </c>
      <c r="J1546" s="4">
        <v>-17194</v>
      </c>
      <c r="K1546" s="4">
        <v>3.637978807091713E-12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S1546" s="8">
        <f t="shared" si="72"/>
        <v>0</v>
      </c>
      <c r="T1546" s="8">
        <f t="shared" si="73"/>
        <v>0</v>
      </c>
      <c r="U1546" s="9" t="e">
        <f t="shared" si="74"/>
        <v>#DIV/0!</v>
      </c>
    </row>
    <row r="1547" spans="1:21" outlineLevel="2">
      <c r="A1547" t="s">
        <v>470</v>
      </c>
      <c r="B1547" t="s">
        <v>471</v>
      </c>
      <c r="C1547" t="s">
        <v>472</v>
      </c>
      <c r="D1547" t="s">
        <v>473</v>
      </c>
      <c r="E1547" s="4">
        <v>2704.65</v>
      </c>
      <c r="F1547" s="4">
        <v>2704.65</v>
      </c>
      <c r="G1547" s="4">
        <v>2704.65</v>
      </c>
      <c r="H1547" s="4">
        <v>2704.65</v>
      </c>
      <c r="I1547" s="4">
        <v>2704.65</v>
      </c>
      <c r="J1547" s="4">
        <v>2704.65</v>
      </c>
      <c r="K1547" s="4">
        <v>2704.65</v>
      </c>
      <c r="L1547" s="4">
        <v>2704.65</v>
      </c>
      <c r="M1547" s="4">
        <v>2704.65</v>
      </c>
      <c r="N1547" s="4">
        <v>2704.65</v>
      </c>
      <c r="O1547" s="4">
        <v>2704.65</v>
      </c>
      <c r="P1547" s="4">
        <v>2704.65</v>
      </c>
      <c r="Q1547" s="4">
        <v>2434.6799999999998</v>
      </c>
      <c r="R1547" s="4">
        <v>2434.6799999999998</v>
      </c>
      <c r="S1547" s="8">
        <f t="shared" si="72"/>
        <v>2659.6550000000002</v>
      </c>
      <c r="T1547" s="8">
        <f t="shared" si="73"/>
        <v>-224.97500000000036</v>
      </c>
      <c r="U1547" s="9">
        <f t="shared" si="74"/>
        <v>-8.458803867418907E-2</v>
      </c>
    </row>
    <row r="1548" spans="1:21" outlineLevel="2">
      <c r="A1548" t="s">
        <v>470</v>
      </c>
      <c r="B1548" t="s">
        <v>471</v>
      </c>
      <c r="C1548" t="s">
        <v>127</v>
      </c>
      <c r="D1548" t="s">
        <v>120</v>
      </c>
      <c r="E1548" s="4">
        <v>0</v>
      </c>
      <c r="F1548" s="4">
        <v>102.85</v>
      </c>
      <c r="G1548" s="4">
        <v>0</v>
      </c>
      <c r="H1548" s="4">
        <v>0</v>
      </c>
      <c r="I1548" s="4">
        <v>0</v>
      </c>
      <c r="J1548" s="4">
        <v>1044.8</v>
      </c>
      <c r="K1548" s="4">
        <v>0</v>
      </c>
      <c r="L1548" s="4">
        <v>0</v>
      </c>
      <c r="M1548" s="4">
        <v>0</v>
      </c>
      <c r="N1548" s="4">
        <v>30.93</v>
      </c>
      <c r="O1548" s="4">
        <v>4840</v>
      </c>
      <c r="P1548" s="4">
        <v>625.6</v>
      </c>
      <c r="Q1548" s="4">
        <v>493.92</v>
      </c>
      <c r="S1548" s="8">
        <f t="shared" si="72"/>
        <v>998.40833333333342</v>
      </c>
      <c r="T1548" s="8">
        <f t="shared" si="73"/>
        <v>-998.40833333333342</v>
      </c>
      <c r="U1548" s="9">
        <f t="shared" si="74"/>
        <v>-1</v>
      </c>
    </row>
    <row r="1549" spans="1:21" outlineLevel="1">
      <c r="A1549" s="1" t="s">
        <v>789</v>
      </c>
      <c r="E1549" s="4">
        <f>SUBTOTAL(9,E1528:E1548)</f>
        <v>-11672.410000000058</v>
      </c>
      <c r="F1549" s="4">
        <f>SUBTOTAL(9,F1528:F1548)</f>
        <v>-78300.949999999983</v>
      </c>
      <c r="G1549" s="4">
        <f>SUBTOTAL(9,G1528:G1548)</f>
        <v>-13062.710000000001</v>
      </c>
      <c r="H1549" s="4">
        <f>SUBTOTAL(9,H1528:H1548)</f>
        <v>-7643.4400000000005</v>
      </c>
      <c r="I1549" s="4">
        <f>SUBTOTAL(9,I1528:I1548)</f>
        <v>-8010.18</v>
      </c>
      <c r="J1549" s="4">
        <f>SUBTOTAL(9,J1528:J1548)</f>
        <v>-14274.28</v>
      </c>
      <c r="K1549" s="4">
        <f>SUBTOTAL(9,K1528:K1548)</f>
        <v>3772.4600000000037</v>
      </c>
      <c r="L1549" s="4">
        <f>SUBTOTAL(9,L1528:L1548)</f>
        <v>6260.6</v>
      </c>
      <c r="M1549" s="4">
        <f>SUBTOTAL(9,M1528:M1548)</f>
        <v>2148.2999999999997</v>
      </c>
      <c r="N1549" s="4">
        <f>SUBTOTAL(9,N1528:N1548)</f>
        <v>29156.83</v>
      </c>
      <c r="O1549" s="4">
        <f>SUBTOTAL(9,O1528:O1548)</f>
        <v>17630.019999999997</v>
      </c>
      <c r="P1549" s="4">
        <f>SUBTOTAL(9,P1528:P1548)</f>
        <v>3020.39</v>
      </c>
      <c r="Q1549" s="4">
        <f>SUBTOTAL(9,Q1528:Q1548)</f>
        <v>12300.51</v>
      </c>
      <c r="R1549" s="4">
        <f>SUBTOTAL(9,R1528:R1548)</f>
        <v>2200.98</v>
      </c>
      <c r="S1549" s="8">
        <f t="shared" si="72"/>
        <v>11752.775</v>
      </c>
      <c r="T1549" s="8">
        <f t="shared" si="73"/>
        <v>-9551.7950000000001</v>
      </c>
      <c r="U1549" s="9">
        <f t="shared" si="74"/>
        <v>-0.81272678154733669</v>
      </c>
    </row>
    <row r="1550" spans="1:21" outlineLevel="2">
      <c r="A1550" t="s">
        <v>474</v>
      </c>
      <c r="B1550" t="s">
        <v>475</v>
      </c>
      <c r="C1550" t="s">
        <v>47</v>
      </c>
      <c r="D1550" t="s">
        <v>48</v>
      </c>
      <c r="E1550" s="4">
        <v>0</v>
      </c>
      <c r="F1550" s="4">
        <v>0</v>
      </c>
      <c r="G1550" s="4">
        <v>0</v>
      </c>
      <c r="H1550" s="4">
        <v>-1846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S1550" s="8">
        <f t="shared" si="72"/>
        <v>0</v>
      </c>
      <c r="T1550" s="8">
        <f t="shared" si="73"/>
        <v>0</v>
      </c>
      <c r="U1550" s="9" t="e">
        <f t="shared" si="74"/>
        <v>#DIV/0!</v>
      </c>
    </row>
    <row r="1551" spans="1:21" outlineLevel="1">
      <c r="A1551" s="1" t="s">
        <v>790</v>
      </c>
      <c r="E1551" s="4">
        <f>SUBTOTAL(9,E1550:E1550)</f>
        <v>0</v>
      </c>
      <c r="F1551" s="4">
        <f>SUBTOTAL(9,F1550:F1550)</f>
        <v>0</v>
      </c>
      <c r="G1551" s="4">
        <f>SUBTOTAL(9,G1550:G1550)</f>
        <v>0</v>
      </c>
      <c r="H1551" s="4">
        <f>SUBTOTAL(9,H1550:H1550)</f>
        <v>-1846</v>
      </c>
      <c r="I1551" s="4">
        <f>SUBTOTAL(9,I1550:I1550)</f>
        <v>0</v>
      </c>
      <c r="J1551" s="4">
        <f>SUBTOTAL(9,J1550:J1550)</f>
        <v>0</v>
      </c>
      <c r="K1551" s="4">
        <f>SUBTOTAL(9,K1550:K1550)</f>
        <v>0</v>
      </c>
      <c r="L1551" s="4">
        <f>SUBTOTAL(9,L1550:L1550)</f>
        <v>0</v>
      </c>
      <c r="M1551" s="4">
        <f>SUBTOTAL(9,M1550:M1550)</f>
        <v>0</v>
      </c>
      <c r="N1551" s="4">
        <f>SUBTOTAL(9,N1550:N1550)</f>
        <v>0</v>
      </c>
      <c r="O1551" s="4">
        <f>SUBTOTAL(9,O1550:O1550)</f>
        <v>0</v>
      </c>
      <c r="P1551" s="4">
        <f>SUBTOTAL(9,P1550:P1550)</f>
        <v>0</v>
      </c>
      <c r="Q1551" s="4">
        <f>SUBTOTAL(9,Q1550:Q1550)</f>
        <v>0</v>
      </c>
      <c r="R1551" s="4">
        <f>SUBTOTAL(9,R1550:R1550)</f>
        <v>0</v>
      </c>
      <c r="S1551" s="8">
        <f t="shared" si="72"/>
        <v>0</v>
      </c>
      <c r="T1551" s="8">
        <f t="shared" si="73"/>
        <v>0</v>
      </c>
      <c r="U1551" s="9" t="e">
        <f t="shared" si="74"/>
        <v>#DIV/0!</v>
      </c>
    </row>
    <row r="1552" spans="1:21" outlineLevel="2">
      <c r="A1552" t="s">
        <v>476</v>
      </c>
      <c r="B1552" t="s">
        <v>477</v>
      </c>
      <c r="C1552" t="s">
        <v>101</v>
      </c>
      <c r="D1552" t="s">
        <v>102</v>
      </c>
      <c r="E1552" s="4">
        <v>0</v>
      </c>
      <c r="F1552" s="4">
        <v>0</v>
      </c>
      <c r="G1552" s="4">
        <v>0</v>
      </c>
      <c r="H1552" s="4">
        <v>-29585.769999999997</v>
      </c>
      <c r="I1552" s="4">
        <v>0</v>
      </c>
      <c r="J1552" s="4">
        <v>0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S1552" s="8">
        <f t="shared" si="72"/>
        <v>0</v>
      </c>
      <c r="T1552" s="8">
        <f t="shared" si="73"/>
        <v>0</v>
      </c>
      <c r="U1552" s="9" t="e">
        <f t="shared" si="74"/>
        <v>#DIV/0!</v>
      </c>
    </row>
    <row r="1553" spans="1:21" outlineLevel="1">
      <c r="A1553" s="1" t="s">
        <v>791</v>
      </c>
      <c r="E1553" s="4">
        <f>SUBTOTAL(9,E1552:E1552)</f>
        <v>0</v>
      </c>
      <c r="F1553" s="4">
        <f>SUBTOTAL(9,F1552:F1552)</f>
        <v>0</v>
      </c>
      <c r="G1553" s="4">
        <f>SUBTOTAL(9,G1552:G1552)</f>
        <v>0</v>
      </c>
      <c r="H1553" s="4">
        <f>SUBTOTAL(9,H1552:H1552)</f>
        <v>-29585.769999999997</v>
      </c>
      <c r="I1553" s="4">
        <f>SUBTOTAL(9,I1552:I1552)</f>
        <v>0</v>
      </c>
      <c r="J1553" s="4">
        <f>SUBTOTAL(9,J1552:J1552)</f>
        <v>0</v>
      </c>
      <c r="K1553" s="4">
        <f>SUBTOTAL(9,K1552:K1552)</f>
        <v>0</v>
      </c>
      <c r="L1553" s="4">
        <f>SUBTOTAL(9,L1552:L1552)</f>
        <v>0</v>
      </c>
      <c r="M1553" s="4">
        <f>SUBTOTAL(9,M1552:M1552)</f>
        <v>0</v>
      </c>
      <c r="N1553" s="4">
        <f>SUBTOTAL(9,N1552:N1552)</f>
        <v>0</v>
      </c>
      <c r="O1553" s="4">
        <f>SUBTOTAL(9,O1552:O1552)</f>
        <v>0</v>
      </c>
      <c r="P1553" s="4">
        <f>SUBTOTAL(9,P1552:P1552)</f>
        <v>0</v>
      </c>
      <c r="Q1553" s="4">
        <f>SUBTOTAL(9,Q1552:Q1552)</f>
        <v>0</v>
      </c>
      <c r="R1553" s="4">
        <f>SUBTOTAL(9,R1552:R1552)</f>
        <v>0</v>
      </c>
      <c r="S1553" s="8">
        <f t="shared" si="72"/>
        <v>0</v>
      </c>
      <c r="T1553" s="8">
        <f t="shared" si="73"/>
        <v>0</v>
      </c>
      <c r="U1553" s="9" t="e">
        <f t="shared" si="74"/>
        <v>#DIV/0!</v>
      </c>
    </row>
    <row r="1554" spans="1:21" outlineLevel="2">
      <c r="A1554" t="s">
        <v>478</v>
      </c>
      <c r="B1554" t="s">
        <v>279</v>
      </c>
      <c r="C1554" t="s">
        <v>168</v>
      </c>
      <c r="D1554" t="s">
        <v>169</v>
      </c>
      <c r="E1554" s="4">
        <v>-71040.600000000006</v>
      </c>
      <c r="F1554" s="4">
        <v>-6.9917405198793858E-12</v>
      </c>
      <c r="G1554" s="4">
        <v>0</v>
      </c>
      <c r="H1554" s="4">
        <v>-2.6659563445718959E-10</v>
      </c>
      <c r="I1554" s="4">
        <v>-52452.009999999718</v>
      </c>
      <c r="J1554" s="4">
        <v>32051.70000000007</v>
      </c>
      <c r="K1554" s="4">
        <v>-385263.89999999991</v>
      </c>
      <c r="L1554" s="4">
        <v>-1.1641532182693481E-10</v>
      </c>
      <c r="M1554" s="4">
        <v>476704.81</v>
      </c>
      <c r="N1554" s="4">
        <v>0</v>
      </c>
      <c r="O1554" s="4">
        <v>0</v>
      </c>
      <c r="P1554" s="4">
        <v>0</v>
      </c>
      <c r="Q1554" s="4">
        <v>0</v>
      </c>
      <c r="S1554" s="8">
        <f t="shared" si="72"/>
        <v>79450.801666666652</v>
      </c>
      <c r="T1554" s="8">
        <f t="shared" si="73"/>
        <v>-79450.801666666652</v>
      </c>
      <c r="U1554" s="9">
        <f t="shared" si="74"/>
        <v>-1</v>
      </c>
    </row>
    <row r="1555" spans="1:21" outlineLevel="1">
      <c r="A1555" s="1" t="s">
        <v>792</v>
      </c>
      <c r="E1555" s="4">
        <f>SUBTOTAL(9,E1554:E1554)</f>
        <v>-71040.600000000006</v>
      </c>
      <c r="F1555" s="4">
        <f>SUBTOTAL(9,F1554:F1554)</f>
        <v>-6.9917405198793858E-12</v>
      </c>
      <c r="G1555" s="4">
        <f>SUBTOTAL(9,G1554:G1554)</f>
        <v>0</v>
      </c>
      <c r="H1555" s="4">
        <f>SUBTOTAL(9,H1554:H1554)</f>
        <v>-2.6659563445718959E-10</v>
      </c>
      <c r="I1555" s="4">
        <f>SUBTOTAL(9,I1554:I1554)</f>
        <v>-52452.009999999718</v>
      </c>
      <c r="J1555" s="4">
        <f>SUBTOTAL(9,J1554:J1554)</f>
        <v>32051.70000000007</v>
      </c>
      <c r="K1555" s="4">
        <f>SUBTOTAL(9,K1554:K1554)</f>
        <v>-385263.89999999991</v>
      </c>
      <c r="L1555" s="4">
        <f>SUBTOTAL(9,L1554:L1554)</f>
        <v>-1.1641532182693481E-10</v>
      </c>
      <c r="M1555" s="4">
        <f>SUBTOTAL(9,M1554:M1554)</f>
        <v>476704.81</v>
      </c>
      <c r="N1555" s="4">
        <f>SUBTOTAL(9,N1554:N1554)</f>
        <v>0</v>
      </c>
      <c r="O1555" s="4">
        <f>SUBTOTAL(9,O1554:O1554)</f>
        <v>0</v>
      </c>
      <c r="P1555" s="4">
        <f>SUBTOTAL(9,P1554:P1554)</f>
        <v>0</v>
      </c>
      <c r="Q1555" s="4">
        <f>SUBTOTAL(9,Q1554:Q1554)</f>
        <v>0</v>
      </c>
      <c r="R1555" s="4">
        <f>SUBTOTAL(9,R1554:R1554)</f>
        <v>0</v>
      </c>
      <c r="S1555" s="8">
        <f t="shared" si="72"/>
        <v>79450.801666666652</v>
      </c>
      <c r="T1555" s="8">
        <f t="shared" si="73"/>
        <v>-79450.801666666652</v>
      </c>
      <c r="U1555" s="9">
        <f t="shared" si="74"/>
        <v>-1</v>
      </c>
    </row>
    <row r="1556" spans="1:21" outlineLevel="2">
      <c r="A1556" t="s">
        <v>479</v>
      </c>
      <c r="B1556" t="s">
        <v>295</v>
      </c>
      <c r="C1556" t="s">
        <v>296</v>
      </c>
      <c r="D1556" t="s">
        <v>297</v>
      </c>
      <c r="E1556" s="4">
        <v>-10295</v>
      </c>
      <c r="F1556" s="4">
        <v>0</v>
      </c>
      <c r="G1556" s="4">
        <v>0</v>
      </c>
      <c r="H1556" s="4">
        <v>-76.53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-2094.5</v>
      </c>
      <c r="S1556" s="8">
        <f t="shared" si="72"/>
        <v>-349.08333333333331</v>
      </c>
      <c r="T1556" s="8">
        <f t="shared" si="73"/>
        <v>349.08333333333331</v>
      </c>
      <c r="U1556" s="9">
        <f t="shared" si="74"/>
        <v>-1</v>
      </c>
    </row>
    <row r="1557" spans="1:21" outlineLevel="1">
      <c r="A1557" s="1" t="s">
        <v>793</v>
      </c>
      <c r="E1557" s="4">
        <f>SUBTOTAL(9,E1556:E1556)</f>
        <v>-10295</v>
      </c>
      <c r="F1557" s="4">
        <f>SUBTOTAL(9,F1556:F1556)</f>
        <v>0</v>
      </c>
      <c r="G1557" s="4">
        <f>SUBTOTAL(9,G1556:G1556)</f>
        <v>0</v>
      </c>
      <c r="H1557" s="4">
        <f>SUBTOTAL(9,H1556:H1556)</f>
        <v>-76.53</v>
      </c>
      <c r="I1557" s="4">
        <f>SUBTOTAL(9,I1556:I1556)</f>
        <v>0</v>
      </c>
      <c r="J1557" s="4">
        <f>SUBTOTAL(9,J1556:J1556)</f>
        <v>0</v>
      </c>
      <c r="K1557" s="4">
        <f>SUBTOTAL(9,K1556:K1556)</f>
        <v>0</v>
      </c>
      <c r="L1557" s="4">
        <f>SUBTOTAL(9,L1556:L1556)</f>
        <v>0</v>
      </c>
      <c r="M1557" s="4">
        <f>SUBTOTAL(9,M1556:M1556)</f>
        <v>0</v>
      </c>
      <c r="N1557" s="4">
        <f>SUBTOTAL(9,N1556:N1556)</f>
        <v>0</v>
      </c>
      <c r="O1557" s="4">
        <f>SUBTOTAL(9,O1556:O1556)</f>
        <v>0</v>
      </c>
      <c r="P1557" s="4">
        <f>SUBTOTAL(9,P1556:P1556)</f>
        <v>0</v>
      </c>
      <c r="Q1557" s="4">
        <f>SUBTOTAL(9,Q1556:Q1556)</f>
        <v>-2094.5</v>
      </c>
      <c r="R1557" s="4">
        <f>SUBTOTAL(9,R1556:R1556)</f>
        <v>0</v>
      </c>
      <c r="S1557" s="8">
        <f t="shared" si="72"/>
        <v>-349.08333333333331</v>
      </c>
      <c r="T1557" s="8">
        <f t="shared" si="73"/>
        <v>349.08333333333331</v>
      </c>
      <c r="U1557" s="9">
        <f t="shared" si="74"/>
        <v>-1</v>
      </c>
    </row>
    <row r="1558" spans="1:21" outlineLevel="2">
      <c r="A1558" t="s">
        <v>480</v>
      </c>
      <c r="B1558" t="s">
        <v>267</v>
      </c>
      <c r="C1558" t="s">
        <v>23</v>
      </c>
      <c r="D1558" t="s">
        <v>24</v>
      </c>
      <c r="E1558" s="4">
        <v>0</v>
      </c>
      <c r="F1558" s="4">
        <v>0</v>
      </c>
      <c r="G1558" s="4">
        <v>0</v>
      </c>
      <c r="H1558" s="4">
        <v>0</v>
      </c>
      <c r="I1558" s="4">
        <v>1.1368683772161603E-13</v>
      </c>
      <c r="J1558" s="4">
        <v>0</v>
      </c>
      <c r="K1558" s="4">
        <v>0</v>
      </c>
      <c r="L1558" s="4">
        <v>0</v>
      </c>
      <c r="M1558" s="4">
        <v>3.5527136788005009E-14</v>
      </c>
      <c r="N1558" s="4">
        <v>0</v>
      </c>
      <c r="O1558" s="4">
        <v>0</v>
      </c>
      <c r="P1558" s="4">
        <v>0</v>
      </c>
      <c r="Q1558" s="4">
        <v>0</v>
      </c>
      <c r="S1558" s="8">
        <f t="shared" si="72"/>
        <v>5.9211894646675018E-15</v>
      </c>
      <c r="T1558" s="8">
        <f t="shared" si="73"/>
        <v>-5.9211894646675018E-15</v>
      </c>
      <c r="U1558" s="9">
        <f t="shared" si="74"/>
        <v>-1</v>
      </c>
    </row>
    <row r="1559" spans="1:21" outlineLevel="2">
      <c r="A1559" t="s">
        <v>480</v>
      </c>
      <c r="B1559" t="s">
        <v>267</v>
      </c>
      <c r="C1559" t="s">
        <v>25</v>
      </c>
      <c r="D1559" t="s">
        <v>26</v>
      </c>
      <c r="E1559" s="4">
        <v>0</v>
      </c>
      <c r="F1559" s="4">
        <v>0</v>
      </c>
      <c r="G1559" s="4">
        <v>0</v>
      </c>
      <c r="H1559" s="4">
        <v>0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-8.1712414612411521E-14</v>
      </c>
      <c r="O1559" s="4">
        <v>0</v>
      </c>
      <c r="P1559" s="4">
        <v>0</v>
      </c>
      <c r="Q1559" s="4">
        <v>0</v>
      </c>
      <c r="S1559" s="8">
        <f t="shared" si="72"/>
        <v>-1.3618735768735254E-14</v>
      </c>
      <c r="T1559" s="8">
        <f t="shared" si="73"/>
        <v>1.3618735768735254E-14</v>
      </c>
      <c r="U1559" s="9">
        <f t="shared" si="74"/>
        <v>-1</v>
      </c>
    </row>
    <row r="1560" spans="1:21" outlineLevel="2">
      <c r="A1560" t="s">
        <v>480</v>
      </c>
      <c r="B1560" t="s">
        <v>267</v>
      </c>
      <c r="C1560" t="s">
        <v>27</v>
      </c>
      <c r="D1560" t="s">
        <v>28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>
        <v>0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S1560" s="8">
        <f t="shared" si="72"/>
        <v>0</v>
      </c>
      <c r="T1560" s="8">
        <f t="shared" si="73"/>
        <v>0</v>
      </c>
      <c r="U1560" s="9" t="e">
        <f t="shared" si="74"/>
        <v>#DIV/0!</v>
      </c>
    </row>
    <row r="1561" spans="1:21" outlineLevel="2">
      <c r="A1561" t="s">
        <v>480</v>
      </c>
      <c r="B1561" t="s">
        <v>267</v>
      </c>
      <c r="C1561" t="s">
        <v>136</v>
      </c>
      <c r="D1561" t="s">
        <v>137</v>
      </c>
      <c r="E1561" s="4">
        <v>1.8189894035458565E-12</v>
      </c>
      <c r="F1561" s="4">
        <v>9.0949470177292824E-13</v>
      </c>
      <c r="G1561" s="4">
        <v>3.637978807091713E-12</v>
      </c>
      <c r="H1561" s="4">
        <v>3.637978807091713E-12</v>
      </c>
      <c r="I1561" s="4">
        <v>0</v>
      </c>
      <c r="J1561" s="4">
        <v>0</v>
      </c>
      <c r="K1561" s="4">
        <v>31699.739999999998</v>
      </c>
      <c r="L1561" s="4">
        <v>-31699.739999999998</v>
      </c>
      <c r="M1561" s="4">
        <v>3.637978807091713E-12</v>
      </c>
      <c r="N1561" s="4">
        <v>0</v>
      </c>
      <c r="O1561" s="4">
        <v>3.637978807091713E-12</v>
      </c>
      <c r="P1561" s="4">
        <v>-3.637978807091713E-12</v>
      </c>
      <c r="Q1561" s="4">
        <v>0</v>
      </c>
      <c r="S1561" s="8">
        <f t="shared" si="72"/>
        <v>-5283.2899999999991</v>
      </c>
      <c r="T1561" s="8">
        <f t="shared" si="73"/>
        <v>5283.2899999999991</v>
      </c>
      <c r="U1561" s="9">
        <f t="shared" si="74"/>
        <v>-1</v>
      </c>
    </row>
    <row r="1562" spans="1:21" outlineLevel="2">
      <c r="A1562" t="s">
        <v>480</v>
      </c>
      <c r="B1562" t="s">
        <v>267</v>
      </c>
      <c r="C1562" t="s">
        <v>144</v>
      </c>
      <c r="D1562" t="s">
        <v>145</v>
      </c>
      <c r="E1562" s="4">
        <v>-1.1368683772161603E-13</v>
      </c>
      <c r="F1562" s="4">
        <v>1768.04</v>
      </c>
      <c r="G1562" s="4">
        <v>-1768.04</v>
      </c>
      <c r="H1562" s="4">
        <v>0</v>
      </c>
      <c r="I1562" s="4">
        <v>0</v>
      </c>
      <c r="J1562" s="4">
        <v>0</v>
      </c>
      <c r="K1562" s="4">
        <v>-768.74</v>
      </c>
      <c r="L1562" s="4">
        <v>768.74</v>
      </c>
      <c r="M1562" s="4">
        <v>-1.1368683772161603E-13</v>
      </c>
      <c r="N1562" s="4">
        <v>0</v>
      </c>
      <c r="O1562" s="4">
        <v>0</v>
      </c>
      <c r="P1562" s="4">
        <v>0</v>
      </c>
      <c r="Q1562" s="4">
        <v>0</v>
      </c>
      <c r="S1562" s="8">
        <f t="shared" si="72"/>
        <v>128.12333333333331</v>
      </c>
      <c r="T1562" s="8">
        <f t="shared" si="73"/>
        <v>-128.12333333333331</v>
      </c>
      <c r="U1562" s="9">
        <f t="shared" si="74"/>
        <v>-1</v>
      </c>
    </row>
    <row r="1563" spans="1:21" outlineLevel="2">
      <c r="A1563" t="s">
        <v>480</v>
      </c>
      <c r="B1563" t="s">
        <v>267</v>
      </c>
      <c r="C1563" t="s">
        <v>146</v>
      </c>
      <c r="D1563" t="s">
        <v>147</v>
      </c>
      <c r="E1563" s="4">
        <v>0</v>
      </c>
      <c r="F1563" s="4">
        <v>5.6843418860808015E-14</v>
      </c>
      <c r="G1563" s="4">
        <v>-6.8212102632969618E-13</v>
      </c>
      <c r="H1563" s="4">
        <v>2.2737367544323206E-13</v>
      </c>
      <c r="I1563" s="4">
        <v>0</v>
      </c>
      <c r="J1563" s="4">
        <v>0</v>
      </c>
      <c r="K1563" s="4">
        <v>3053.7799999999997</v>
      </c>
      <c r="L1563" s="4">
        <v>-3053.7799999999997</v>
      </c>
      <c r="M1563" s="4">
        <v>1252.9400000000005</v>
      </c>
      <c r="N1563" s="4">
        <v>-1252.9400000000005</v>
      </c>
      <c r="O1563" s="4">
        <v>0</v>
      </c>
      <c r="P1563" s="4">
        <v>0</v>
      </c>
      <c r="Q1563" s="4">
        <v>0</v>
      </c>
      <c r="S1563" s="8">
        <f t="shared" si="72"/>
        <v>-508.96333333333331</v>
      </c>
      <c r="T1563" s="8">
        <f t="shared" si="73"/>
        <v>508.96333333333331</v>
      </c>
      <c r="U1563" s="9">
        <f t="shared" si="74"/>
        <v>-1</v>
      </c>
    </row>
    <row r="1564" spans="1:21" outlineLevel="2">
      <c r="A1564" t="s">
        <v>480</v>
      </c>
      <c r="B1564" t="s">
        <v>267</v>
      </c>
      <c r="C1564" t="s">
        <v>150</v>
      </c>
      <c r="D1564" t="s">
        <v>151</v>
      </c>
      <c r="E1564" s="4">
        <v>0</v>
      </c>
      <c r="F1564" s="4">
        <v>0</v>
      </c>
      <c r="G1564" s="4">
        <v>-1.8189894035458565E-12</v>
      </c>
      <c r="H1564" s="4">
        <v>0</v>
      </c>
      <c r="I1564" s="4">
        <v>7494.37</v>
      </c>
      <c r="J1564" s="4">
        <v>4967.7</v>
      </c>
      <c r="K1564" s="4">
        <v>0</v>
      </c>
      <c r="L1564" s="4">
        <v>0</v>
      </c>
      <c r="M1564" s="4">
        <v>-12462.07</v>
      </c>
      <c r="N1564" s="4">
        <v>0</v>
      </c>
      <c r="O1564" s="4">
        <v>0</v>
      </c>
      <c r="P1564" s="4">
        <v>0</v>
      </c>
      <c r="Q1564" s="4">
        <v>0</v>
      </c>
      <c r="S1564" s="8">
        <f t="shared" si="72"/>
        <v>-2077.0116666666668</v>
      </c>
      <c r="T1564" s="8">
        <f t="shared" si="73"/>
        <v>2077.0116666666668</v>
      </c>
      <c r="U1564" s="9">
        <f t="shared" si="74"/>
        <v>-1</v>
      </c>
    </row>
    <row r="1565" spans="1:21" outlineLevel="2">
      <c r="A1565" t="s">
        <v>480</v>
      </c>
      <c r="B1565" t="s">
        <v>267</v>
      </c>
      <c r="C1565" t="s">
        <v>152</v>
      </c>
      <c r="D1565" t="s">
        <v>153</v>
      </c>
      <c r="E1565" s="4">
        <v>0</v>
      </c>
      <c r="F1565" s="4">
        <v>-1.1368683772161603E-13</v>
      </c>
      <c r="G1565" s="4">
        <v>0</v>
      </c>
      <c r="H1565" s="4">
        <v>4.5474735088646412E-13</v>
      </c>
      <c r="I1565" s="4">
        <v>0</v>
      </c>
      <c r="J1565" s="4">
        <v>0</v>
      </c>
      <c r="K1565" s="4">
        <v>2347.41</v>
      </c>
      <c r="L1565" s="4">
        <v>-2347.41</v>
      </c>
      <c r="M1565" s="4">
        <v>0</v>
      </c>
      <c r="N1565" s="4">
        <v>0</v>
      </c>
      <c r="O1565" s="4">
        <v>4.5474735088646412E-13</v>
      </c>
      <c r="P1565" s="4">
        <v>-4.5474735088646412E-13</v>
      </c>
      <c r="Q1565" s="4">
        <v>0</v>
      </c>
      <c r="S1565" s="8">
        <f t="shared" si="72"/>
        <v>-391.23499999999996</v>
      </c>
      <c r="T1565" s="8">
        <f t="shared" si="73"/>
        <v>391.23499999999996</v>
      </c>
      <c r="U1565" s="9">
        <f t="shared" si="74"/>
        <v>-1</v>
      </c>
    </row>
    <row r="1566" spans="1:21" outlineLevel="2">
      <c r="A1566" t="s">
        <v>480</v>
      </c>
      <c r="B1566" t="s">
        <v>267</v>
      </c>
      <c r="C1566" t="s">
        <v>154</v>
      </c>
      <c r="D1566" t="s">
        <v>155</v>
      </c>
      <c r="E1566" s="4">
        <v>0</v>
      </c>
      <c r="F1566" s="4">
        <v>0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S1566" s="8">
        <f t="shared" si="72"/>
        <v>0</v>
      </c>
      <c r="T1566" s="8">
        <f t="shared" si="73"/>
        <v>0</v>
      </c>
      <c r="U1566" s="9" t="e">
        <f t="shared" si="74"/>
        <v>#DIV/0!</v>
      </c>
    </row>
    <row r="1567" spans="1:21" outlineLevel="2">
      <c r="A1567" t="s">
        <v>480</v>
      </c>
      <c r="B1567" t="s">
        <v>267</v>
      </c>
      <c r="C1567" t="s">
        <v>158</v>
      </c>
      <c r="D1567" t="s">
        <v>159</v>
      </c>
      <c r="E1567" s="4">
        <v>0</v>
      </c>
      <c r="F1567" s="4">
        <v>0</v>
      </c>
      <c r="G1567" s="4">
        <v>0</v>
      </c>
      <c r="H1567" s="4">
        <v>0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4">
        <v>0</v>
      </c>
      <c r="O1567" s="4">
        <v>0</v>
      </c>
      <c r="P1567" s="4">
        <v>0</v>
      </c>
      <c r="Q1567" s="4">
        <v>0</v>
      </c>
      <c r="S1567" s="8">
        <f t="shared" si="72"/>
        <v>0</v>
      </c>
      <c r="T1567" s="8">
        <f t="shared" si="73"/>
        <v>0</v>
      </c>
      <c r="U1567" s="9" t="e">
        <f t="shared" si="74"/>
        <v>#DIV/0!</v>
      </c>
    </row>
    <row r="1568" spans="1:21" outlineLevel="2">
      <c r="A1568" t="s">
        <v>480</v>
      </c>
      <c r="B1568" t="s">
        <v>267</v>
      </c>
      <c r="C1568" t="s">
        <v>160</v>
      </c>
      <c r="D1568" t="s">
        <v>161</v>
      </c>
      <c r="E1568" s="4">
        <v>0</v>
      </c>
      <c r="F1568" s="4">
        <v>0</v>
      </c>
      <c r="G1568" s="4">
        <v>0</v>
      </c>
      <c r="H1568" s="4">
        <v>0</v>
      </c>
      <c r="I1568" s="4">
        <v>0</v>
      </c>
      <c r="J1568" s="4">
        <v>0</v>
      </c>
      <c r="K1568" s="4">
        <v>0</v>
      </c>
      <c r="L1568" s="4">
        <v>0</v>
      </c>
      <c r="M1568" s="4">
        <v>611.58000000000004</v>
      </c>
      <c r="N1568" s="4">
        <v>-611.58000000000004</v>
      </c>
      <c r="O1568" s="4">
        <v>0</v>
      </c>
      <c r="P1568" s="4">
        <v>0</v>
      </c>
      <c r="Q1568" s="4">
        <v>0</v>
      </c>
      <c r="S1568" s="8">
        <f t="shared" si="72"/>
        <v>0</v>
      </c>
      <c r="T1568" s="8">
        <f t="shared" si="73"/>
        <v>0</v>
      </c>
      <c r="U1568" s="9" t="e">
        <f t="shared" si="74"/>
        <v>#DIV/0!</v>
      </c>
    </row>
    <row r="1569" spans="1:21" outlineLevel="2">
      <c r="A1569" t="s">
        <v>480</v>
      </c>
      <c r="B1569" t="s">
        <v>267</v>
      </c>
      <c r="C1569" t="s">
        <v>164</v>
      </c>
      <c r="D1569" t="s">
        <v>165</v>
      </c>
      <c r="E1569" s="4">
        <v>0</v>
      </c>
      <c r="F1569" s="4">
        <v>0</v>
      </c>
      <c r="G1569" s="4">
        <v>0</v>
      </c>
      <c r="H1569" s="4">
        <v>0</v>
      </c>
      <c r="I1569" s="4">
        <v>0</v>
      </c>
      <c r="J1569" s="4">
        <v>0</v>
      </c>
      <c r="K1569" s="4">
        <v>210</v>
      </c>
      <c r="L1569" s="4">
        <v>-210</v>
      </c>
      <c r="M1569" s="4">
        <v>0</v>
      </c>
      <c r="N1569" s="4">
        <v>0</v>
      </c>
      <c r="O1569" s="4">
        <v>0</v>
      </c>
      <c r="P1569" s="4">
        <v>0</v>
      </c>
      <c r="Q1569" s="4">
        <v>0</v>
      </c>
      <c r="S1569" s="8">
        <f t="shared" si="72"/>
        <v>-35</v>
      </c>
      <c r="T1569" s="8">
        <f t="shared" si="73"/>
        <v>35</v>
      </c>
      <c r="U1569" s="9">
        <f t="shared" si="74"/>
        <v>-1</v>
      </c>
    </row>
    <row r="1570" spans="1:21" outlineLevel="2">
      <c r="A1570" t="s">
        <v>480</v>
      </c>
      <c r="B1570" t="s">
        <v>267</v>
      </c>
      <c r="C1570" t="s">
        <v>59</v>
      </c>
      <c r="D1570" t="s">
        <v>60</v>
      </c>
      <c r="E1570" s="4">
        <v>0</v>
      </c>
      <c r="F1570" s="4">
        <v>-1.4210854715202004E-14</v>
      </c>
      <c r="G1570" s="4">
        <v>0</v>
      </c>
      <c r="H1570" s="4">
        <v>0</v>
      </c>
      <c r="I1570" s="4">
        <v>0</v>
      </c>
      <c r="J1570" s="4">
        <v>0</v>
      </c>
      <c r="K1570" s="4">
        <v>-7.1054273576010019E-15</v>
      </c>
      <c r="L1570" s="4">
        <v>0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S1570" s="8">
        <f t="shared" si="72"/>
        <v>0</v>
      </c>
      <c r="T1570" s="8">
        <f t="shared" si="73"/>
        <v>0</v>
      </c>
      <c r="U1570" s="9" t="e">
        <f t="shared" si="74"/>
        <v>#DIV/0!</v>
      </c>
    </row>
    <row r="1571" spans="1:21" outlineLevel="2">
      <c r="A1571" t="s">
        <v>480</v>
      </c>
      <c r="B1571" t="s">
        <v>267</v>
      </c>
      <c r="C1571" t="s">
        <v>63</v>
      </c>
      <c r="D1571" t="s">
        <v>64</v>
      </c>
      <c r="E1571" s="4">
        <v>-2.4868995751603507E-14</v>
      </c>
      <c r="F1571" s="4">
        <v>0</v>
      </c>
      <c r="G1571" s="4">
        <v>0</v>
      </c>
      <c r="H1571" s="4">
        <v>0</v>
      </c>
      <c r="I1571" s="4">
        <v>0</v>
      </c>
      <c r="J1571" s="4">
        <v>0</v>
      </c>
      <c r="K1571" s="4">
        <v>0</v>
      </c>
      <c r="L1571" s="4">
        <v>0</v>
      </c>
      <c r="M1571" s="4">
        <v>0</v>
      </c>
      <c r="N1571" s="4">
        <v>0</v>
      </c>
      <c r="O1571" s="4">
        <v>0</v>
      </c>
      <c r="P1571" s="4">
        <v>0</v>
      </c>
      <c r="Q1571" s="4">
        <v>0</v>
      </c>
      <c r="S1571" s="8">
        <f t="shared" si="72"/>
        <v>0</v>
      </c>
      <c r="T1571" s="8">
        <f t="shared" si="73"/>
        <v>0</v>
      </c>
      <c r="U1571" s="9" t="e">
        <f t="shared" si="74"/>
        <v>#DIV/0!</v>
      </c>
    </row>
    <row r="1572" spans="1:21" outlineLevel="2">
      <c r="A1572" t="s">
        <v>480</v>
      </c>
      <c r="B1572" t="s">
        <v>267</v>
      </c>
      <c r="C1572" t="s">
        <v>83</v>
      </c>
      <c r="D1572" t="s">
        <v>84</v>
      </c>
      <c r="E1572" s="4">
        <v>0</v>
      </c>
      <c r="F1572" s="4">
        <v>0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S1572" s="8">
        <f t="shared" si="72"/>
        <v>0</v>
      </c>
      <c r="T1572" s="8">
        <f t="shared" si="73"/>
        <v>0</v>
      </c>
      <c r="U1572" s="9" t="e">
        <f t="shared" si="74"/>
        <v>#DIV/0!</v>
      </c>
    </row>
    <row r="1573" spans="1:21" outlineLevel="2">
      <c r="A1573" t="s">
        <v>480</v>
      </c>
      <c r="B1573" t="s">
        <v>267</v>
      </c>
      <c r="C1573" t="s">
        <v>168</v>
      </c>
      <c r="D1573" t="s">
        <v>169</v>
      </c>
      <c r="E1573" s="4">
        <v>0</v>
      </c>
      <c r="F1573" s="4">
        <v>0</v>
      </c>
      <c r="G1573" s="4">
        <v>0</v>
      </c>
      <c r="H1573" s="4">
        <v>0</v>
      </c>
      <c r="I1573" s="4">
        <v>0</v>
      </c>
      <c r="J1573" s="4">
        <v>0</v>
      </c>
      <c r="K1573" s="4">
        <v>0</v>
      </c>
      <c r="L1573" s="4">
        <v>0</v>
      </c>
      <c r="M1573" s="4">
        <v>0</v>
      </c>
      <c r="N1573" s="4">
        <v>0</v>
      </c>
      <c r="O1573" s="4">
        <v>0</v>
      </c>
      <c r="P1573" s="4">
        <v>0</v>
      </c>
      <c r="Q1573" s="4">
        <v>0</v>
      </c>
      <c r="S1573" s="8">
        <f t="shared" si="72"/>
        <v>0</v>
      </c>
      <c r="T1573" s="8">
        <f t="shared" si="73"/>
        <v>0</v>
      </c>
      <c r="U1573" s="9" t="e">
        <f t="shared" si="74"/>
        <v>#DIV/0!</v>
      </c>
    </row>
    <row r="1574" spans="1:21" outlineLevel="2">
      <c r="A1574" t="s">
        <v>480</v>
      </c>
      <c r="B1574" t="s">
        <v>267</v>
      </c>
      <c r="C1574" t="s">
        <v>101</v>
      </c>
      <c r="D1574" t="s">
        <v>102</v>
      </c>
      <c r="E1574" s="4">
        <v>0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  <c r="M1574" s="4">
        <v>-6.3664629124104977E-12</v>
      </c>
      <c r="N1574" s="4">
        <v>0</v>
      </c>
      <c r="O1574" s="4">
        <v>0</v>
      </c>
      <c r="P1574" s="4">
        <v>0</v>
      </c>
      <c r="Q1574" s="4">
        <v>0</v>
      </c>
      <c r="S1574" s="8">
        <f t="shared" si="72"/>
        <v>-1.0610771520684163E-12</v>
      </c>
      <c r="T1574" s="8">
        <f t="shared" si="73"/>
        <v>1.0610771520684163E-12</v>
      </c>
      <c r="U1574" s="9">
        <f t="shared" si="74"/>
        <v>-1</v>
      </c>
    </row>
    <row r="1575" spans="1:21" outlineLevel="2">
      <c r="A1575" t="s">
        <v>480</v>
      </c>
      <c r="B1575" t="s">
        <v>267</v>
      </c>
      <c r="C1575" t="s">
        <v>127</v>
      </c>
      <c r="D1575" t="s">
        <v>120</v>
      </c>
      <c r="E1575" s="4">
        <v>0</v>
      </c>
      <c r="F1575" s="4">
        <v>0</v>
      </c>
      <c r="G1575" s="4">
        <v>0</v>
      </c>
      <c r="H1575" s="4">
        <v>0</v>
      </c>
      <c r="I1575" s="4">
        <v>0</v>
      </c>
      <c r="J1575" s="4">
        <v>0</v>
      </c>
      <c r="K1575" s="4">
        <v>0</v>
      </c>
      <c r="L1575" s="4">
        <v>0</v>
      </c>
      <c r="M1575" s="4">
        <v>0</v>
      </c>
      <c r="N1575" s="4">
        <v>0</v>
      </c>
      <c r="O1575" s="4">
        <v>0</v>
      </c>
      <c r="P1575" s="4">
        <v>0</v>
      </c>
      <c r="Q1575" s="4">
        <v>0</v>
      </c>
      <c r="S1575" s="8">
        <f t="shared" si="72"/>
        <v>0</v>
      </c>
      <c r="T1575" s="8">
        <f t="shared" si="73"/>
        <v>0</v>
      </c>
      <c r="U1575" s="9" t="e">
        <f t="shared" si="74"/>
        <v>#DIV/0!</v>
      </c>
    </row>
    <row r="1576" spans="1:21" outlineLevel="1">
      <c r="A1576" s="1" t="s">
        <v>794</v>
      </c>
      <c r="E1576" s="4">
        <f>SUBTOTAL(9,E1558:E1575)</f>
        <v>1.6804335700726369E-12</v>
      </c>
      <c r="F1576" s="4">
        <f>SUBTOTAL(9,F1558:F1575)</f>
        <v>1768.0400000000009</v>
      </c>
      <c r="G1576" s="4">
        <f>SUBTOTAL(9,G1558:G1575)</f>
        <v>-1768.0399999999988</v>
      </c>
      <c r="H1576" s="4">
        <f>SUBTOTAL(9,H1558:H1575)</f>
        <v>4.3200998334214091E-12</v>
      </c>
      <c r="I1576" s="4">
        <f>SUBTOTAL(9,I1558:I1575)</f>
        <v>7494.37</v>
      </c>
      <c r="J1576" s="4">
        <f>SUBTOTAL(9,J1558:J1575)</f>
        <v>4967.7</v>
      </c>
      <c r="K1576" s="4">
        <f>SUBTOTAL(9,K1558:K1575)</f>
        <v>36542.19</v>
      </c>
      <c r="L1576" s="4">
        <f>SUBTOTAL(9,L1558:L1575)</f>
        <v>-36542.19</v>
      </c>
      <c r="M1576" s="4">
        <f>SUBTOTAL(9,M1558:M1575)</f>
        <v>-10597.550000000003</v>
      </c>
      <c r="N1576" s="4">
        <f>SUBTOTAL(9,N1558:N1575)</f>
        <v>-1864.5200000000004</v>
      </c>
      <c r="O1576" s="4">
        <f>SUBTOTAL(9,O1558:O1575)</f>
        <v>4.0927261579781771E-12</v>
      </c>
      <c r="P1576" s="4">
        <f>SUBTOTAL(9,P1558:P1575)</f>
        <v>-4.0927261579781771E-12</v>
      </c>
      <c r="Q1576" s="4">
        <f>SUBTOTAL(9,Q1558:Q1575)</f>
        <v>0</v>
      </c>
      <c r="R1576" s="4">
        <f>SUBTOTAL(9,R1558:R1575)</f>
        <v>0</v>
      </c>
      <c r="S1576" s="8">
        <f t="shared" si="72"/>
        <v>-8167.3766666666679</v>
      </c>
      <c r="T1576" s="8">
        <f t="shared" si="73"/>
        <v>8167.3766666666679</v>
      </c>
      <c r="U1576" s="9">
        <f t="shared" si="74"/>
        <v>-1</v>
      </c>
    </row>
    <row r="1577" spans="1:21" outlineLevel="2">
      <c r="A1577" t="s">
        <v>481</v>
      </c>
      <c r="B1577" t="s">
        <v>261</v>
      </c>
      <c r="C1577" t="s">
        <v>51</v>
      </c>
      <c r="D1577" t="s">
        <v>52</v>
      </c>
      <c r="E1577" s="4">
        <v>0</v>
      </c>
      <c r="F1577" s="4">
        <v>28</v>
      </c>
      <c r="G1577" s="4">
        <v>0</v>
      </c>
      <c r="H1577" s="4">
        <v>0</v>
      </c>
      <c r="I1577" s="4">
        <v>0</v>
      </c>
      <c r="J1577" s="4">
        <v>0</v>
      </c>
      <c r="K1577" s="4">
        <v>0</v>
      </c>
      <c r="L1577" s="4">
        <v>0</v>
      </c>
      <c r="M1577" s="4">
        <v>0</v>
      </c>
      <c r="N1577" s="4">
        <v>0</v>
      </c>
      <c r="O1577" s="4">
        <v>0</v>
      </c>
      <c r="P1577" s="4">
        <v>0</v>
      </c>
      <c r="Q1577" s="4">
        <v>0</v>
      </c>
      <c r="S1577" s="8">
        <f t="shared" si="72"/>
        <v>0</v>
      </c>
      <c r="T1577" s="8">
        <f t="shared" si="73"/>
        <v>0</v>
      </c>
      <c r="U1577" s="9" t="e">
        <f t="shared" si="74"/>
        <v>#DIV/0!</v>
      </c>
    </row>
    <row r="1578" spans="1:21" outlineLevel="2">
      <c r="A1578" t="s">
        <v>481</v>
      </c>
      <c r="B1578" t="s">
        <v>261</v>
      </c>
      <c r="C1578" t="s">
        <v>103</v>
      </c>
      <c r="D1578" t="s">
        <v>104</v>
      </c>
      <c r="E1578" s="4">
        <v>0</v>
      </c>
      <c r="F1578" s="4">
        <v>0</v>
      </c>
      <c r="G1578" s="4">
        <v>0</v>
      </c>
      <c r="H1578" s="4">
        <v>-370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S1578" s="8">
        <f t="shared" si="72"/>
        <v>0</v>
      </c>
      <c r="T1578" s="8">
        <f t="shared" si="73"/>
        <v>0</v>
      </c>
      <c r="U1578" s="9" t="e">
        <f t="shared" si="74"/>
        <v>#DIV/0!</v>
      </c>
    </row>
    <row r="1579" spans="1:21" outlineLevel="2">
      <c r="A1579" t="s">
        <v>481</v>
      </c>
      <c r="B1579" t="s">
        <v>261</v>
      </c>
      <c r="C1579" t="s">
        <v>464</v>
      </c>
      <c r="D1579" t="s">
        <v>465</v>
      </c>
      <c r="E1579" s="4">
        <v>0</v>
      </c>
      <c r="F1579" s="4">
        <v>0</v>
      </c>
      <c r="G1579" s="4">
        <v>0</v>
      </c>
      <c r="H1579" s="4">
        <v>0</v>
      </c>
      <c r="I1579" s="4">
        <v>0</v>
      </c>
      <c r="J1579" s="4">
        <v>0</v>
      </c>
      <c r="K1579" s="4">
        <v>0</v>
      </c>
      <c r="L1579" s="4">
        <v>0</v>
      </c>
      <c r="M1579" s="4">
        <v>25.92</v>
      </c>
      <c r="N1579" s="4">
        <v>0</v>
      </c>
      <c r="O1579" s="4">
        <v>0</v>
      </c>
      <c r="P1579" s="4">
        <v>0</v>
      </c>
      <c r="Q1579" s="4">
        <v>0</v>
      </c>
      <c r="S1579" s="8">
        <f t="shared" si="72"/>
        <v>4.32</v>
      </c>
      <c r="T1579" s="8">
        <f t="shared" si="73"/>
        <v>-4.32</v>
      </c>
      <c r="U1579" s="9">
        <f t="shared" si="74"/>
        <v>-1</v>
      </c>
    </row>
    <row r="1580" spans="1:21" outlineLevel="1">
      <c r="A1580" s="1" t="s">
        <v>795</v>
      </c>
      <c r="E1580" s="4">
        <f>SUBTOTAL(9,E1577:E1579)</f>
        <v>0</v>
      </c>
      <c r="F1580" s="4">
        <f>SUBTOTAL(9,F1577:F1579)</f>
        <v>28</v>
      </c>
      <c r="G1580" s="4">
        <f>SUBTOTAL(9,G1577:G1579)</f>
        <v>0</v>
      </c>
      <c r="H1580" s="4">
        <f>SUBTOTAL(9,H1577:H1579)</f>
        <v>-370</v>
      </c>
      <c r="I1580" s="4">
        <f>SUBTOTAL(9,I1577:I1579)</f>
        <v>0</v>
      </c>
      <c r="J1580" s="4">
        <f>SUBTOTAL(9,J1577:J1579)</f>
        <v>0</v>
      </c>
      <c r="K1580" s="4">
        <f>SUBTOTAL(9,K1577:K1579)</f>
        <v>0</v>
      </c>
      <c r="L1580" s="4">
        <f>SUBTOTAL(9,L1577:L1579)</f>
        <v>0</v>
      </c>
      <c r="M1580" s="4">
        <f>SUBTOTAL(9,M1577:M1579)</f>
        <v>25.92</v>
      </c>
      <c r="N1580" s="4">
        <f>SUBTOTAL(9,N1577:N1579)</f>
        <v>0</v>
      </c>
      <c r="O1580" s="4">
        <f>SUBTOTAL(9,O1577:O1579)</f>
        <v>0</v>
      </c>
      <c r="P1580" s="4">
        <f>SUBTOTAL(9,P1577:P1579)</f>
        <v>0</v>
      </c>
      <c r="Q1580" s="4">
        <f>SUBTOTAL(9,Q1577:Q1579)</f>
        <v>0</v>
      </c>
      <c r="R1580" s="4">
        <f>SUBTOTAL(9,R1577:R1579)</f>
        <v>0</v>
      </c>
      <c r="S1580" s="8">
        <f t="shared" si="72"/>
        <v>4.32</v>
      </c>
      <c r="T1580" s="8">
        <f t="shared" si="73"/>
        <v>-4.32</v>
      </c>
      <c r="U1580" s="9">
        <f t="shared" si="74"/>
        <v>-1</v>
      </c>
    </row>
    <row r="1581" spans="1:21" outlineLevel="2">
      <c r="A1581" t="s">
        <v>482</v>
      </c>
      <c r="B1581" t="s">
        <v>483</v>
      </c>
      <c r="C1581" t="s">
        <v>21</v>
      </c>
      <c r="D1581" t="s">
        <v>22</v>
      </c>
      <c r="E1581" s="4">
        <v>0</v>
      </c>
      <c r="F1581" s="4">
        <v>0</v>
      </c>
      <c r="G1581" s="4">
        <v>0</v>
      </c>
      <c r="H1581" s="4">
        <v>0</v>
      </c>
      <c r="I1581" s="4">
        <v>0</v>
      </c>
      <c r="J1581" s="4">
        <v>0</v>
      </c>
      <c r="K1581" s="4">
        <v>0</v>
      </c>
      <c r="L1581" s="4">
        <v>34.42</v>
      </c>
      <c r="M1581" s="4">
        <v>0</v>
      </c>
      <c r="N1581" s="4">
        <v>0</v>
      </c>
      <c r="O1581" s="4">
        <v>131.21</v>
      </c>
      <c r="P1581" s="4">
        <v>100.1</v>
      </c>
      <c r="Q1581" s="4">
        <v>0</v>
      </c>
      <c r="S1581" s="8">
        <f t="shared" si="72"/>
        <v>44.288333333333334</v>
      </c>
      <c r="T1581" s="8">
        <f t="shared" si="73"/>
        <v>-44.288333333333334</v>
      </c>
      <c r="U1581" s="9">
        <f t="shared" si="74"/>
        <v>-1</v>
      </c>
    </row>
    <row r="1582" spans="1:21" outlineLevel="2">
      <c r="A1582" t="s">
        <v>482</v>
      </c>
      <c r="B1582" t="s">
        <v>483</v>
      </c>
      <c r="C1582" t="s">
        <v>25</v>
      </c>
      <c r="D1582" t="s">
        <v>26</v>
      </c>
      <c r="E1582" s="4">
        <v>0</v>
      </c>
      <c r="F1582" s="4">
        <v>0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  <c r="M1582" s="4">
        <v>0</v>
      </c>
      <c r="N1582" s="4">
        <v>0</v>
      </c>
      <c r="O1582" s="4">
        <v>0</v>
      </c>
      <c r="P1582" s="4">
        <v>745</v>
      </c>
      <c r="Q1582" s="4">
        <v>0</v>
      </c>
      <c r="S1582" s="8">
        <f t="shared" si="72"/>
        <v>124.16666666666667</v>
      </c>
      <c r="T1582" s="8">
        <f t="shared" si="73"/>
        <v>-124.16666666666667</v>
      </c>
      <c r="U1582" s="9">
        <f t="shared" si="74"/>
        <v>-1</v>
      </c>
    </row>
    <row r="1583" spans="1:21" outlineLevel="2">
      <c r="A1583" t="s">
        <v>482</v>
      </c>
      <c r="B1583" t="s">
        <v>483</v>
      </c>
      <c r="C1583" t="s">
        <v>55</v>
      </c>
      <c r="D1583" t="s">
        <v>56</v>
      </c>
      <c r="E1583" s="4">
        <v>0</v>
      </c>
      <c r="F1583" s="4">
        <v>0</v>
      </c>
      <c r="G1583" s="4">
        <v>0</v>
      </c>
      <c r="H1583" s="4">
        <v>0</v>
      </c>
      <c r="I1583" s="4">
        <v>0</v>
      </c>
      <c r="J1583" s="4">
        <v>0</v>
      </c>
      <c r="K1583" s="4">
        <v>0</v>
      </c>
      <c r="L1583" s="4">
        <v>0</v>
      </c>
      <c r="M1583" s="4">
        <v>0</v>
      </c>
      <c r="N1583" s="4">
        <v>0</v>
      </c>
      <c r="O1583" s="4">
        <v>0</v>
      </c>
      <c r="P1583" s="4">
        <v>0</v>
      </c>
      <c r="Q1583" s="4">
        <v>11.6</v>
      </c>
      <c r="S1583" s="8">
        <f t="shared" si="72"/>
        <v>1.9333333333333333</v>
      </c>
      <c r="T1583" s="8">
        <f t="shared" si="73"/>
        <v>-1.9333333333333333</v>
      </c>
      <c r="U1583" s="9">
        <f t="shared" si="74"/>
        <v>-1</v>
      </c>
    </row>
    <row r="1584" spans="1:21" outlineLevel="2">
      <c r="A1584" t="s">
        <v>482</v>
      </c>
      <c r="B1584" t="s">
        <v>483</v>
      </c>
      <c r="C1584" t="s">
        <v>59</v>
      </c>
      <c r="D1584" t="s">
        <v>60</v>
      </c>
      <c r="E1584" s="4">
        <v>0</v>
      </c>
      <c r="F1584" s="4">
        <v>0</v>
      </c>
      <c r="G1584" s="4">
        <v>0</v>
      </c>
      <c r="H1584" s="4">
        <v>7.55</v>
      </c>
      <c r="I1584" s="4">
        <v>0</v>
      </c>
      <c r="J1584" s="4">
        <v>0</v>
      </c>
      <c r="K1584" s="4">
        <v>0</v>
      </c>
      <c r="L1584" s="4">
        <v>0</v>
      </c>
      <c r="M1584" s="4">
        <v>117.91</v>
      </c>
      <c r="N1584" s="4">
        <v>0</v>
      </c>
      <c r="O1584" s="4">
        <v>0</v>
      </c>
      <c r="P1584" s="4">
        <v>0</v>
      </c>
      <c r="Q1584" s="4">
        <v>0</v>
      </c>
      <c r="S1584" s="8">
        <f t="shared" si="72"/>
        <v>19.651666666666667</v>
      </c>
      <c r="T1584" s="8">
        <f t="shared" si="73"/>
        <v>-19.651666666666667</v>
      </c>
      <c r="U1584" s="9">
        <f t="shared" si="74"/>
        <v>-1</v>
      </c>
    </row>
    <row r="1585" spans="1:22" outlineLevel="2">
      <c r="A1585" t="s">
        <v>482</v>
      </c>
      <c r="B1585" t="s">
        <v>483</v>
      </c>
      <c r="C1585" t="s">
        <v>196</v>
      </c>
      <c r="D1585" t="s">
        <v>197</v>
      </c>
      <c r="E1585" s="4">
        <v>0</v>
      </c>
      <c r="F1585" s="4">
        <v>560</v>
      </c>
      <c r="G1585" s="4">
        <v>0</v>
      </c>
      <c r="H1585" s="4">
        <v>0</v>
      </c>
      <c r="I1585" s="4">
        <v>0</v>
      </c>
      <c r="J1585" s="4">
        <v>0</v>
      </c>
      <c r="K1585" s="4">
        <v>0</v>
      </c>
      <c r="L1585" s="4">
        <v>2163.09</v>
      </c>
      <c r="M1585" s="4">
        <v>2210.7400000000002</v>
      </c>
      <c r="N1585" s="4">
        <v>0</v>
      </c>
      <c r="O1585" s="4">
        <v>1000</v>
      </c>
      <c r="P1585" s="4">
        <v>0</v>
      </c>
      <c r="Q1585" s="4">
        <v>0</v>
      </c>
      <c r="S1585" s="8">
        <f t="shared" si="72"/>
        <v>895.63833333333332</v>
      </c>
      <c r="T1585" s="8">
        <f t="shared" si="73"/>
        <v>-895.63833333333332</v>
      </c>
      <c r="U1585" s="9">
        <f t="shared" si="74"/>
        <v>-1</v>
      </c>
    </row>
    <row r="1586" spans="1:22" outlineLevel="2">
      <c r="A1586" t="s">
        <v>482</v>
      </c>
      <c r="B1586" t="s">
        <v>483</v>
      </c>
      <c r="C1586" t="s">
        <v>83</v>
      </c>
      <c r="D1586" t="s">
        <v>84</v>
      </c>
      <c r="E1586" s="4">
        <v>0</v>
      </c>
      <c r="F1586" s="4">
        <v>0</v>
      </c>
      <c r="G1586" s="4">
        <v>370.86000000000007</v>
      </c>
      <c r="H1586" s="4">
        <v>0.7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S1586" s="8">
        <f t="shared" si="72"/>
        <v>0</v>
      </c>
      <c r="T1586" s="8">
        <f t="shared" si="73"/>
        <v>0</v>
      </c>
      <c r="U1586" s="9" t="e">
        <f t="shared" si="74"/>
        <v>#DIV/0!</v>
      </c>
    </row>
    <row r="1587" spans="1:22" outlineLevel="2">
      <c r="A1587" t="s">
        <v>482</v>
      </c>
      <c r="B1587" t="s">
        <v>483</v>
      </c>
      <c r="C1587" t="s">
        <v>127</v>
      </c>
      <c r="D1587" t="s">
        <v>120</v>
      </c>
      <c r="E1587" s="4">
        <v>0</v>
      </c>
      <c r="F1587" s="4">
        <v>0</v>
      </c>
      <c r="G1587" s="4">
        <v>0</v>
      </c>
      <c r="H1587" s="4">
        <v>0</v>
      </c>
      <c r="I1587" s="4">
        <v>0</v>
      </c>
      <c r="J1587" s="4">
        <v>0</v>
      </c>
      <c r="K1587" s="4">
        <v>0</v>
      </c>
      <c r="L1587" s="4">
        <v>194.22</v>
      </c>
      <c r="M1587" s="4">
        <v>0</v>
      </c>
      <c r="N1587" s="4">
        <v>3290.55</v>
      </c>
      <c r="O1587" s="4">
        <v>0</v>
      </c>
      <c r="P1587" s="4">
        <v>601.42999999999995</v>
      </c>
      <c r="Q1587" s="4">
        <v>0</v>
      </c>
      <c r="S1587" s="8">
        <f t="shared" si="72"/>
        <v>681.0333333333333</v>
      </c>
      <c r="T1587" s="8">
        <f t="shared" si="73"/>
        <v>-681.0333333333333</v>
      </c>
      <c r="U1587" s="9">
        <f t="shared" si="74"/>
        <v>-1</v>
      </c>
    </row>
    <row r="1588" spans="1:22" outlineLevel="1">
      <c r="A1588" s="1" t="s">
        <v>796</v>
      </c>
      <c r="E1588" s="4">
        <f>SUBTOTAL(9,E1581:E1587)</f>
        <v>0</v>
      </c>
      <c r="F1588" s="4">
        <f>SUBTOTAL(9,F1581:F1587)</f>
        <v>560</v>
      </c>
      <c r="G1588" s="4">
        <f>SUBTOTAL(9,G1581:G1587)</f>
        <v>370.86000000000007</v>
      </c>
      <c r="H1588" s="4">
        <f>SUBTOTAL(9,H1581:H1587)</f>
        <v>8.25</v>
      </c>
      <c r="I1588" s="4">
        <f>SUBTOTAL(9,I1581:I1587)</f>
        <v>0</v>
      </c>
      <c r="J1588" s="4">
        <f>SUBTOTAL(9,J1581:J1587)</f>
        <v>0</v>
      </c>
      <c r="K1588" s="4">
        <f>SUBTOTAL(9,K1581:K1587)</f>
        <v>0</v>
      </c>
      <c r="L1588" s="4">
        <f>SUBTOTAL(9,L1581:L1587)</f>
        <v>2391.73</v>
      </c>
      <c r="M1588" s="4">
        <f>SUBTOTAL(9,M1581:M1587)</f>
        <v>2328.65</v>
      </c>
      <c r="N1588" s="4">
        <f>SUBTOTAL(9,N1581:N1587)</f>
        <v>3290.55</v>
      </c>
      <c r="O1588" s="4">
        <f>SUBTOTAL(9,O1581:O1587)</f>
        <v>1131.21</v>
      </c>
      <c r="P1588" s="4">
        <f>SUBTOTAL(9,P1581:P1587)</f>
        <v>1446.53</v>
      </c>
      <c r="Q1588" s="4">
        <f>SUBTOTAL(9,Q1581:Q1587)</f>
        <v>11.6</v>
      </c>
      <c r="R1588" s="4">
        <f>SUBTOTAL(9,R1581:R1587)</f>
        <v>0</v>
      </c>
      <c r="S1588" s="8">
        <f t="shared" si="72"/>
        <v>1766.7116666666668</v>
      </c>
      <c r="T1588" s="8">
        <f t="shared" si="73"/>
        <v>-1766.7116666666668</v>
      </c>
      <c r="U1588" s="9">
        <f t="shared" si="74"/>
        <v>-1</v>
      </c>
    </row>
    <row r="1589" spans="1:22" outlineLevel="2">
      <c r="A1589" t="s">
        <v>484</v>
      </c>
      <c r="B1589" t="s">
        <v>485</v>
      </c>
      <c r="C1589" t="s">
        <v>21</v>
      </c>
      <c r="D1589" t="s">
        <v>22</v>
      </c>
      <c r="E1589" s="4">
        <v>0</v>
      </c>
      <c r="F1589" s="4">
        <v>0</v>
      </c>
      <c r="G1589" s="4">
        <v>0</v>
      </c>
      <c r="H1589" s="4">
        <v>0</v>
      </c>
      <c r="I1589" s="4">
        <v>0</v>
      </c>
      <c r="J1589" s="4">
        <v>0</v>
      </c>
      <c r="K1589" s="4">
        <v>0</v>
      </c>
      <c r="L1589" s="4">
        <v>0</v>
      </c>
      <c r="M1589" s="4">
        <v>0</v>
      </c>
      <c r="N1589" s="4">
        <v>0</v>
      </c>
      <c r="O1589" s="4">
        <v>0</v>
      </c>
      <c r="P1589" s="4">
        <v>0</v>
      </c>
      <c r="Q1589" s="4">
        <v>0</v>
      </c>
      <c r="R1589" s="4">
        <v>40.92</v>
      </c>
      <c r="S1589" s="8">
        <f t="shared" si="72"/>
        <v>0</v>
      </c>
      <c r="T1589" s="8">
        <f t="shared" si="73"/>
        <v>40.92</v>
      </c>
      <c r="U1589" s="9" t="e">
        <f t="shared" si="74"/>
        <v>#DIV/0!</v>
      </c>
      <c r="V1589" t="s">
        <v>895</v>
      </c>
    </row>
    <row r="1590" spans="1:22" outlineLevel="2">
      <c r="A1590" t="s">
        <v>484</v>
      </c>
      <c r="B1590" t="s">
        <v>485</v>
      </c>
      <c r="C1590" t="s">
        <v>23</v>
      </c>
      <c r="D1590" t="s">
        <v>24</v>
      </c>
      <c r="E1590" s="4">
        <v>0</v>
      </c>
      <c r="F1590" s="4">
        <v>0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90.81</v>
      </c>
      <c r="S1590" s="8">
        <f t="shared" si="72"/>
        <v>0</v>
      </c>
      <c r="T1590" s="8">
        <f t="shared" si="73"/>
        <v>90.81</v>
      </c>
      <c r="U1590" s="9" t="e">
        <f t="shared" si="74"/>
        <v>#DIV/0!</v>
      </c>
      <c r="V1590" t="s">
        <v>895</v>
      </c>
    </row>
    <row r="1591" spans="1:22" outlineLevel="2">
      <c r="A1591" t="s">
        <v>484</v>
      </c>
      <c r="B1591" t="s">
        <v>485</v>
      </c>
      <c r="C1591" t="s">
        <v>25</v>
      </c>
      <c r="D1591" t="s">
        <v>26</v>
      </c>
      <c r="E1591" s="4">
        <v>0</v>
      </c>
      <c r="F1591" s="4">
        <v>0</v>
      </c>
      <c r="G1591" s="4">
        <v>0</v>
      </c>
      <c r="H1591" s="4">
        <v>0</v>
      </c>
      <c r="I1591" s="4">
        <v>0</v>
      </c>
      <c r="J1591" s="4">
        <v>0</v>
      </c>
      <c r="K1591" s="4">
        <v>0</v>
      </c>
      <c r="L1591" s="4">
        <v>0</v>
      </c>
      <c r="M1591" s="4">
        <v>0</v>
      </c>
      <c r="N1591" s="4">
        <v>0</v>
      </c>
      <c r="O1591" s="4">
        <v>0</v>
      </c>
      <c r="P1591" s="4">
        <v>0</v>
      </c>
      <c r="Q1591" s="4">
        <v>0</v>
      </c>
      <c r="R1591" s="4">
        <v>138.04999999999998</v>
      </c>
      <c r="S1591" s="8">
        <f t="shared" si="72"/>
        <v>0</v>
      </c>
      <c r="T1591" s="8">
        <f t="shared" si="73"/>
        <v>138.04999999999998</v>
      </c>
      <c r="U1591" s="9" t="e">
        <f t="shared" si="74"/>
        <v>#DIV/0!</v>
      </c>
      <c r="V1591" t="s">
        <v>895</v>
      </c>
    </row>
    <row r="1592" spans="1:22" outlineLevel="2">
      <c r="A1592" t="s">
        <v>484</v>
      </c>
      <c r="B1592" t="s">
        <v>485</v>
      </c>
      <c r="C1592" t="s">
        <v>27</v>
      </c>
      <c r="D1592" t="s">
        <v>28</v>
      </c>
      <c r="E1592" s="4">
        <v>0</v>
      </c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>
        <v>0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210.83</v>
      </c>
      <c r="S1592" s="8">
        <f t="shared" si="72"/>
        <v>0</v>
      </c>
      <c r="T1592" s="8">
        <f t="shared" si="73"/>
        <v>210.83</v>
      </c>
      <c r="U1592" s="9" t="e">
        <f t="shared" si="74"/>
        <v>#DIV/0!</v>
      </c>
      <c r="V1592" t="s">
        <v>895</v>
      </c>
    </row>
    <row r="1593" spans="1:22" outlineLevel="2">
      <c r="A1593" t="s">
        <v>484</v>
      </c>
      <c r="B1593" t="s">
        <v>485</v>
      </c>
      <c r="C1593" t="s">
        <v>144</v>
      </c>
      <c r="D1593" t="s">
        <v>145</v>
      </c>
      <c r="E1593" s="4">
        <v>3117.38</v>
      </c>
      <c r="F1593" s="4">
        <v>0</v>
      </c>
      <c r="G1593" s="4">
        <v>0</v>
      </c>
      <c r="H1593" s="4">
        <v>0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0</v>
      </c>
      <c r="O1593" s="4">
        <v>0</v>
      </c>
      <c r="P1593" s="4">
        <v>0</v>
      </c>
      <c r="Q1593" s="4">
        <v>0</v>
      </c>
      <c r="S1593" s="8">
        <f t="shared" si="72"/>
        <v>0</v>
      </c>
      <c r="T1593" s="8">
        <f t="shared" si="73"/>
        <v>0</v>
      </c>
      <c r="U1593" s="9" t="e">
        <f t="shared" si="74"/>
        <v>#DIV/0!</v>
      </c>
    </row>
    <row r="1594" spans="1:22" outlineLevel="2">
      <c r="A1594" t="s">
        <v>484</v>
      </c>
      <c r="B1594" t="s">
        <v>485</v>
      </c>
      <c r="C1594" t="s">
        <v>33</v>
      </c>
      <c r="D1594" t="s">
        <v>34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518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S1594" s="8">
        <f t="shared" si="72"/>
        <v>0</v>
      </c>
      <c r="T1594" s="8">
        <f t="shared" si="73"/>
        <v>0</v>
      </c>
      <c r="U1594" s="9" t="e">
        <f t="shared" si="74"/>
        <v>#DIV/0!</v>
      </c>
    </row>
    <row r="1595" spans="1:22" outlineLevel="2">
      <c r="A1595" t="s">
        <v>484</v>
      </c>
      <c r="B1595" t="s">
        <v>485</v>
      </c>
      <c r="C1595" t="s">
        <v>158</v>
      </c>
      <c r="D1595" t="s">
        <v>159</v>
      </c>
      <c r="E1595" s="4">
        <v>0</v>
      </c>
      <c r="F1595" s="4">
        <v>0</v>
      </c>
      <c r="G1595" s="4">
        <v>2759.18</v>
      </c>
      <c r="H1595" s="4">
        <v>0</v>
      </c>
      <c r="I1595" s="4">
        <v>0</v>
      </c>
      <c r="J1595" s="4">
        <v>2608.86</v>
      </c>
      <c r="K1595" s="4">
        <v>0</v>
      </c>
      <c r="L1595" s="4">
        <v>0</v>
      </c>
      <c r="M1595" s="4">
        <v>1728.49</v>
      </c>
      <c r="N1595" s="4">
        <v>0</v>
      </c>
      <c r="O1595" s="4">
        <v>0</v>
      </c>
      <c r="P1595" s="4">
        <v>544.73999999999978</v>
      </c>
      <c r="Q1595" s="4">
        <v>0</v>
      </c>
      <c r="S1595" s="8">
        <f t="shared" si="72"/>
        <v>378.87166666666661</v>
      </c>
      <c r="T1595" s="8">
        <f t="shared" si="73"/>
        <v>-378.87166666666661</v>
      </c>
      <c r="U1595" s="9">
        <f t="shared" si="74"/>
        <v>-1</v>
      </c>
    </row>
    <row r="1596" spans="1:22" outlineLevel="2">
      <c r="A1596" t="s">
        <v>484</v>
      </c>
      <c r="B1596" t="s">
        <v>485</v>
      </c>
      <c r="C1596" t="s">
        <v>39</v>
      </c>
      <c r="D1596" t="s">
        <v>40</v>
      </c>
      <c r="E1596" s="4">
        <v>0</v>
      </c>
      <c r="F1596" s="4">
        <v>399.45</v>
      </c>
      <c r="G1596" s="4">
        <v>425.09</v>
      </c>
      <c r="H1596" s="4">
        <v>194.1</v>
      </c>
      <c r="I1596" s="4">
        <v>687.94</v>
      </c>
      <c r="J1596" s="4">
        <v>0</v>
      </c>
      <c r="K1596" s="4">
        <v>398.44</v>
      </c>
      <c r="L1596" s="4">
        <v>899.68000000000006</v>
      </c>
      <c r="M1596" s="4">
        <v>379.36</v>
      </c>
      <c r="N1596" s="4">
        <v>347.92</v>
      </c>
      <c r="O1596" s="4">
        <v>319.42</v>
      </c>
      <c r="P1596" s="4">
        <v>431.53</v>
      </c>
      <c r="Q1596" s="4">
        <v>0</v>
      </c>
      <c r="R1596" s="4">
        <v>436.02</v>
      </c>
      <c r="S1596" s="8">
        <f t="shared" si="72"/>
        <v>396.31833333333333</v>
      </c>
      <c r="T1596" s="8">
        <f t="shared" si="73"/>
        <v>39.701666666666654</v>
      </c>
      <c r="U1596" s="9">
        <f t="shared" si="74"/>
        <v>0.10017620515494696</v>
      </c>
    </row>
    <row r="1597" spans="1:22" outlineLevel="2">
      <c r="A1597" t="s">
        <v>484</v>
      </c>
      <c r="B1597" t="s">
        <v>485</v>
      </c>
      <c r="C1597" t="s">
        <v>47</v>
      </c>
      <c r="D1597" t="s">
        <v>48</v>
      </c>
      <c r="E1597" s="4">
        <v>0</v>
      </c>
      <c r="F1597" s="4">
        <v>0</v>
      </c>
      <c r="G1597" s="4">
        <v>0</v>
      </c>
      <c r="H1597" s="4">
        <v>0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0</v>
      </c>
      <c r="O1597" s="4">
        <v>0</v>
      </c>
      <c r="P1597" s="4">
        <v>0</v>
      </c>
      <c r="Q1597" s="4">
        <v>0</v>
      </c>
      <c r="S1597" s="8">
        <f t="shared" si="72"/>
        <v>0</v>
      </c>
      <c r="T1597" s="8">
        <f t="shared" si="73"/>
        <v>0</v>
      </c>
      <c r="U1597" s="9" t="e">
        <f t="shared" si="74"/>
        <v>#DIV/0!</v>
      </c>
    </row>
    <row r="1598" spans="1:22" outlineLevel="2">
      <c r="A1598" t="s">
        <v>484</v>
      </c>
      <c r="B1598" t="s">
        <v>485</v>
      </c>
      <c r="C1598" t="s">
        <v>49</v>
      </c>
      <c r="D1598" t="s">
        <v>50</v>
      </c>
      <c r="E1598" s="4">
        <v>329.26</v>
      </c>
      <c r="F1598" s="4">
        <v>0</v>
      </c>
      <c r="G1598" s="4">
        <v>691.44</v>
      </c>
      <c r="H1598" s="4">
        <v>329.26</v>
      </c>
      <c r="I1598" s="4">
        <v>329.26</v>
      </c>
      <c r="J1598" s="4">
        <v>329.26</v>
      </c>
      <c r="K1598" s="4">
        <v>362.18</v>
      </c>
      <c r="L1598" s="4">
        <v>0</v>
      </c>
      <c r="M1598" s="4">
        <v>0</v>
      </c>
      <c r="N1598" s="4">
        <v>0</v>
      </c>
      <c r="O1598" s="4">
        <v>1868.02</v>
      </c>
      <c r="P1598" s="4">
        <v>1606.4499999999998</v>
      </c>
      <c r="Q1598" s="4">
        <v>329.26</v>
      </c>
      <c r="R1598" s="4">
        <v>329.26</v>
      </c>
      <c r="S1598" s="8">
        <f t="shared" si="72"/>
        <v>633.95499999999993</v>
      </c>
      <c r="T1598" s="8">
        <f t="shared" si="73"/>
        <v>-304.69499999999994</v>
      </c>
      <c r="U1598" s="9">
        <f t="shared" si="74"/>
        <v>-0.48062559645400693</v>
      </c>
    </row>
    <row r="1599" spans="1:22" outlineLevel="2">
      <c r="A1599" t="s">
        <v>484</v>
      </c>
      <c r="B1599" t="s">
        <v>485</v>
      </c>
      <c r="C1599" t="s">
        <v>274</v>
      </c>
      <c r="D1599" t="s">
        <v>275</v>
      </c>
      <c r="E1599" s="4">
        <v>5930</v>
      </c>
      <c r="F1599" s="4">
        <v>2000</v>
      </c>
      <c r="G1599" s="4">
        <v>0</v>
      </c>
      <c r="H1599" s="4">
        <v>0</v>
      </c>
      <c r="I1599" s="4">
        <v>0</v>
      </c>
      <c r="J1599" s="4">
        <v>0</v>
      </c>
      <c r="K1599" s="4">
        <v>0</v>
      </c>
      <c r="L1599" s="4">
        <v>1540</v>
      </c>
      <c r="M1599" s="4">
        <v>0</v>
      </c>
      <c r="N1599" s="4">
        <v>480</v>
      </c>
      <c r="O1599" s="4">
        <v>0</v>
      </c>
      <c r="P1599" s="4">
        <v>0</v>
      </c>
      <c r="Q1599" s="4">
        <v>480</v>
      </c>
      <c r="S1599" s="8">
        <f t="shared" si="72"/>
        <v>416.66666666666669</v>
      </c>
      <c r="T1599" s="8">
        <f t="shared" si="73"/>
        <v>-416.66666666666669</v>
      </c>
      <c r="U1599" s="9">
        <f t="shared" si="74"/>
        <v>-1</v>
      </c>
    </row>
    <row r="1600" spans="1:22" outlineLevel="2">
      <c r="A1600" t="s">
        <v>484</v>
      </c>
      <c r="B1600" t="s">
        <v>485</v>
      </c>
      <c r="C1600" t="s">
        <v>83</v>
      </c>
      <c r="D1600" t="s">
        <v>84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60.81</v>
      </c>
      <c r="N1600" s="4">
        <v>0</v>
      </c>
      <c r="O1600" s="4">
        <v>0</v>
      </c>
      <c r="P1600" s="4">
        <v>61.650000000000006</v>
      </c>
      <c r="Q1600" s="4">
        <v>0</v>
      </c>
      <c r="S1600" s="8">
        <f t="shared" si="72"/>
        <v>20.41</v>
      </c>
      <c r="T1600" s="8">
        <f t="shared" si="73"/>
        <v>-20.41</v>
      </c>
      <c r="U1600" s="9">
        <f t="shared" si="74"/>
        <v>-1</v>
      </c>
    </row>
    <row r="1601" spans="1:22" outlineLevel="2">
      <c r="A1601" t="s">
        <v>484</v>
      </c>
      <c r="B1601" t="s">
        <v>485</v>
      </c>
      <c r="C1601" t="s">
        <v>89</v>
      </c>
      <c r="D1601" t="s">
        <v>90</v>
      </c>
      <c r="E1601" s="4">
        <v>0</v>
      </c>
      <c r="F1601" s="4">
        <v>0</v>
      </c>
      <c r="G1601" s="4">
        <v>0</v>
      </c>
      <c r="H1601" s="4">
        <v>-2.9699999999999989</v>
      </c>
      <c r="I1601" s="4">
        <v>66</v>
      </c>
      <c r="J1601" s="4">
        <v>0</v>
      </c>
      <c r="K1601" s="4">
        <v>0</v>
      </c>
      <c r="L1601" s="4">
        <v>296.39999999999998</v>
      </c>
      <c r="M1601" s="4">
        <v>0</v>
      </c>
      <c r="N1601" s="4">
        <v>3.22</v>
      </c>
      <c r="O1601" s="4">
        <v>3.2199999999999989</v>
      </c>
      <c r="P1601" s="4">
        <v>19323.900000000001</v>
      </c>
      <c r="Q1601" s="4">
        <v>39744.199999999997</v>
      </c>
      <c r="R1601" s="4">
        <v>3565</v>
      </c>
      <c r="S1601" s="8">
        <f t="shared" si="72"/>
        <v>9895.1566666666677</v>
      </c>
      <c r="T1601" s="8">
        <f t="shared" si="73"/>
        <v>-6330.1566666666677</v>
      </c>
      <c r="U1601" s="9">
        <f t="shared" si="74"/>
        <v>-0.6397227330407772</v>
      </c>
    </row>
    <row r="1602" spans="1:22" outlineLevel="2">
      <c r="A1602" t="s">
        <v>484</v>
      </c>
      <c r="B1602" t="s">
        <v>485</v>
      </c>
      <c r="C1602" t="s">
        <v>166</v>
      </c>
      <c r="D1602" t="s">
        <v>167</v>
      </c>
      <c r="E1602" s="4">
        <v>28055</v>
      </c>
      <c r="F1602" s="4">
        <v>0</v>
      </c>
      <c r="G1602" s="4">
        <v>16054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33293.120000000003</v>
      </c>
      <c r="N1602" s="4">
        <v>0</v>
      </c>
      <c r="O1602" s="4">
        <v>12750</v>
      </c>
      <c r="P1602" s="4">
        <v>17468</v>
      </c>
      <c r="Q1602" s="4">
        <v>3972.79</v>
      </c>
      <c r="R1602" s="4">
        <v>17454.98</v>
      </c>
      <c r="S1602" s="8">
        <f t="shared" si="72"/>
        <v>11247.318333333335</v>
      </c>
      <c r="T1602" s="8">
        <f t="shared" si="73"/>
        <v>6207.661666666665</v>
      </c>
      <c r="U1602" s="9">
        <f t="shared" si="74"/>
        <v>0.55192371040741395</v>
      </c>
    </row>
    <row r="1603" spans="1:22" outlineLevel="2">
      <c r="A1603" t="s">
        <v>484</v>
      </c>
      <c r="B1603" t="s">
        <v>485</v>
      </c>
      <c r="C1603" t="s">
        <v>101</v>
      </c>
      <c r="D1603" t="s">
        <v>102</v>
      </c>
      <c r="E1603" s="4">
        <v>0</v>
      </c>
      <c r="F1603" s="4">
        <v>0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  <c r="Q1603" s="4">
        <v>1223</v>
      </c>
      <c r="R1603" s="4">
        <v>568.75</v>
      </c>
      <c r="S1603" s="8">
        <f t="shared" ref="S1603:S1666" si="75">AVERAGE(L1603:Q1603)</f>
        <v>203.83333333333334</v>
      </c>
      <c r="T1603" s="8">
        <f t="shared" ref="T1603:T1666" si="76">R1603-S1603</f>
        <v>364.91666666666663</v>
      </c>
      <c r="U1603" s="9">
        <f t="shared" ref="U1603:U1666" si="77">(R1603-S1603)/S1603</f>
        <v>1.7902698282910872</v>
      </c>
    </row>
    <row r="1604" spans="1:22" outlineLevel="2">
      <c r="A1604" t="s">
        <v>484</v>
      </c>
      <c r="B1604" t="s">
        <v>485</v>
      </c>
      <c r="C1604" t="s">
        <v>127</v>
      </c>
      <c r="D1604" t="s">
        <v>120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97.95</v>
      </c>
      <c r="K1604" s="4">
        <v>0</v>
      </c>
      <c r="L1604" s="4">
        <v>0</v>
      </c>
      <c r="M1604" s="4">
        <v>73.489999999999782</v>
      </c>
      <c r="N1604" s="4">
        <v>0</v>
      </c>
      <c r="O1604" s="4">
        <v>0</v>
      </c>
      <c r="P1604" s="4">
        <v>0</v>
      </c>
      <c r="Q1604" s="4">
        <v>0</v>
      </c>
      <c r="S1604" s="8">
        <f t="shared" si="75"/>
        <v>12.248333333333298</v>
      </c>
      <c r="T1604" s="8">
        <f t="shared" si="76"/>
        <v>-12.248333333333298</v>
      </c>
      <c r="U1604" s="9">
        <f t="shared" si="77"/>
        <v>-1</v>
      </c>
    </row>
    <row r="1605" spans="1:22" outlineLevel="1">
      <c r="A1605" s="1" t="s">
        <v>797</v>
      </c>
      <c r="E1605" s="4">
        <f>SUBTOTAL(9,E1589:E1604)</f>
        <v>37431.64</v>
      </c>
      <c r="F1605" s="4">
        <f>SUBTOTAL(9,F1589:F1604)</f>
        <v>2399.4499999999998</v>
      </c>
      <c r="G1605" s="4">
        <f>SUBTOTAL(9,G1589:G1604)</f>
        <v>19929.71</v>
      </c>
      <c r="H1605" s="4">
        <f>SUBTOTAL(9,H1589:H1604)</f>
        <v>520.39</v>
      </c>
      <c r="I1605" s="4">
        <f>SUBTOTAL(9,I1589:I1604)</f>
        <v>1083.2</v>
      </c>
      <c r="J1605" s="4">
        <f>SUBTOTAL(9,J1589:J1604)</f>
        <v>3036.0699999999997</v>
      </c>
      <c r="K1605" s="4">
        <f>SUBTOTAL(9,K1589:K1604)</f>
        <v>1278.6200000000001</v>
      </c>
      <c r="L1605" s="4">
        <f>SUBTOTAL(9,L1589:L1604)</f>
        <v>2736.0800000000004</v>
      </c>
      <c r="M1605" s="4">
        <f>SUBTOTAL(9,M1589:M1604)</f>
        <v>35535.269999999997</v>
      </c>
      <c r="N1605" s="4">
        <f>SUBTOTAL(9,N1589:N1604)</f>
        <v>831.1400000000001</v>
      </c>
      <c r="O1605" s="4">
        <f>SUBTOTAL(9,O1589:O1604)</f>
        <v>14940.66</v>
      </c>
      <c r="P1605" s="4">
        <f>SUBTOTAL(9,P1589:P1604)</f>
        <v>39436.270000000004</v>
      </c>
      <c r="Q1605" s="4">
        <f>SUBTOTAL(9,Q1589:Q1604)</f>
        <v>45749.25</v>
      </c>
      <c r="R1605" s="4">
        <f>SUBTOTAL(9,R1589:R1604)</f>
        <v>22834.62</v>
      </c>
      <c r="S1605" s="8">
        <f t="shared" si="75"/>
        <v>23204.778333333332</v>
      </c>
      <c r="T1605" s="8">
        <f t="shared" si="76"/>
        <v>-370.15833333333285</v>
      </c>
      <c r="U1605" s="9">
        <f t="shared" si="77"/>
        <v>-1.5951815096703841E-2</v>
      </c>
    </row>
    <row r="1606" spans="1:22" outlineLevel="2">
      <c r="A1606" t="s">
        <v>486</v>
      </c>
      <c r="B1606" t="s">
        <v>487</v>
      </c>
      <c r="C1606" t="s">
        <v>144</v>
      </c>
      <c r="D1606" t="s">
        <v>145</v>
      </c>
      <c r="E1606" s="4">
        <v>837.36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S1606" s="8">
        <f t="shared" si="75"/>
        <v>0</v>
      </c>
      <c r="T1606" s="8">
        <f t="shared" si="76"/>
        <v>0</v>
      </c>
      <c r="U1606" s="9" t="e">
        <f t="shared" si="77"/>
        <v>#DIV/0!</v>
      </c>
    </row>
    <row r="1607" spans="1:22" outlineLevel="2">
      <c r="A1607" t="s">
        <v>486</v>
      </c>
      <c r="B1607" t="s">
        <v>487</v>
      </c>
      <c r="C1607" t="s">
        <v>146</v>
      </c>
      <c r="D1607" t="s">
        <v>147</v>
      </c>
      <c r="E1607" s="4">
        <v>0</v>
      </c>
      <c r="F1607" s="4">
        <v>0</v>
      </c>
      <c r="G1607" s="4">
        <v>0</v>
      </c>
      <c r="H1607" s="4">
        <v>0</v>
      </c>
      <c r="I1607" s="4">
        <v>0</v>
      </c>
      <c r="J1607" s="4">
        <v>0</v>
      </c>
      <c r="K1607" s="4">
        <v>0</v>
      </c>
      <c r="L1607" s="4">
        <v>0</v>
      </c>
      <c r="M1607" s="4">
        <v>897.43</v>
      </c>
      <c r="N1607" s="4">
        <v>0</v>
      </c>
      <c r="O1607" s="4">
        <v>0</v>
      </c>
      <c r="P1607" s="4">
        <v>0</v>
      </c>
      <c r="Q1607" s="4">
        <v>0</v>
      </c>
      <c r="S1607" s="8">
        <f t="shared" si="75"/>
        <v>149.57166666666666</v>
      </c>
      <c r="T1607" s="8">
        <f t="shared" si="76"/>
        <v>-149.57166666666666</v>
      </c>
      <c r="U1607" s="9">
        <f t="shared" si="77"/>
        <v>-1</v>
      </c>
    </row>
    <row r="1608" spans="1:22" outlineLevel="1">
      <c r="A1608" s="1" t="s">
        <v>798</v>
      </c>
      <c r="E1608" s="4">
        <f>SUBTOTAL(9,E1606:E1607)</f>
        <v>837.36</v>
      </c>
      <c r="F1608" s="4">
        <f>SUBTOTAL(9,F1606:F1607)</f>
        <v>0</v>
      </c>
      <c r="G1608" s="4">
        <f>SUBTOTAL(9,G1606:G1607)</f>
        <v>0</v>
      </c>
      <c r="H1608" s="4">
        <f>SUBTOTAL(9,H1606:H1607)</f>
        <v>0</v>
      </c>
      <c r="I1608" s="4">
        <f>SUBTOTAL(9,I1606:I1607)</f>
        <v>0</v>
      </c>
      <c r="J1608" s="4">
        <f>SUBTOTAL(9,J1606:J1607)</f>
        <v>0</v>
      </c>
      <c r="K1608" s="4">
        <f>SUBTOTAL(9,K1606:K1607)</f>
        <v>0</v>
      </c>
      <c r="L1608" s="4">
        <f>SUBTOTAL(9,L1606:L1607)</f>
        <v>0</v>
      </c>
      <c r="M1608" s="4">
        <f>SUBTOTAL(9,M1606:M1607)</f>
        <v>897.43</v>
      </c>
      <c r="N1608" s="4">
        <f>SUBTOTAL(9,N1606:N1607)</f>
        <v>0</v>
      </c>
      <c r="O1608" s="4">
        <f>SUBTOTAL(9,O1606:O1607)</f>
        <v>0</v>
      </c>
      <c r="P1608" s="4">
        <f>SUBTOTAL(9,P1606:P1607)</f>
        <v>0</v>
      </c>
      <c r="Q1608" s="4">
        <f>SUBTOTAL(9,Q1606:Q1607)</f>
        <v>0</v>
      </c>
      <c r="R1608" s="4">
        <f>SUBTOTAL(9,R1606:R1607)</f>
        <v>0</v>
      </c>
      <c r="S1608" s="8">
        <f t="shared" si="75"/>
        <v>149.57166666666666</v>
      </c>
      <c r="T1608" s="8">
        <f t="shared" si="76"/>
        <v>-149.57166666666666</v>
      </c>
      <c r="U1608" s="9">
        <f t="shared" si="77"/>
        <v>-1</v>
      </c>
    </row>
    <row r="1609" spans="1:22" outlineLevel="2">
      <c r="A1609" t="s">
        <v>488</v>
      </c>
      <c r="B1609" t="s">
        <v>489</v>
      </c>
      <c r="C1609" t="s">
        <v>19</v>
      </c>
      <c r="D1609" t="s">
        <v>20</v>
      </c>
      <c r="E1609" s="4">
        <v>0</v>
      </c>
      <c r="F1609" s="4">
        <v>0</v>
      </c>
      <c r="G1609" s="4">
        <v>0</v>
      </c>
      <c r="H1609" s="4">
        <v>0</v>
      </c>
      <c r="I1609" s="4">
        <v>0</v>
      </c>
      <c r="J1609" s="4">
        <v>0</v>
      </c>
      <c r="K1609" s="4">
        <v>0</v>
      </c>
      <c r="L1609" s="4">
        <v>0</v>
      </c>
      <c r="M1609" s="4">
        <v>0</v>
      </c>
      <c r="N1609" s="4">
        <v>0</v>
      </c>
      <c r="O1609" s="4">
        <v>0</v>
      </c>
      <c r="P1609" s="4">
        <v>0</v>
      </c>
      <c r="Q1609" s="4">
        <v>0</v>
      </c>
      <c r="R1609" s="4">
        <v>107.93</v>
      </c>
      <c r="S1609" s="8">
        <f t="shared" si="75"/>
        <v>0</v>
      </c>
      <c r="T1609" s="8">
        <f t="shared" si="76"/>
        <v>107.93</v>
      </c>
      <c r="U1609" s="9" t="e">
        <f t="shared" si="77"/>
        <v>#DIV/0!</v>
      </c>
      <c r="V1609" t="s">
        <v>895</v>
      </c>
    </row>
    <row r="1610" spans="1:22" outlineLevel="2">
      <c r="A1610" t="s">
        <v>488</v>
      </c>
      <c r="B1610" t="s">
        <v>489</v>
      </c>
      <c r="C1610" t="s">
        <v>21</v>
      </c>
      <c r="D1610" t="s">
        <v>22</v>
      </c>
      <c r="E1610" s="4">
        <v>0</v>
      </c>
      <c r="F1610" s="4">
        <v>0</v>
      </c>
      <c r="G1610" s="4">
        <v>-5.6843418860808015E-14</v>
      </c>
      <c r="H1610" s="4">
        <v>-3.5527136788005009E-15</v>
      </c>
      <c r="I1610" s="4">
        <v>-2.8421709430404007E-14</v>
      </c>
      <c r="J1610" s="4">
        <v>1.1368683772161603E-13</v>
      </c>
      <c r="K1610" s="4">
        <v>1.4210854715202004E-14</v>
      </c>
      <c r="L1610" s="4">
        <v>1.1368683772161603E-13</v>
      </c>
      <c r="M1610" s="4">
        <v>9.9475983006414026E-14</v>
      </c>
      <c r="N1610" s="4">
        <v>1.7763568394002505E-15</v>
      </c>
      <c r="O1610" s="4">
        <v>0</v>
      </c>
      <c r="P1610" s="4">
        <v>0</v>
      </c>
      <c r="Q1610" s="4">
        <v>1.7763568394002505E-14</v>
      </c>
      <c r="R1610" s="4">
        <v>749.11000000000013</v>
      </c>
      <c r="S1610" s="8">
        <f t="shared" si="75"/>
        <v>3.8783790993572133E-14</v>
      </c>
      <c r="T1610" s="8">
        <f t="shared" si="76"/>
        <v>749.11000000000013</v>
      </c>
      <c r="U1610" s="9">
        <f t="shared" si="77"/>
        <v>1.9315027768279656E+16</v>
      </c>
      <c r="V1610" t="s">
        <v>895</v>
      </c>
    </row>
    <row r="1611" spans="1:22" outlineLevel="2">
      <c r="A1611" t="s">
        <v>488</v>
      </c>
      <c r="B1611" t="s">
        <v>489</v>
      </c>
      <c r="C1611" t="s">
        <v>23</v>
      </c>
      <c r="D1611" t="s">
        <v>24</v>
      </c>
      <c r="E1611" s="4">
        <v>0</v>
      </c>
      <c r="F1611" s="4">
        <v>0</v>
      </c>
      <c r="G1611" s="4">
        <v>0</v>
      </c>
      <c r="H1611" s="4">
        <v>4.5474735088646412E-13</v>
      </c>
      <c r="I1611" s="4">
        <v>0</v>
      </c>
      <c r="J1611" s="4">
        <v>5.6843418860808015E-14</v>
      </c>
      <c r="K1611" s="4">
        <v>9.0949470177292824E-13</v>
      </c>
      <c r="L1611" s="4">
        <v>1.1368683772161603E-13</v>
      </c>
      <c r="M1611" s="4">
        <v>0</v>
      </c>
      <c r="N1611" s="4">
        <v>-1.3145040611561853E-13</v>
      </c>
      <c r="O1611" s="4">
        <v>0</v>
      </c>
      <c r="P1611" s="4">
        <v>0</v>
      </c>
      <c r="Q1611" s="4">
        <v>0</v>
      </c>
      <c r="S1611" s="8">
        <f t="shared" si="75"/>
        <v>-2.9605947323337509E-15</v>
      </c>
      <c r="T1611" s="8">
        <f t="shared" si="76"/>
        <v>2.9605947323337509E-15</v>
      </c>
      <c r="U1611" s="9">
        <f t="shared" si="77"/>
        <v>-1</v>
      </c>
    </row>
    <row r="1612" spans="1:22" outlineLevel="2">
      <c r="A1612" t="s">
        <v>488</v>
      </c>
      <c r="B1612" t="s">
        <v>489</v>
      </c>
      <c r="C1612" t="s">
        <v>25</v>
      </c>
      <c r="D1612" t="s">
        <v>26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-1.1368683772161603E-13</v>
      </c>
      <c r="N1612" s="4">
        <v>3.730349362740526E-12</v>
      </c>
      <c r="O1612" s="4">
        <v>-1.1368683772161603E-13</v>
      </c>
      <c r="P1612" s="4">
        <v>0</v>
      </c>
      <c r="Q1612" s="4">
        <v>0</v>
      </c>
      <c r="R1612" s="4">
        <v>869.21000000000015</v>
      </c>
      <c r="S1612" s="8">
        <f t="shared" si="75"/>
        <v>5.8382928121621569E-13</v>
      </c>
      <c r="T1612" s="8">
        <f t="shared" si="76"/>
        <v>869.20999999999958</v>
      </c>
      <c r="U1612" s="9">
        <f t="shared" si="77"/>
        <v>1488808506125776</v>
      </c>
      <c r="V1612" t="s">
        <v>895</v>
      </c>
    </row>
    <row r="1613" spans="1:22" outlineLevel="2">
      <c r="A1613" t="s">
        <v>488</v>
      </c>
      <c r="B1613" t="s">
        <v>489</v>
      </c>
      <c r="C1613" t="s">
        <v>27</v>
      </c>
      <c r="D1613" t="s">
        <v>28</v>
      </c>
      <c r="E1613" s="4">
        <v>0</v>
      </c>
      <c r="F1613" s="4">
        <v>0</v>
      </c>
      <c r="G1613" s="4">
        <v>0</v>
      </c>
      <c r="H1613" s="4">
        <v>0</v>
      </c>
      <c r="I1613" s="4">
        <v>0</v>
      </c>
      <c r="J1613" s="4">
        <v>0</v>
      </c>
      <c r="K1613" s="4">
        <v>0</v>
      </c>
      <c r="L1613" s="4">
        <v>0</v>
      </c>
      <c r="M1613" s="4">
        <v>0</v>
      </c>
      <c r="N1613" s="4">
        <v>1.4210854715202004E-14</v>
      </c>
      <c r="O1613" s="4">
        <v>0</v>
      </c>
      <c r="P1613" s="4">
        <v>0</v>
      </c>
      <c r="Q1613" s="4">
        <v>0</v>
      </c>
      <c r="S1613" s="8">
        <f t="shared" si="75"/>
        <v>2.3684757858670005E-15</v>
      </c>
      <c r="T1613" s="8">
        <f t="shared" si="76"/>
        <v>-2.3684757858670005E-15</v>
      </c>
      <c r="U1613" s="9">
        <f t="shared" si="77"/>
        <v>-1</v>
      </c>
    </row>
    <row r="1614" spans="1:22" outlineLevel="2">
      <c r="A1614" t="s">
        <v>488</v>
      </c>
      <c r="B1614" t="s">
        <v>489</v>
      </c>
      <c r="C1614" t="s">
        <v>194</v>
      </c>
      <c r="D1614" t="s">
        <v>195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S1614" s="8">
        <f t="shared" si="75"/>
        <v>0</v>
      </c>
      <c r="T1614" s="8">
        <f t="shared" si="76"/>
        <v>0</v>
      </c>
      <c r="U1614" s="9" t="e">
        <f t="shared" si="77"/>
        <v>#DIV/0!</v>
      </c>
    </row>
    <row r="1615" spans="1:22" outlineLevel="2">
      <c r="A1615" t="s">
        <v>488</v>
      </c>
      <c r="B1615" t="s">
        <v>489</v>
      </c>
      <c r="C1615" t="s">
        <v>136</v>
      </c>
      <c r="D1615" t="s">
        <v>137</v>
      </c>
      <c r="E1615" s="4">
        <v>-3.637978807091713E-11</v>
      </c>
      <c r="F1615" s="4">
        <v>1.1641532182693481E-10</v>
      </c>
      <c r="G1615" s="4">
        <v>0</v>
      </c>
      <c r="H1615" s="4">
        <v>0</v>
      </c>
      <c r="I1615" s="4">
        <v>0</v>
      </c>
      <c r="J1615" s="4">
        <v>0</v>
      </c>
      <c r="K1615" s="4">
        <v>-1.1641532182693481E-10</v>
      </c>
      <c r="L1615" s="4">
        <v>1.1641532182693481E-10</v>
      </c>
      <c r="M1615" s="4">
        <v>2.9103830456733704E-11</v>
      </c>
      <c r="N1615" s="4">
        <v>0</v>
      </c>
      <c r="O1615" s="4">
        <v>1.1641532182693481E-10</v>
      </c>
      <c r="P1615" s="4">
        <v>0</v>
      </c>
      <c r="Q1615" s="4">
        <v>-5.8207660913467407E-11</v>
      </c>
      <c r="R1615" s="4">
        <v>814719.95</v>
      </c>
      <c r="S1615" s="8">
        <f t="shared" si="75"/>
        <v>3.3954468866189323E-11</v>
      </c>
      <c r="T1615" s="8">
        <f t="shared" si="76"/>
        <v>814719.95</v>
      </c>
      <c r="U1615" s="9">
        <f t="shared" si="77"/>
        <v>2.3994483707305748E+16</v>
      </c>
      <c r="V1615" t="s">
        <v>896</v>
      </c>
    </row>
    <row r="1616" spans="1:22" outlineLevel="2">
      <c r="A1616" t="s">
        <v>488</v>
      </c>
      <c r="B1616" t="s">
        <v>489</v>
      </c>
      <c r="C1616" t="s">
        <v>138</v>
      </c>
      <c r="D1616" t="s">
        <v>139</v>
      </c>
      <c r="E1616" s="4">
        <v>-3.637978807091713E-12</v>
      </c>
      <c r="F1616" s="4">
        <v>7.2759576141834259E-12</v>
      </c>
      <c r="G1616" s="4">
        <v>-1.8189894035458565E-12</v>
      </c>
      <c r="H1616" s="4">
        <v>1.8189894035458565E-12</v>
      </c>
      <c r="I1616" s="4">
        <v>-7.2759576141834259E-12</v>
      </c>
      <c r="J1616" s="4">
        <v>0</v>
      </c>
      <c r="K1616" s="4">
        <v>1.0913936421275139E-11</v>
      </c>
      <c r="L1616" s="4">
        <v>7.2759576141834259E-12</v>
      </c>
      <c r="M1616" s="4">
        <v>2.7284841053187847E-12</v>
      </c>
      <c r="N1616" s="4">
        <v>3.637978807091713E-12</v>
      </c>
      <c r="O1616" s="4">
        <v>0</v>
      </c>
      <c r="P1616" s="4">
        <v>-7.2759576141834259E-12</v>
      </c>
      <c r="Q1616" s="4">
        <v>1.8189894035458565E-12</v>
      </c>
      <c r="R1616" s="4">
        <v>32837.219999999994</v>
      </c>
      <c r="S1616" s="8">
        <f t="shared" si="75"/>
        <v>1.3642420526593924E-12</v>
      </c>
      <c r="T1616" s="8">
        <f t="shared" si="76"/>
        <v>32837.219999999994</v>
      </c>
      <c r="U1616" s="9">
        <f t="shared" si="77"/>
        <v>2.4069936809225744E+16</v>
      </c>
      <c r="V1616" t="s">
        <v>895</v>
      </c>
    </row>
    <row r="1617" spans="1:22" outlineLevel="2">
      <c r="A1617" t="s">
        <v>488</v>
      </c>
      <c r="B1617" t="s">
        <v>489</v>
      </c>
      <c r="C1617" t="s">
        <v>29</v>
      </c>
      <c r="D1617" t="s">
        <v>30</v>
      </c>
      <c r="E1617" s="4">
        <v>9.0949470177292824E-13</v>
      </c>
      <c r="F1617" s="4">
        <v>0</v>
      </c>
      <c r="G1617" s="4">
        <v>0</v>
      </c>
      <c r="H1617" s="4">
        <v>9.0949470177292824E-13</v>
      </c>
      <c r="I1617" s="4">
        <v>0</v>
      </c>
      <c r="J1617" s="4">
        <v>0</v>
      </c>
      <c r="K1617" s="4">
        <v>-9.0949470177292824E-13</v>
      </c>
      <c r="L1617" s="4">
        <v>0</v>
      </c>
      <c r="M1617" s="4">
        <v>4.5474735088646412E-13</v>
      </c>
      <c r="N1617" s="4">
        <v>0</v>
      </c>
      <c r="O1617" s="4">
        <v>9.0949470177292824E-13</v>
      </c>
      <c r="P1617" s="4">
        <v>0</v>
      </c>
      <c r="Q1617" s="4">
        <v>-9.0949470177292824E-13</v>
      </c>
      <c r="R1617" s="4">
        <v>7277.16</v>
      </c>
      <c r="S1617" s="8">
        <f t="shared" si="75"/>
        <v>7.5791225147744016E-14</v>
      </c>
      <c r="T1617" s="8">
        <f t="shared" si="76"/>
        <v>7277.16</v>
      </c>
      <c r="U1617" s="9">
        <f t="shared" si="77"/>
        <v>9.6015864446236752E+16</v>
      </c>
      <c r="V1617" t="s">
        <v>895</v>
      </c>
    </row>
    <row r="1618" spans="1:22" outlineLevel="2">
      <c r="A1618" t="s">
        <v>488</v>
      </c>
      <c r="B1618" t="s">
        <v>489</v>
      </c>
      <c r="C1618" t="s">
        <v>142</v>
      </c>
      <c r="D1618" t="s">
        <v>143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1000</v>
      </c>
      <c r="S1618" s="8">
        <f t="shared" si="75"/>
        <v>0</v>
      </c>
      <c r="T1618" s="8">
        <f t="shared" si="76"/>
        <v>1000</v>
      </c>
      <c r="U1618" s="9" t="e">
        <f t="shared" si="77"/>
        <v>#DIV/0!</v>
      </c>
      <c r="V1618" t="s">
        <v>895</v>
      </c>
    </row>
    <row r="1619" spans="1:22" outlineLevel="2">
      <c r="A1619" t="s">
        <v>488</v>
      </c>
      <c r="B1619" t="s">
        <v>489</v>
      </c>
      <c r="C1619" t="s">
        <v>144</v>
      </c>
      <c r="D1619" t="s">
        <v>145</v>
      </c>
      <c r="E1619" s="4">
        <v>4.5474735088646412E-13</v>
      </c>
      <c r="F1619" s="4">
        <v>0</v>
      </c>
      <c r="G1619" s="4">
        <v>0</v>
      </c>
      <c r="H1619" s="4">
        <v>3.637978807091713E-12</v>
      </c>
      <c r="I1619" s="4">
        <v>0</v>
      </c>
      <c r="J1619" s="4">
        <v>0</v>
      </c>
      <c r="K1619" s="4">
        <v>0</v>
      </c>
      <c r="L1619" s="4">
        <v>-7.2759576141834259E-12</v>
      </c>
      <c r="M1619" s="4">
        <v>-2.2737367544323206E-12</v>
      </c>
      <c r="N1619" s="4">
        <v>0</v>
      </c>
      <c r="O1619" s="4">
        <v>0</v>
      </c>
      <c r="P1619" s="4">
        <v>0</v>
      </c>
      <c r="Q1619" s="4">
        <v>-3.637978807091713E-12</v>
      </c>
      <c r="R1619" s="4">
        <v>-42877.83</v>
      </c>
      <c r="S1619" s="8">
        <f t="shared" si="75"/>
        <v>-2.1979455292845764E-12</v>
      </c>
      <c r="T1619" s="8">
        <f t="shared" si="76"/>
        <v>-42877.83</v>
      </c>
      <c r="U1619" s="9">
        <f t="shared" si="77"/>
        <v>1.9508140410539012E+16</v>
      </c>
      <c r="V1619" t="s">
        <v>897</v>
      </c>
    </row>
    <row r="1620" spans="1:22" outlineLevel="2">
      <c r="A1620" t="s">
        <v>488</v>
      </c>
      <c r="B1620" t="s">
        <v>489</v>
      </c>
      <c r="C1620" t="s">
        <v>146</v>
      </c>
      <c r="D1620" t="s">
        <v>147</v>
      </c>
      <c r="E1620" s="4">
        <v>0</v>
      </c>
      <c r="F1620" s="4">
        <v>1.4551915228366852E-11</v>
      </c>
      <c r="G1620" s="4">
        <v>0</v>
      </c>
      <c r="H1620" s="4">
        <v>3.637978807091713E-12</v>
      </c>
      <c r="I1620" s="4">
        <v>0</v>
      </c>
      <c r="J1620" s="4">
        <v>0</v>
      </c>
      <c r="K1620" s="4">
        <v>-1.0913936421275139E-11</v>
      </c>
      <c r="L1620" s="4">
        <v>1.3983481039758772E-11</v>
      </c>
      <c r="M1620" s="4">
        <v>19119.36</v>
      </c>
      <c r="N1620" s="4">
        <v>0</v>
      </c>
      <c r="O1620" s="4">
        <v>0</v>
      </c>
      <c r="P1620" s="4">
        <v>0</v>
      </c>
      <c r="Q1620" s="4">
        <v>1.4551915228366852E-11</v>
      </c>
      <c r="R1620" s="4">
        <v>69993.690000000017</v>
      </c>
      <c r="S1620" s="8">
        <f t="shared" si="75"/>
        <v>3186.5600000000049</v>
      </c>
      <c r="T1620" s="8">
        <f t="shared" si="76"/>
        <v>66807.13</v>
      </c>
      <c r="U1620" s="9">
        <f t="shared" si="77"/>
        <v>20.965282310704929</v>
      </c>
      <c r="V1620" t="s">
        <v>896</v>
      </c>
    </row>
    <row r="1621" spans="1:22" outlineLevel="2">
      <c r="A1621" t="s">
        <v>488</v>
      </c>
      <c r="B1621" t="s">
        <v>489</v>
      </c>
      <c r="C1621" t="s">
        <v>150</v>
      </c>
      <c r="D1621" t="s">
        <v>151</v>
      </c>
      <c r="E1621" s="4">
        <v>800</v>
      </c>
      <c r="F1621" s="4">
        <v>200</v>
      </c>
      <c r="G1621" s="4">
        <v>38815.400000000023</v>
      </c>
      <c r="H1621" s="4">
        <v>600</v>
      </c>
      <c r="I1621" s="4">
        <v>49264.149999999994</v>
      </c>
      <c r="J1621" s="4">
        <v>73847.89</v>
      </c>
      <c r="K1621" s="4">
        <v>38154.160000000003</v>
      </c>
      <c r="L1621" s="4">
        <v>42217.01</v>
      </c>
      <c r="M1621" s="4">
        <v>76169.540000000008</v>
      </c>
      <c r="N1621" s="4">
        <v>36954.120000000003</v>
      </c>
      <c r="O1621" s="4">
        <v>38554.120000000003</v>
      </c>
      <c r="P1621" s="4">
        <v>116354.12</v>
      </c>
      <c r="Q1621" s="4">
        <v>1800</v>
      </c>
      <c r="R1621" s="4">
        <v>51750.93</v>
      </c>
      <c r="S1621" s="8">
        <f t="shared" si="75"/>
        <v>52008.151666666672</v>
      </c>
      <c r="T1621" s="8">
        <f t="shared" si="76"/>
        <v>-257.22166666667181</v>
      </c>
      <c r="U1621" s="9">
        <f t="shared" si="77"/>
        <v>-4.9457951960160049E-3</v>
      </c>
    </row>
    <row r="1622" spans="1:22" outlineLevel="2">
      <c r="A1622" t="s">
        <v>488</v>
      </c>
      <c r="B1622" t="s">
        <v>489</v>
      </c>
      <c r="C1622" t="s">
        <v>152</v>
      </c>
      <c r="D1622" t="s">
        <v>153</v>
      </c>
      <c r="E1622" s="4">
        <v>-1.0913936421275139E-11</v>
      </c>
      <c r="F1622" s="4">
        <v>1.4551915228366852E-11</v>
      </c>
      <c r="G1622" s="4">
        <v>7.2759576141834259E-12</v>
      </c>
      <c r="H1622" s="4">
        <v>-7.2759576141834259E-12</v>
      </c>
      <c r="I1622" s="4">
        <v>0</v>
      </c>
      <c r="J1622" s="4">
        <v>0</v>
      </c>
      <c r="K1622" s="4">
        <v>0</v>
      </c>
      <c r="L1622" s="4">
        <v>8.6401996668428183E-12</v>
      </c>
      <c r="M1622" s="4">
        <v>-3.637978807091713E-12</v>
      </c>
      <c r="N1622" s="4">
        <v>-6.6648908614297397E-12</v>
      </c>
      <c r="O1622" s="4">
        <v>7.2759576141834259E-12</v>
      </c>
      <c r="P1622" s="4">
        <v>0</v>
      </c>
      <c r="Q1622" s="4">
        <v>-7.2759576141834259E-12</v>
      </c>
      <c r="R1622" s="4">
        <v>62392.58</v>
      </c>
      <c r="S1622" s="8">
        <f t="shared" si="75"/>
        <v>-2.7711166694643907E-13</v>
      </c>
      <c r="T1622" s="8">
        <f t="shared" si="76"/>
        <v>62392.58</v>
      </c>
      <c r="U1622" s="9">
        <f t="shared" si="77"/>
        <v>-2.2515320515920182E+17</v>
      </c>
      <c r="V1622" t="s">
        <v>895</v>
      </c>
    </row>
    <row r="1623" spans="1:22" outlineLevel="2">
      <c r="A1623" t="s">
        <v>488</v>
      </c>
      <c r="B1623" t="s">
        <v>489</v>
      </c>
      <c r="C1623" t="s">
        <v>154</v>
      </c>
      <c r="D1623" t="s">
        <v>155</v>
      </c>
      <c r="E1623" s="4">
        <v>-3.637978807091713E-12</v>
      </c>
      <c r="F1623" s="4">
        <v>0</v>
      </c>
      <c r="G1623" s="4">
        <v>0</v>
      </c>
      <c r="H1623" s="4">
        <v>1.1368683772161603E-13</v>
      </c>
      <c r="I1623" s="4">
        <v>0</v>
      </c>
      <c r="J1623" s="4">
        <v>0</v>
      </c>
      <c r="K1623" s="4">
        <v>-2.8421709430404007E-14</v>
      </c>
      <c r="L1623" s="4">
        <v>0</v>
      </c>
      <c r="M1623" s="4">
        <v>5.6843418860808015E-14</v>
      </c>
      <c r="N1623" s="4">
        <v>-1.1368683772161603E-13</v>
      </c>
      <c r="O1623" s="4">
        <v>0</v>
      </c>
      <c r="P1623" s="4">
        <v>0</v>
      </c>
      <c r="Q1623" s="4">
        <v>1.8189894035458565E-12</v>
      </c>
      <c r="R1623" s="4">
        <v>727.69999999999993</v>
      </c>
      <c r="S1623" s="8">
        <f t="shared" si="75"/>
        <v>2.9369099744750809E-13</v>
      </c>
      <c r="T1623" s="8">
        <f t="shared" si="76"/>
        <v>727.69999999999959</v>
      </c>
      <c r="U1623" s="9">
        <f t="shared" si="77"/>
        <v>2477774280875132</v>
      </c>
      <c r="V1623" t="s">
        <v>895</v>
      </c>
    </row>
    <row r="1624" spans="1:22" outlineLevel="2">
      <c r="A1624" t="s">
        <v>488</v>
      </c>
      <c r="B1624" t="s">
        <v>489</v>
      </c>
      <c r="C1624" t="s">
        <v>33</v>
      </c>
      <c r="D1624" t="s">
        <v>34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S1624" s="8">
        <f t="shared" si="75"/>
        <v>0</v>
      </c>
      <c r="T1624" s="8">
        <f t="shared" si="76"/>
        <v>0</v>
      </c>
      <c r="U1624" s="9" t="e">
        <f t="shared" si="77"/>
        <v>#DIV/0!</v>
      </c>
    </row>
    <row r="1625" spans="1:22" outlineLevel="2">
      <c r="A1625" t="s">
        <v>488</v>
      </c>
      <c r="B1625" t="s">
        <v>489</v>
      </c>
      <c r="C1625" t="s">
        <v>156</v>
      </c>
      <c r="D1625" t="s">
        <v>157</v>
      </c>
      <c r="E1625" s="4">
        <v>0</v>
      </c>
      <c r="F1625" s="4">
        <v>0</v>
      </c>
      <c r="G1625" s="4">
        <v>0</v>
      </c>
      <c r="H1625" s="4">
        <v>0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v>0</v>
      </c>
      <c r="O1625" s="4">
        <v>0</v>
      </c>
      <c r="P1625" s="4">
        <v>0</v>
      </c>
      <c r="Q1625" s="4">
        <v>0</v>
      </c>
      <c r="S1625" s="8">
        <f t="shared" si="75"/>
        <v>0</v>
      </c>
      <c r="T1625" s="8">
        <f t="shared" si="76"/>
        <v>0</v>
      </c>
      <c r="U1625" s="9" t="e">
        <f t="shared" si="77"/>
        <v>#DIV/0!</v>
      </c>
    </row>
    <row r="1626" spans="1:22" outlineLevel="2">
      <c r="A1626" t="s">
        <v>488</v>
      </c>
      <c r="B1626" t="s">
        <v>489</v>
      </c>
      <c r="C1626" t="s">
        <v>304</v>
      </c>
      <c r="D1626" t="s">
        <v>305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S1626" s="8">
        <f t="shared" si="75"/>
        <v>0</v>
      </c>
      <c r="T1626" s="8">
        <f t="shared" si="76"/>
        <v>0</v>
      </c>
      <c r="U1626" s="9" t="e">
        <f t="shared" si="77"/>
        <v>#DIV/0!</v>
      </c>
    </row>
    <row r="1627" spans="1:22" outlineLevel="2">
      <c r="A1627" t="s">
        <v>488</v>
      </c>
      <c r="B1627" t="s">
        <v>489</v>
      </c>
      <c r="C1627" t="s">
        <v>180</v>
      </c>
      <c r="D1627" t="s">
        <v>181</v>
      </c>
      <c r="E1627" s="4">
        <v>-1.4210854715202004E-14</v>
      </c>
      <c r="F1627" s="4">
        <v>0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>
        <v>0</v>
      </c>
      <c r="M1627" s="4">
        <v>0</v>
      </c>
      <c r="N1627" s="4">
        <v>0</v>
      </c>
      <c r="O1627" s="4">
        <v>0</v>
      </c>
      <c r="P1627" s="4">
        <v>0</v>
      </c>
      <c r="Q1627" s="4">
        <v>0</v>
      </c>
      <c r="S1627" s="8">
        <f t="shared" si="75"/>
        <v>0</v>
      </c>
      <c r="T1627" s="8">
        <f t="shared" si="76"/>
        <v>0</v>
      </c>
      <c r="U1627" s="9" t="e">
        <f t="shared" si="77"/>
        <v>#DIV/0!</v>
      </c>
    </row>
    <row r="1628" spans="1:22" outlineLevel="2">
      <c r="A1628" t="s">
        <v>488</v>
      </c>
      <c r="B1628" t="s">
        <v>489</v>
      </c>
      <c r="C1628" t="s">
        <v>158</v>
      </c>
      <c r="D1628" t="s">
        <v>159</v>
      </c>
      <c r="E1628" s="4">
        <v>0</v>
      </c>
      <c r="F1628" s="4">
        <v>0</v>
      </c>
      <c r="G1628" s="4">
        <v>38393.65</v>
      </c>
      <c r="H1628" s="4">
        <v>1418.7799999999997</v>
      </c>
      <c r="I1628" s="4">
        <v>0</v>
      </c>
      <c r="J1628" s="4">
        <v>39753.869999999995</v>
      </c>
      <c r="K1628" s="4">
        <v>0</v>
      </c>
      <c r="L1628" s="4">
        <v>0</v>
      </c>
      <c r="M1628" s="4">
        <v>31069.050000000003</v>
      </c>
      <c r="N1628" s="4">
        <v>0</v>
      </c>
      <c r="O1628" s="4">
        <v>0</v>
      </c>
      <c r="P1628" s="4">
        <v>18984.75</v>
      </c>
      <c r="Q1628" s="4">
        <v>0</v>
      </c>
      <c r="S1628" s="8">
        <f t="shared" si="75"/>
        <v>8342.3000000000011</v>
      </c>
      <c r="T1628" s="8">
        <f t="shared" si="76"/>
        <v>-8342.3000000000011</v>
      </c>
      <c r="U1628" s="9">
        <f t="shared" si="77"/>
        <v>-1</v>
      </c>
    </row>
    <row r="1629" spans="1:22" outlineLevel="2">
      <c r="A1629" t="s">
        <v>488</v>
      </c>
      <c r="B1629" t="s">
        <v>489</v>
      </c>
      <c r="C1629" t="s">
        <v>160</v>
      </c>
      <c r="D1629" t="s">
        <v>161</v>
      </c>
      <c r="E1629" s="4">
        <v>0</v>
      </c>
      <c r="F1629" s="4">
        <v>0</v>
      </c>
      <c r="G1629" s="4">
        <v>0</v>
      </c>
      <c r="H1629" s="4">
        <v>0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0</v>
      </c>
      <c r="O1629" s="4">
        <v>0</v>
      </c>
      <c r="P1629" s="4">
        <v>0</v>
      </c>
      <c r="Q1629" s="4">
        <v>0</v>
      </c>
      <c r="S1629" s="8">
        <f t="shared" si="75"/>
        <v>0</v>
      </c>
      <c r="T1629" s="8">
        <f t="shared" si="76"/>
        <v>0</v>
      </c>
      <c r="U1629" s="9" t="e">
        <f t="shared" si="77"/>
        <v>#DIV/0!</v>
      </c>
    </row>
    <row r="1630" spans="1:22" outlineLevel="2">
      <c r="A1630" t="s">
        <v>488</v>
      </c>
      <c r="B1630" t="s">
        <v>489</v>
      </c>
      <c r="C1630" t="s">
        <v>490</v>
      </c>
      <c r="D1630" t="s">
        <v>491</v>
      </c>
      <c r="E1630" s="4">
        <v>3.637978807091713E-12</v>
      </c>
      <c r="F1630" s="4">
        <v>0</v>
      </c>
      <c r="G1630" s="4">
        <v>-1.8189894035458565E-12</v>
      </c>
      <c r="H1630" s="4">
        <v>0</v>
      </c>
      <c r="I1630" s="4">
        <v>1.8189894035458565E-12</v>
      </c>
      <c r="J1630" s="4">
        <v>24777.05</v>
      </c>
      <c r="K1630" s="4">
        <v>0</v>
      </c>
      <c r="L1630" s="4">
        <v>-3.637978807091713E-12</v>
      </c>
      <c r="M1630" s="4">
        <v>0</v>
      </c>
      <c r="N1630" s="4">
        <v>-1.4551915228366852E-11</v>
      </c>
      <c r="O1630" s="4">
        <v>2.1827872842550278E-11</v>
      </c>
      <c r="P1630" s="4">
        <v>-2.9103830456733704E-11</v>
      </c>
      <c r="Q1630" s="4">
        <v>-2.9103830456733704E-11</v>
      </c>
      <c r="R1630" s="4">
        <v>-53082.97</v>
      </c>
      <c r="S1630" s="8">
        <f t="shared" si="75"/>
        <v>-9.0949470177292824E-12</v>
      </c>
      <c r="T1630" s="8">
        <f t="shared" si="76"/>
        <v>-53082.969999999994</v>
      </c>
      <c r="U1630" s="9">
        <f t="shared" si="77"/>
        <v>5836534275188457</v>
      </c>
      <c r="V1630" t="s">
        <v>897</v>
      </c>
    </row>
    <row r="1631" spans="1:22" outlineLevel="2">
      <c r="A1631" t="s">
        <v>488</v>
      </c>
      <c r="B1631" t="s">
        <v>489</v>
      </c>
      <c r="C1631" t="s">
        <v>230</v>
      </c>
      <c r="D1631" t="s">
        <v>231</v>
      </c>
      <c r="E1631" s="4">
        <v>548.30000000000291</v>
      </c>
      <c r="F1631" s="4">
        <v>-36562.19</v>
      </c>
      <c r="G1631" s="4">
        <v>0</v>
      </c>
      <c r="H1631" s="4">
        <v>0</v>
      </c>
      <c r="I1631" s="4">
        <v>0</v>
      </c>
      <c r="J1631" s="4">
        <v>0</v>
      </c>
      <c r="K1631" s="4">
        <v>0</v>
      </c>
      <c r="L1631" s="4">
        <v>0</v>
      </c>
      <c r="M1631" s="4">
        <v>0</v>
      </c>
      <c r="N1631" s="4">
        <v>0</v>
      </c>
      <c r="O1631" s="4">
        <v>0</v>
      </c>
      <c r="P1631" s="4">
        <v>0</v>
      </c>
      <c r="Q1631" s="4">
        <v>0</v>
      </c>
      <c r="R1631" s="4">
        <v>74529.679999999993</v>
      </c>
      <c r="S1631" s="8">
        <f t="shared" si="75"/>
        <v>0</v>
      </c>
      <c r="T1631" s="8">
        <f t="shared" si="76"/>
        <v>74529.679999999993</v>
      </c>
      <c r="U1631" s="9" t="e">
        <f t="shared" si="77"/>
        <v>#DIV/0!</v>
      </c>
      <c r="V1631" t="s">
        <v>895</v>
      </c>
    </row>
    <row r="1632" spans="1:22" outlineLevel="2">
      <c r="A1632" t="s">
        <v>488</v>
      </c>
      <c r="B1632" t="s">
        <v>489</v>
      </c>
      <c r="C1632" t="s">
        <v>47</v>
      </c>
      <c r="D1632" t="s">
        <v>48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S1632" s="8">
        <f t="shared" si="75"/>
        <v>0</v>
      </c>
      <c r="T1632" s="8">
        <f t="shared" si="76"/>
        <v>0</v>
      </c>
      <c r="U1632" s="9" t="e">
        <f t="shared" si="77"/>
        <v>#DIV/0!</v>
      </c>
    </row>
    <row r="1633" spans="1:22" outlineLevel="2">
      <c r="A1633" t="s">
        <v>488</v>
      </c>
      <c r="B1633" t="s">
        <v>489</v>
      </c>
      <c r="C1633" t="s">
        <v>49</v>
      </c>
      <c r="D1633" t="s">
        <v>50</v>
      </c>
      <c r="E1633" s="4">
        <v>0</v>
      </c>
      <c r="F1633" s="4">
        <v>-1.4210854715202004E-14</v>
      </c>
      <c r="G1633" s="4">
        <v>97.44</v>
      </c>
      <c r="H1633" s="4">
        <v>0</v>
      </c>
      <c r="I1633" s="4">
        <v>0</v>
      </c>
      <c r="J1633" s="4">
        <v>0</v>
      </c>
      <c r="K1633" s="4">
        <v>0</v>
      </c>
      <c r="L1633" s="4">
        <v>0</v>
      </c>
      <c r="M1633" s="4">
        <v>0</v>
      </c>
      <c r="N1633" s="4">
        <v>2.8421709430404007E-14</v>
      </c>
      <c r="O1633" s="4">
        <v>0</v>
      </c>
      <c r="P1633" s="4">
        <v>2.8421709430404007E-14</v>
      </c>
      <c r="Q1633" s="4">
        <v>0</v>
      </c>
      <c r="R1633" s="4">
        <v>193.53</v>
      </c>
      <c r="S1633" s="8">
        <f t="shared" si="75"/>
        <v>9.473903143468002E-15</v>
      </c>
      <c r="T1633" s="8">
        <f t="shared" si="76"/>
        <v>193.53</v>
      </c>
      <c r="U1633" s="9">
        <f t="shared" si="77"/>
        <v>2.0427694591054972E+16</v>
      </c>
      <c r="V1633" t="s">
        <v>895</v>
      </c>
    </row>
    <row r="1634" spans="1:22" outlineLevel="2">
      <c r="A1634" t="s">
        <v>488</v>
      </c>
      <c r="B1634" t="s">
        <v>489</v>
      </c>
      <c r="C1634" t="s">
        <v>51</v>
      </c>
      <c r="D1634" t="s">
        <v>52</v>
      </c>
      <c r="E1634" s="4">
        <v>0</v>
      </c>
      <c r="F1634" s="4">
        <v>0</v>
      </c>
      <c r="G1634" s="4">
        <v>0</v>
      </c>
      <c r="H1634" s="4">
        <v>9.9475983006414026E-14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-2.8421709430404007E-14</v>
      </c>
      <c r="O1634" s="4">
        <v>0</v>
      </c>
      <c r="P1634" s="4">
        <v>0</v>
      </c>
      <c r="Q1634" s="4">
        <v>0</v>
      </c>
      <c r="R1634" s="4">
        <v>148.82999999999998</v>
      </c>
      <c r="S1634" s="8">
        <f t="shared" si="75"/>
        <v>-4.736951571734001E-15</v>
      </c>
      <c r="T1634" s="8">
        <f t="shared" si="76"/>
        <v>148.82999999999998</v>
      </c>
      <c r="U1634" s="9">
        <f t="shared" si="77"/>
        <v>-3.1418940587885196E+16</v>
      </c>
      <c r="V1634" t="s">
        <v>895</v>
      </c>
    </row>
    <row r="1635" spans="1:22" outlineLevel="2">
      <c r="A1635" t="s">
        <v>488</v>
      </c>
      <c r="B1635" t="s">
        <v>489</v>
      </c>
      <c r="C1635" t="s">
        <v>164</v>
      </c>
      <c r="D1635" t="s">
        <v>165</v>
      </c>
      <c r="E1635" s="4">
        <v>0</v>
      </c>
      <c r="F1635" s="4">
        <v>0</v>
      </c>
      <c r="G1635" s="4">
        <v>0</v>
      </c>
      <c r="H1635" s="4">
        <v>0</v>
      </c>
      <c r="I1635" s="4">
        <v>0</v>
      </c>
      <c r="J1635" s="4">
        <v>0</v>
      </c>
      <c r="K1635" s="4">
        <v>0</v>
      </c>
      <c r="L1635" s="4">
        <v>0</v>
      </c>
      <c r="M1635" s="4">
        <v>0</v>
      </c>
      <c r="N1635" s="4">
        <v>0</v>
      </c>
      <c r="O1635" s="4">
        <v>0</v>
      </c>
      <c r="P1635" s="4">
        <v>0</v>
      </c>
      <c r="Q1635" s="4">
        <v>0</v>
      </c>
      <c r="R1635" s="4">
        <v>735</v>
      </c>
      <c r="S1635" s="8">
        <f t="shared" si="75"/>
        <v>0</v>
      </c>
      <c r="T1635" s="8">
        <f t="shared" si="76"/>
        <v>735</v>
      </c>
      <c r="U1635" s="9" t="e">
        <f t="shared" si="77"/>
        <v>#DIV/0!</v>
      </c>
      <c r="V1635" t="s">
        <v>895</v>
      </c>
    </row>
    <row r="1636" spans="1:22" outlineLevel="2">
      <c r="A1636" t="s">
        <v>488</v>
      </c>
      <c r="B1636" t="s">
        <v>489</v>
      </c>
      <c r="C1636" t="s">
        <v>53</v>
      </c>
      <c r="D1636" t="s">
        <v>54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S1636" s="8">
        <f t="shared" si="75"/>
        <v>0</v>
      </c>
      <c r="T1636" s="8">
        <f t="shared" si="76"/>
        <v>0</v>
      </c>
      <c r="U1636" s="9" t="e">
        <f t="shared" si="77"/>
        <v>#DIV/0!</v>
      </c>
    </row>
    <row r="1637" spans="1:22" outlineLevel="2">
      <c r="A1637" t="s">
        <v>488</v>
      </c>
      <c r="B1637" t="s">
        <v>489</v>
      </c>
      <c r="C1637" t="s">
        <v>55</v>
      </c>
      <c r="D1637" t="s">
        <v>56</v>
      </c>
      <c r="E1637" s="4">
        <v>0</v>
      </c>
      <c r="F1637" s="4">
        <v>0</v>
      </c>
      <c r="G1637" s="4">
        <v>0</v>
      </c>
      <c r="H1637" s="4">
        <v>-1.4210854715202004E-14</v>
      </c>
      <c r="I1637" s="4">
        <v>0</v>
      </c>
      <c r="J1637" s="4">
        <v>0</v>
      </c>
      <c r="K1637" s="4">
        <v>0</v>
      </c>
      <c r="L1637" s="4">
        <v>0</v>
      </c>
      <c r="M1637" s="4">
        <v>0</v>
      </c>
      <c r="N1637" s="4">
        <v>0</v>
      </c>
      <c r="O1637" s="4">
        <v>0</v>
      </c>
      <c r="P1637" s="4">
        <v>0</v>
      </c>
      <c r="Q1637" s="4">
        <v>0</v>
      </c>
      <c r="S1637" s="8">
        <f t="shared" si="75"/>
        <v>0</v>
      </c>
      <c r="T1637" s="8">
        <f t="shared" si="76"/>
        <v>0</v>
      </c>
      <c r="U1637" s="9" t="e">
        <f t="shared" si="77"/>
        <v>#DIV/0!</v>
      </c>
    </row>
    <row r="1638" spans="1:22" outlineLevel="2">
      <c r="A1638" t="s">
        <v>488</v>
      </c>
      <c r="B1638" t="s">
        <v>489</v>
      </c>
      <c r="C1638" t="s">
        <v>59</v>
      </c>
      <c r="D1638" t="s">
        <v>60</v>
      </c>
      <c r="E1638" s="4">
        <v>0</v>
      </c>
      <c r="F1638" s="4">
        <v>-5.6843418860808015E-14</v>
      </c>
      <c r="G1638" s="4">
        <v>0</v>
      </c>
      <c r="H1638" s="4">
        <v>0</v>
      </c>
      <c r="I1638" s="4">
        <v>0</v>
      </c>
      <c r="J1638" s="4">
        <v>0</v>
      </c>
      <c r="K1638" s="4">
        <v>2.4868995751603507E-14</v>
      </c>
      <c r="L1638" s="4">
        <v>-5.6843418860808015E-14</v>
      </c>
      <c r="M1638" s="4">
        <v>-5.6843418860808015E-14</v>
      </c>
      <c r="N1638" s="4">
        <v>0</v>
      </c>
      <c r="O1638" s="4">
        <v>0</v>
      </c>
      <c r="P1638" s="4">
        <v>0</v>
      </c>
      <c r="Q1638" s="4">
        <v>0</v>
      </c>
      <c r="R1638" s="4">
        <v>947.9</v>
      </c>
      <c r="S1638" s="8">
        <f t="shared" si="75"/>
        <v>-1.8947806286936004E-14</v>
      </c>
      <c r="T1638" s="8">
        <f t="shared" si="76"/>
        <v>947.9</v>
      </c>
      <c r="U1638" s="9">
        <f t="shared" si="77"/>
        <v>-5.0026899454505784E+16</v>
      </c>
      <c r="V1638" t="s">
        <v>895</v>
      </c>
    </row>
    <row r="1639" spans="1:22" outlineLevel="2">
      <c r="A1639" t="s">
        <v>488</v>
      </c>
      <c r="B1639" t="s">
        <v>489</v>
      </c>
      <c r="C1639" t="s">
        <v>63</v>
      </c>
      <c r="D1639" t="s">
        <v>64</v>
      </c>
      <c r="E1639" s="4">
        <v>0</v>
      </c>
      <c r="F1639" s="4">
        <v>0</v>
      </c>
      <c r="G1639" s="4">
        <v>0</v>
      </c>
      <c r="H1639" s="4">
        <v>0</v>
      </c>
      <c r="I1639" s="4">
        <v>0</v>
      </c>
      <c r="J1639" s="4">
        <v>0</v>
      </c>
      <c r="K1639" s="4">
        <v>0</v>
      </c>
      <c r="L1639" s="4">
        <v>0</v>
      </c>
      <c r="M1639" s="4">
        <v>0</v>
      </c>
      <c r="N1639" s="4">
        <v>0</v>
      </c>
      <c r="O1639" s="4">
        <v>0</v>
      </c>
      <c r="P1639" s="4">
        <v>0</v>
      </c>
      <c r="Q1639" s="4">
        <v>0</v>
      </c>
      <c r="R1639" s="4">
        <v>130</v>
      </c>
      <c r="S1639" s="8">
        <f t="shared" si="75"/>
        <v>0</v>
      </c>
      <c r="T1639" s="8">
        <f t="shared" si="76"/>
        <v>130</v>
      </c>
      <c r="U1639" s="9" t="e">
        <f t="shared" si="77"/>
        <v>#DIV/0!</v>
      </c>
      <c r="V1639" t="s">
        <v>895</v>
      </c>
    </row>
    <row r="1640" spans="1:22" outlineLevel="2">
      <c r="A1640" t="s">
        <v>488</v>
      </c>
      <c r="B1640" t="s">
        <v>489</v>
      </c>
      <c r="C1640" t="s">
        <v>65</v>
      </c>
      <c r="D1640" t="s">
        <v>66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S1640" s="8">
        <f t="shared" si="75"/>
        <v>0</v>
      </c>
      <c r="T1640" s="8">
        <f t="shared" si="76"/>
        <v>0</v>
      </c>
      <c r="U1640" s="9" t="e">
        <f t="shared" si="77"/>
        <v>#DIV/0!</v>
      </c>
    </row>
    <row r="1641" spans="1:22" outlineLevel="2">
      <c r="A1641" t="s">
        <v>488</v>
      </c>
      <c r="B1641" t="s">
        <v>489</v>
      </c>
      <c r="C1641" t="s">
        <v>83</v>
      </c>
      <c r="D1641" t="s">
        <v>84</v>
      </c>
      <c r="E1641" s="4">
        <v>0</v>
      </c>
      <c r="F1641" s="4">
        <v>0</v>
      </c>
      <c r="G1641" s="4">
        <v>0</v>
      </c>
      <c r="H1641" s="4">
        <v>0</v>
      </c>
      <c r="I1641" s="4">
        <v>0</v>
      </c>
      <c r="J1641" s="4">
        <v>0</v>
      </c>
      <c r="K1641" s="4">
        <v>0</v>
      </c>
      <c r="L1641" s="4">
        <v>0</v>
      </c>
      <c r="M1641" s="4">
        <v>0</v>
      </c>
      <c r="N1641" s="4">
        <v>0</v>
      </c>
      <c r="O1641" s="4">
        <v>0</v>
      </c>
      <c r="P1641" s="4">
        <v>0</v>
      </c>
      <c r="Q1641" s="4">
        <v>0</v>
      </c>
      <c r="R1641" s="4">
        <v>92.12</v>
      </c>
      <c r="S1641" s="8">
        <f t="shared" si="75"/>
        <v>0</v>
      </c>
      <c r="T1641" s="8">
        <f t="shared" si="76"/>
        <v>92.12</v>
      </c>
      <c r="U1641" s="9" t="e">
        <f t="shared" si="77"/>
        <v>#DIV/0!</v>
      </c>
      <c r="V1641" t="s">
        <v>895</v>
      </c>
    </row>
    <row r="1642" spans="1:22" outlineLevel="2">
      <c r="A1642" t="s">
        <v>488</v>
      </c>
      <c r="B1642" t="s">
        <v>489</v>
      </c>
      <c r="C1642" t="s">
        <v>87</v>
      </c>
      <c r="D1642" t="s">
        <v>88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5.6843418860808015E-14</v>
      </c>
      <c r="N1642" s="4">
        <v>0</v>
      </c>
      <c r="O1642" s="4">
        <v>0</v>
      </c>
      <c r="P1642" s="4">
        <v>0</v>
      </c>
      <c r="Q1642" s="4">
        <v>0</v>
      </c>
      <c r="R1642" s="4">
        <v>39.83</v>
      </c>
      <c r="S1642" s="8">
        <f t="shared" si="75"/>
        <v>9.473903143468002E-15</v>
      </c>
      <c r="T1642" s="8">
        <f t="shared" si="76"/>
        <v>39.829999999999991</v>
      </c>
      <c r="U1642" s="9">
        <f t="shared" si="77"/>
        <v>4204180620894535</v>
      </c>
      <c r="V1642" t="s">
        <v>895</v>
      </c>
    </row>
    <row r="1643" spans="1:22" outlineLevel="2">
      <c r="A1643" t="s">
        <v>488</v>
      </c>
      <c r="B1643" t="s">
        <v>489</v>
      </c>
      <c r="C1643" t="s">
        <v>166</v>
      </c>
      <c r="D1643" t="s">
        <v>167</v>
      </c>
      <c r="E1643" s="4">
        <v>0</v>
      </c>
      <c r="F1643" s="4">
        <v>0</v>
      </c>
      <c r="G1643" s="4">
        <v>0</v>
      </c>
      <c r="H1643" s="4">
        <v>0</v>
      </c>
      <c r="I1643" s="4">
        <v>0</v>
      </c>
      <c r="J1643" s="4">
        <v>0</v>
      </c>
      <c r="K1643" s="4">
        <v>0</v>
      </c>
      <c r="L1643" s="4">
        <v>0</v>
      </c>
      <c r="M1643" s="4">
        <v>0</v>
      </c>
      <c r="N1643" s="4">
        <v>0</v>
      </c>
      <c r="O1643" s="4">
        <v>0</v>
      </c>
      <c r="P1643" s="4">
        <v>0</v>
      </c>
      <c r="Q1643" s="4">
        <v>0</v>
      </c>
      <c r="S1643" s="8">
        <f t="shared" si="75"/>
        <v>0</v>
      </c>
      <c r="T1643" s="8">
        <f t="shared" si="76"/>
        <v>0</v>
      </c>
      <c r="U1643" s="9" t="e">
        <f t="shared" si="77"/>
        <v>#DIV/0!</v>
      </c>
    </row>
    <row r="1644" spans="1:22" outlineLevel="2">
      <c r="A1644" t="s">
        <v>488</v>
      </c>
      <c r="B1644" t="s">
        <v>489</v>
      </c>
      <c r="C1644" t="s">
        <v>93</v>
      </c>
      <c r="D1644" t="s">
        <v>94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500</v>
      </c>
      <c r="S1644" s="8">
        <f t="shared" si="75"/>
        <v>0</v>
      </c>
      <c r="T1644" s="8">
        <f t="shared" si="76"/>
        <v>500</v>
      </c>
      <c r="U1644" s="9" t="e">
        <f t="shared" si="77"/>
        <v>#DIV/0!</v>
      </c>
      <c r="V1644" t="s">
        <v>895</v>
      </c>
    </row>
    <row r="1645" spans="1:22" outlineLevel="2">
      <c r="A1645" t="s">
        <v>488</v>
      </c>
      <c r="B1645" t="s">
        <v>489</v>
      </c>
      <c r="C1645" t="s">
        <v>101</v>
      </c>
      <c r="D1645" t="s">
        <v>102</v>
      </c>
      <c r="E1645" s="4">
        <v>0</v>
      </c>
      <c r="F1645" s="4">
        <v>0</v>
      </c>
      <c r="G1645" s="4">
        <v>0</v>
      </c>
      <c r="H1645" s="4">
        <v>0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v>0</v>
      </c>
      <c r="O1645" s="4">
        <v>0</v>
      </c>
      <c r="P1645" s="4">
        <v>0</v>
      </c>
      <c r="Q1645" s="4">
        <v>0</v>
      </c>
      <c r="S1645" s="8">
        <f t="shared" si="75"/>
        <v>0</v>
      </c>
      <c r="T1645" s="8">
        <f t="shared" si="76"/>
        <v>0</v>
      </c>
      <c r="U1645" s="9" t="e">
        <f t="shared" si="77"/>
        <v>#DIV/0!</v>
      </c>
    </row>
    <row r="1646" spans="1:22" outlineLevel="2">
      <c r="A1646" t="s">
        <v>488</v>
      </c>
      <c r="B1646" t="s">
        <v>489</v>
      </c>
      <c r="C1646" t="s">
        <v>170</v>
      </c>
      <c r="D1646" t="s">
        <v>171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S1646" s="8">
        <f t="shared" si="75"/>
        <v>0</v>
      </c>
      <c r="T1646" s="8">
        <f t="shared" si="76"/>
        <v>0</v>
      </c>
      <c r="U1646" s="9" t="e">
        <f t="shared" si="77"/>
        <v>#DIV/0!</v>
      </c>
    </row>
    <row r="1647" spans="1:22" outlineLevel="2">
      <c r="A1647" t="s">
        <v>488</v>
      </c>
      <c r="B1647" t="s">
        <v>489</v>
      </c>
      <c r="C1647" t="s">
        <v>119</v>
      </c>
      <c r="D1647" t="s">
        <v>120</v>
      </c>
      <c r="E1647" s="4">
        <v>0</v>
      </c>
      <c r="F1647" s="4">
        <v>0</v>
      </c>
      <c r="G1647" s="4">
        <v>0</v>
      </c>
      <c r="H1647" s="4">
        <v>0</v>
      </c>
      <c r="I1647" s="4">
        <v>0</v>
      </c>
      <c r="J1647" s="4">
        <v>0</v>
      </c>
      <c r="K1647" s="4">
        <v>0</v>
      </c>
      <c r="L1647" s="4">
        <v>0</v>
      </c>
      <c r="M1647" s="4">
        <v>0</v>
      </c>
      <c r="N1647" s="4">
        <v>0</v>
      </c>
      <c r="O1647" s="4">
        <v>0</v>
      </c>
      <c r="P1647" s="4">
        <v>0</v>
      </c>
      <c r="Q1647" s="4">
        <v>0</v>
      </c>
      <c r="S1647" s="8">
        <f t="shared" si="75"/>
        <v>0</v>
      </c>
      <c r="T1647" s="8">
        <f t="shared" si="76"/>
        <v>0</v>
      </c>
      <c r="U1647" s="9" t="e">
        <f t="shared" si="77"/>
        <v>#DIV/0!</v>
      </c>
    </row>
    <row r="1648" spans="1:22" outlineLevel="2">
      <c r="A1648" t="s">
        <v>488</v>
      </c>
      <c r="B1648" t="s">
        <v>489</v>
      </c>
      <c r="C1648" t="s">
        <v>127</v>
      </c>
      <c r="D1648" t="s">
        <v>120</v>
      </c>
      <c r="E1648" s="4">
        <v>0</v>
      </c>
      <c r="F1648" s="4">
        <v>1.4210854715202004E-14</v>
      </c>
      <c r="G1648" s="4">
        <v>0</v>
      </c>
      <c r="H1648" s="4">
        <v>0</v>
      </c>
      <c r="I1648" s="4">
        <v>0</v>
      </c>
      <c r="J1648" s="4">
        <v>0</v>
      </c>
      <c r="K1648" s="4">
        <v>-1.0658141036401503E-14</v>
      </c>
      <c r="L1648" s="4">
        <v>0</v>
      </c>
      <c r="M1648" s="4">
        <v>0</v>
      </c>
      <c r="N1648" s="4">
        <v>1.4210854715202004E-14</v>
      </c>
      <c r="O1648" s="4">
        <v>0</v>
      </c>
      <c r="P1648" s="4">
        <v>0</v>
      </c>
      <c r="Q1648" s="4">
        <v>0</v>
      </c>
      <c r="R1648" s="4">
        <v>505</v>
      </c>
      <c r="S1648" s="8">
        <f t="shared" si="75"/>
        <v>2.3684757858670005E-15</v>
      </c>
      <c r="T1648" s="8">
        <f t="shared" si="76"/>
        <v>505</v>
      </c>
      <c r="U1648" s="9">
        <f t="shared" si="77"/>
        <v>2.1321729485832192E+17</v>
      </c>
      <c r="V1648" t="s">
        <v>895</v>
      </c>
    </row>
    <row r="1649" spans="1:22" outlineLevel="1">
      <c r="A1649" s="1" t="s">
        <v>799</v>
      </c>
      <c r="E1649" s="4">
        <f>SUBTOTAL(9,E1609:E1648)</f>
        <v>1348.2999999999533</v>
      </c>
      <c r="F1649" s="4">
        <f>SUBTOTAL(9,F1609:F1648)</f>
        <v>-36362.18999999985</v>
      </c>
      <c r="G1649" s="4">
        <f>SUBTOTAL(9,G1609:G1648)</f>
        <v>77306.490000000034</v>
      </c>
      <c r="H1649" s="4">
        <f>SUBTOTAL(9,H1609:H1648)</f>
        <v>2018.7800000000029</v>
      </c>
      <c r="I1649" s="4">
        <f>SUBTOTAL(9,I1609:I1648)</f>
        <v>49264.149999999987</v>
      </c>
      <c r="J1649" s="4">
        <f>SUBTOTAL(9,J1609:J1648)</f>
        <v>138378.81</v>
      </c>
      <c r="K1649" s="4">
        <f>SUBTOTAL(9,K1609:K1648)</f>
        <v>38154.159999999887</v>
      </c>
      <c r="L1649" s="4">
        <f>SUBTOTAL(9,L1609:L1648)</f>
        <v>42217.01000000014</v>
      </c>
      <c r="M1649" s="4">
        <f>SUBTOTAL(9,M1609:M1648)</f>
        <v>126357.95000000004</v>
      </c>
      <c r="N1649" s="4">
        <f>SUBTOTAL(9,N1609:N1648)</f>
        <v>36954.119999999988</v>
      </c>
      <c r="O1649" s="4">
        <f>SUBTOTAL(9,O1609:O1648)</f>
        <v>38554.120000000148</v>
      </c>
      <c r="P1649" s="4">
        <f>SUBTOTAL(9,P1609:P1648)</f>
        <v>135338.86999999997</v>
      </c>
      <c r="Q1649" s="4">
        <f>SUBTOTAL(9,Q1609:Q1648)</f>
        <v>1799.9999999999191</v>
      </c>
      <c r="R1649" s="4">
        <f>SUBTOTAL(9,R1609:R1648)</f>
        <v>1024286.5700000001</v>
      </c>
      <c r="S1649" s="8">
        <f t="shared" si="75"/>
        <v>63537.011666666709</v>
      </c>
      <c r="T1649" s="8">
        <f t="shared" si="76"/>
        <v>960749.55833333335</v>
      </c>
      <c r="U1649" s="9">
        <f t="shared" si="77"/>
        <v>15.121100806152162</v>
      </c>
      <c r="V1649" t="s">
        <v>897</v>
      </c>
    </row>
    <row r="1650" spans="1:22" outlineLevel="2">
      <c r="A1650" t="s">
        <v>492</v>
      </c>
      <c r="B1650" t="s">
        <v>493</v>
      </c>
      <c r="C1650" t="s">
        <v>21</v>
      </c>
      <c r="D1650" t="s">
        <v>22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-7.1054273576010019E-15</v>
      </c>
      <c r="O1650" s="4">
        <v>0</v>
      </c>
      <c r="P1650" s="4">
        <v>0</v>
      </c>
      <c r="Q1650" s="4">
        <v>0</v>
      </c>
      <c r="S1650" s="8">
        <f t="shared" si="75"/>
        <v>-1.1842378929335002E-15</v>
      </c>
      <c r="T1650" s="8">
        <f t="shared" si="76"/>
        <v>1.1842378929335002E-15</v>
      </c>
      <c r="U1650" s="9">
        <f t="shared" si="77"/>
        <v>-1</v>
      </c>
    </row>
    <row r="1651" spans="1:22" outlineLevel="2">
      <c r="A1651" t="s">
        <v>492</v>
      </c>
      <c r="B1651" t="s">
        <v>493</v>
      </c>
      <c r="C1651" t="s">
        <v>25</v>
      </c>
      <c r="D1651" t="s">
        <v>26</v>
      </c>
      <c r="E1651" s="4">
        <v>0</v>
      </c>
      <c r="F1651" s="4">
        <v>0</v>
      </c>
      <c r="G1651" s="4">
        <v>0</v>
      </c>
      <c r="H1651" s="4">
        <v>0</v>
      </c>
      <c r="I1651" s="4">
        <v>0</v>
      </c>
      <c r="J1651" s="4">
        <v>0</v>
      </c>
      <c r="K1651" s="4">
        <v>0</v>
      </c>
      <c r="L1651" s="4">
        <v>0</v>
      </c>
      <c r="M1651" s="4">
        <v>0</v>
      </c>
      <c r="N1651" s="4">
        <v>0</v>
      </c>
      <c r="O1651" s="4">
        <v>0</v>
      </c>
      <c r="P1651" s="4">
        <v>0</v>
      </c>
      <c r="Q1651" s="4">
        <v>0</v>
      </c>
      <c r="S1651" s="8">
        <f t="shared" si="75"/>
        <v>0</v>
      </c>
      <c r="T1651" s="8">
        <f t="shared" si="76"/>
        <v>0</v>
      </c>
      <c r="U1651" s="9" t="e">
        <f t="shared" si="77"/>
        <v>#DIV/0!</v>
      </c>
    </row>
    <row r="1652" spans="1:22" outlineLevel="2">
      <c r="A1652" t="s">
        <v>492</v>
      </c>
      <c r="B1652" t="s">
        <v>493</v>
      </c>
      <c r="C1652" t="s">
        <v>27</v>
      </c>
      <c r="D1652" t="s">
        <v>28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S1652" s="8">
        <f t="shared" si="75"/>
        <v>0</v>
      </c>
      <c r="T1652" s="8">
        <f t="shared" si="76"/>
        <v>0</v>
      </c>
      <c r="U1652" s="9" t="e">
        <f t="shared" si="77"/>
        <v>#DIV/0!</v>
      </c>
    </row>
    <row r="1653" spans="1:22" outlineLevel="2">
      <c r="A1653" t="s">
        <v>492</v>
      </c>
      <c r="B1653" t="s">
        <v>493</v>
      </c>
      <c r="C1653" t="s">
        <v>136</v>
      </c>
      <c r="D1653" t="s">
        <v>137</v>
      </c>
      <c r="E1653" s="4">
        <v>0</v>
      </c>
      <c r="F1653" s="4">
        <v>4.5474735088646412E-13</v>
      </c>
      <c r="G1653" s="4">
        <v>-9.0949470177292824E-13</v>
      </c>
      <c r="H1653" s="4">
        <v>-9.0949470177292824E-13</v>
      </c>
      <c r="I1653" s="4">
        <v>0</v>
      </c>
      <c r="J1653" s="4">
        <v>0</v>
      </c>
      <c r="K1653" s="4">
        <v>10562.630000000001</v>
      </c>
      <c r="L1653" s="4">
        <v>-10562.629999999997</v>
      </c>
      <c r="M1653" s="4">
        <v>-9.0949470177292824E-13</v>
      </c>
      <c r="N1653" s="4">
        <v>0</v>
      </c>
      <c r="O1653" s="4">
        <v>-1.8189894035458565E-12</v>
      </c>
      <c r="P1653" s="4">
        <v>-9.0949470177292824E-13</v>
      </c>
      <c r="Q1653" s="4">
        <v>0</v>
      </c>
      <c r="S1653" s="8">
        <f t="shared" si="75"/>
        <v>-1760.4383333333335</v>
      </c>
      <c r="T1653" s="8">
        <f t="shared" si="76"/>
        <v>1760.4383333333335</v>
      </c>
      <c r="U1653" s="9">
        <f t="shared" si="77"/>
        <v>-1</v>
      </c>
    </row>
    <row r="1654" spans="1:22" outlineLevel="2">
      <c r="A1654" t="s">
        <v>492</v>
      </c>
      <c r="B1654" t="s">
        <v>493</v>
      </c>
      <c r="C1654" t="s">
        <v>138</v>
      </c>
      <c r="D1654" t="s">
        <v>139</v>
      </c>
      <c r="E1654" s="4">
        <v>0</v>
      </c>
      <c r="F1654" s="4">
        <v>4.5474735088646412E-13</v>
      </c>
      <c r="G1654" s="4">
        <v>0</v>
      </c>
      <c r="H1654" s="4">
        <v>-9.0949470177292824E-13</v>
      </c>
      <c r="I1654" s="4">
        <v>0</v>
      </c>
      <c r="J1654" s="4">
        <v>1.8189894035458565E-12</v>
      </c>
      <c r="K1654" s="4">
        <v>12632.36</v>
      </c>
      <c r="L1654" s="4">
        <v>-12632.36</v>
      </c>
      <c r="M1654" s="4">
        <v>9.0949470177292824E-13</v>
      </c>
      <c r="N1654" s="4">
        <v>0</v>
      </c>
      <c r="O1654" s="4">
        <v>0</v>
      </c>
      <c r="P1654" s="4">
        <v>0</v>
      </c>
      <c r="Q1654" s="4">
        <v>0</v>
      </c>
      <c r="S1654" s="8">
        <f t="shared" si="75"/>
        <v>-2105.3933333333334</v>
      </c>
      <c r="T1654" s="8">
        <f t="shared" si="76"/>
        <v>2105.3933333333334</v>
      </c>
      <c r="U1654" s="9">
        <f t="shared" si="77"/>
        <v>-1</v>
      </c>
    </row>
    <row r="1655" spans="1:22" outlineLevel="2">
      <c r="A1655" t="s">
        <v>492</v>
      </c>
      <c r="B1655" t="s">
        <v>493</v>
      </c>
      <c r="C1655" t="s">
        <v>29</v>
      </c>
      <c r="D1655" t="s">
        <v>30</v>
      </c>
      <c r="E1655" s="4">
        <v>0</v>
      </c>
      <c r="F1655" s="4">
        <v>-2.8421709430404007E-14</v>
      </c>
      <c r="G1655" s="4">
        <v>1.1368683772161603E-13</v>
      </c>
      <c r="H1655" s="4">
        <v>-5.6843418860808015E-14</v>
      </c>
      <c r="I1655" s="4">
        <v>0</v>
      </c>
      <c r="J1655" s="4">
        <v>0</v>
      </c>
      <c r="K1655" s="4">
        <v>1328.71</v>
      </c>
      <c r="L1655" s="4">
        <v>-1328.7100000000003</v>
      </c>
      <c r="M1655" s="4">
        <v>0</v>
      </c>
      <c r="N1655" s="4">
        <v>0</v>
      </c>
      <c r="O1655" s="4">
        <v>0</v>
      </c>
      <c r="P1655" s="4">
        <v>0</v>
      </c>
      <c r="Q1655" s="4">
        <v>0</v>
      </c>
      <c r="S1655" s="8">
        <f t="shared" si="75"/>
        <v>-221.45166666666671</v>
      </c>
      <c r="T1655" s="8">
        <f t="shared" si="76"/>
        <v>221.45166666666671</v>
      </c>
      <c r="U1655" s="9">
        <f t="shared" si="77"/>
        <v>-1</v>
      </c>
    </row>
    <row r="1656" spans="1:22" outlineLevel="2">
      <c r="A1656" t="s">
        <v>492</v>
      </c>
      <c r="B1656" t="s">
        <v>493</v>
      </c>
      <c r="C1656" t="s">
        <v>144</v>
      </c>
      <c r="D1656" t="s">
        <v>145</v>
      </c>
      <c r="E1656" s="4">
        <v>-2.8421709430404007E-13</v>
      </c>
      <c r="F1656" s="4">
        <v>1286.5899999999997</v>
      </c>
      <c r="G1656" s="4">
        <v>-1286.5899999999999</v>
      </c>
      <c r="H1656" s="4">
        <v>0</v>
      </c>
      <c r="I1656" s="4">
        <v>-1.1368683772161603E-13</v>
      </c>
      <c r="J1656" s="4">
        <v>0</v>
      </c>
      <c r="K1656" s="4">
        <v>-856.69</v>
      </c>
      <c r="L1656" s="4">
        <v>856.69000000000028</v>
      </c>
      <c r="M1656" s="4">
        <v>2.2737367544323206E-13</v>
      </c>
      <c r="N1656" s="4">
        <v>0</v>
      </c>
      <c r="O1656" s="4">
        <v>0</v>
      </c>
      <c r="P1656" s="4">
        <v>1.1368683772161603E-13</v>
      </c>
      <c r="Q1656" s="4">
        <v>0</v>
      </c>
      <c r="S1656" s="8">
        <f t="shared" si="75"/>
        <v>142.78166666666678</v>
      </c>
      <c r="T1656" s="8">
        <f t="shared" si="76"/>
        <v>-142.78166666666678</v>
      </c>
      <c r="U1656" s="9">
        <f t="shared" si="77"/>
        <v>-1</v>
      </c>
    </row>
    <row r="1657" spans="1:22" outlineLevel="2">
      <c r="A1657" t="s">
        <v>492</v>
      </c>
      <c r="B1657" t="s">
        <v>493</v>
      </c>
      <c r="C1657" t="s">
        <v>146</v>
      </c>
      <c r="D1657" t="s">
        <v>147</v>
      </c>
      <c r="E1657" s="4">
        <v>0</v>
      </c>
      <c r="F1657" s="4">
        <v>1.7053025658242404E-13</v>
      </c>
      <c r="G1657" s="4">
        <v>-1.7053025658242404E-13</v>
      </c>
      <c r="H1657" s="4">
        <v>2.2737367544323206E-13</v>
      </c>
      <c r="I1657" s="4">
        <v>-2.2737367544323206E-13</v>
      </c>
      <c r="J1657" s="4">
        <v>0</v>
      </c>
      <c r="K1657" s="4">
        <v>2035.5900000000001</v>
      </c>
      <c r="L1657" s="4">
        <v>-2035.59</v>
      </c>
      <c r="M1657" s="4">
        <v>15.770000000000095</v>
      </c>
      <c r="N1657" s="4">
        <v>-15.769999999999982</v>
      </c>
      <c r="O1657" s="4">
        <v>0</v>
      </c>
      <c r="P1657" s="4">
        <v>-3.4106051316484809E-13</v>
      </c>
      <c r="Q1657" s="4">
        <v>0</v>
      </c>
      <c r="S1657" s="8">
        <f t="shared" si="75"/>
        <v>-339.26500000000004</v>
      </c>
      <c r="T1657" s="8">
        <f t="shared" si="76"/>
        <v>339.26500000000004</v>
      </c>
      <c r="U1657" s="9">
        <f t="shared" si="77"/>
        <v>-1</v>
      </c>
    </row>
    <row r="1658" spans="1:22" outlineLevel="2">
      <c r="A1658" t="s">
        <v>492</v>
      </c>
      <c r="B1658" t="s">
        <v>493</v>
      </c>
      <c r="C1658" t="s">
        <v>150</v>
      </c>
      <c r="D1658" t="s">
        <v>151</v>
      </c>
      <c r="E1658" s="4">
        <v>0</v>
      </c>
      <c r="F1658" s="4">
        <v>0</v>
      </c>
      <c r="G1658" s="4">
        <v>0</v>
      </c>
      <c r="H1658" s="4">
        <v>0</v>
      </c>
      <c r="I1658" s="4">
        <v>2368.98</v>
      </c>
      <c r="J1658" s="4">
        <v>1570.3</v>
      </c>
      <c r="K1658" s="4">
        <v>0</v>
      </c>
      <c r="L1658" s="4">
        <v>0</v>
      </c>
      <c r="M1658" s="4">
        <v>-3939.28</v>
      </c>
      <c r="N1658" s="4">
        <v>0</v>
      </c>
      <c r="O1658" s="4">
        <v>0</v>
      </c>
      <c r="P1658" s="4">
        <v>0</v>
      </c>
      <c r="Q1658" s="4">
        <v>0</v>
      </c>
      <c r="S1658" s="8">
        <f t="shared" si="75"/>
        <v>-656.54666666666674</v>
      </c>
      <c r="T1658" s="8">
        <f t="shared" si="76"/>
        <v>656.54666666666674</v>
      </c>
      <c r="U1658" s="9">
        <f t="shared" si="77"/>
        <v>-1</v>
      </c>
    </row>
    <row r="1659" spans="1:22" outlineLevel="2">
      <c r="A1659" t="s">
        <v>492</v>
      </c>
      <c r="B1659" t="s">
        <v>493</v>
      </c>
      <c r="C1659" t="s">
        <v>152</v>
      </c>
      <c r="D1659" t="s">
        <v>153</v>
      </c>
      <c r="E1659" s="4">
        <v>0</v>
      </c>
      <c r="F1659" s="4">
        <v>1.1368683772161603E-13</v>
      </c>
      <c r="G1659" s="4">
        <v>-2.2737367544323206E-13</v>
      </c>
      <c r="H1659" s="4">
        <v>1.1368683772161603E-13</v>
      </c>
      <c r="I1659" s="4">
        <v>2.2737367544323206E-13</v>
      </c>
      <c r="J1659" s="4">
        <v>-2.2737367544323206E-13</v>
      </c>
      <c r="K1659" s="4">
        <v>1829.73</v>
      </c>
      <c r="L1659" s="4">
        <v>-1829.7299999999996</v>
      </c>
      <c r="M1659" s="4">
        <v>0</v>
      </c>
      <c r="N1659" s="4">
        <v>-1.4566126083082054E-13</v>
      </c>
      <c r="O1659" s="4">
        <v>-2.2737367544323206E-13</v>
      </c>
      <c r="P1659" s="4">
        <v>0</v>
      </c>
      <c r="Q1659" s="4">
        <v>0</v>
      </c>
      <c r="S1659" s="8">
        <f t="shared" si="75"/>
        <v>-304.95499999999998</v>
      </c>
      <c r="T1659" s="8">
        <f t="shared" si="76"/>
        <v>304.95499999999998</v>
      </c>
      <c r="U1659" s="9">
        <f t="shared" si="77"/>
        <v>-1</v>
      </c>
    </row>
    <row r="1660" spans="1:22" outlineLevel="2">
      <c r="A1660" t="s">
        <v>492</v>
      </c>
      <c r="B1660" t="s">
        <v>493</v>
      </c>
      <c r="C1660" t="s">
        <v>154</v>
      </c>
      <c r="D1660" t="s">
        <v>155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13</v>
      </c>
      <c r="P1660" s="4">
        <v>-13</v>
      </c>
      <c r="Q1660" s="4">
        <v>0</v>
      </c>
      <c r="S1660" s="8">
        <f t="shared" si="75"/>
        <v>0</v>
      </c>
      <c r="T1660" s="8">
        <f t="shared" si="76"/>
        <v>0</v>
      </c>
      <c r="U1660" s="9" t="e">
        <f t="shared" si="77"/>
        <v>#DIV/0!</v>
      </c>
    </row>
    <row r="1661" spans="1:22" outlineLevel="2">
      <c r="A1661" t="s">
        <v>492</v>
      </c>
      <c r="B1661" t="s">
        <v>493</v>
      </c>
      <c r="C1661" t="s">
        <v>158</v>
      </c>
      <c r="D1661" t="s">
        <v>159</v>
      </c>
      <c r="E1661" s="4">
        <v>0</v>
      </c>
      <c r="F1661" s="4">
        <v>0</v>
      </c>
      <c r="G1661" s="4">
        <v>0</v>
      </c>
      <c r="H1661" s="4">
        <v>0</v>
      </c>
      <c r="I1661" s="4">
        <v>0</v>
      </c>
      <c r="J1661" s="4">
        <v>0</v>
      </c>
      <c r="K1661" s="4">
        <v>0</v>
      </c>
      <c r="L1661" s="4">
        <v>0</v>
      </c>
      <c r="M1661" s="4">
        <v>0</v>
      </c>
      <c r="N1661" s="4">
        <v>0</v>
      </c>
      <c r="O1661" s="4">
        <v>0</v>
      </c>
      <c r="P1661" s="4">
        <v>0</v>
      </c>
      <c r="Q1661" s="4">
        <v>0</v>
      </c>
      <c r="S1661" s="8">
        <f t="shared" si="75"/>
        <v>0</v>
      </c>
      <c r="T1661" s="8">
        <f t="shared" si="76"/>
        <v>0</v>
      </c>
      <c r="U1661" s="9" t="e">
        <f t="shared" si="77"/>
        <v>#DIV/0!</v>
      </c>
    </row>
    <row r="1662" spans="1:22" outlineLevel="2">
      <c r="A1662" t="s">
        <v>492</v>
      </c>
      <c r="B1662" t="s">
        <v>493</v>
      </c>
      <c r="C1662" t="s">
        <v>160</v>
      </c>
      <c r="D1662" t="s">
        <v>161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671.97</v>
      </c>
      <c r="N1662" s="4">
        <v>-671.97</v>
      </c>
      <c r="O1662" s="4">
        <v>0</v>
      </c>
      <c r="P1662" s="4">
        <v>0</v>
      </c>
      <c r="Q1662" s="4">
        <v>0</v>
      </c>
      <c r="S1662" s="8">
        <f t="shared" si="75"/>
        <v>0</v>
      </c>
      <c r="T1662" s="8">
        <f t="shared" si="76"/>
        <v>0</v>
      </c>
      <c r="U1662" s="9" t="e">
        <f t="shared" si="77"/>
        <v>#DIV/0!</v>
      </c>
    </row>
    <row r="1663" spans="1:22" outlineLevel="2">
      <c r="A1663" t="s">
        <v>492</v>
      </c>
      <c r="B1663" t="s">
        <v>493</v>
      </c>
      <c r="C1663" t="s">
        <v>51</v>
      </c>
      <c r="D1663" t="s">
        <v>52</v>
      </c>
      <c r="E1663" s="4">
        <v>0</v>
      </c>
      <c r="F1663" s="4">
        <v>0</v>
      </c>
      <c r="G1663" s="4">
        <v>0</v>
      </c>
      <c r="H1663" s="4">
        <v>0</v>
      </c>
      <c r="I1663" s="4">
        <v>0</v>
      </c>
      <c r="J1663" s="4">
        <v>0</v>
      </c>
      <c r="K1663" s="4">
        <v>0</v>
      </c>
      <c r="L1663" s="4">
        <v>0</v>
      </c>
      <c r="M1663" s="4">
        <v>0</v>
      </c>
      <c r="N1663" s="4">
        <v>0</v>
      </c>
      <c r="O1663" s="4">
        <v>0</v>
      </c>
      <c r="P1663" s="4">
        <v>0</v>
      </c>
      <c r="Q1663" s="4">
        <v>0</v>
      </c>
      <c r="S1663" s="8">
        <f t="shared" si="75"/>
        <v>0</v>
      </c>
      <c r="T1663" s="8">
        <f t="shared" si="76"/>
        <v>0</v>
      </c>
      <c r="U1663" s="9" t="e">
        <f t="shared" si="77"/>
        <v>#DIV/0!</v>
      </c>
    </row>
    <row r="1664" spans="1:22" outlineLevel="2">
      <c r="A1664" t="s">
        <v>492</v>
      </c>
      <c r="B1664" t="s">
        <v>493</v>
      </c>
      <c r="C1664" t="s">
        <v>164</v>
      </c>
      <c r="D1664" t="s">
        <v>165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70</v>
      </c>
      <c r="L1664" s="4">
        <v>-70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S1664" s="8">
        <f t="shared" si="75"/>
        <v>-11.666666666666666</v>
      </c>
      <c r="T1664" s="8">
        <f t="shared" si="76"/>
        <v>11.666666666666666</v>
      </c>
      <c r="U1664" s="9">
        <f t="shared" si="77"/>
        <v>-1</v>
      </c>
    </row>
    <row r="1665" spans="1:21" outlineLevel="2">
      <c r="A1665" t="s">
        <v>492</v>
      </c>
      <c r="B1665" t="s">
        <v>493</v>
      </c>
      <c r="C1665" t="s">
        <v>55</v>
      </c>
      <c r="D1665" t="s">
        <v>56</v>
      </c>
      <c r="E1665" s="4">
        <v>0</v>
      </c>
      <c r="F1665" s="4">
        <v>0</v>
      </c>
      <c r="G1665" s="4">
        <v>0</v>
      </c>
      <c r="H1665" s="4">
        <v>0</v>
      </c>
      <c r="I1665" s="4">
        <v>0</v>
      </c>
      <c r="J1665" s="4">
        <v>0</v>
      </c>
      <c r="K1665" s="4">
        <v>0</v>
      </c>
      <c r="L1665" s="4">
        <v>0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S1665" s="8">
        <f t="shared" si="75"/>
        <v>0</v>
      </c>
      <c r="T1665" s="8">
        <f t="shared" si="76"/>
        <v>0</v>
      </c>
      <c r="U1665" s="9" t="e">
        <f t="shared" si="77"/>
        <v>#DIV/0!</v>
      </c>
    </row>
    <row r="1666" spans="1:21" outlineLevel="2">
      <c r="A1666" t="s">
        <v>492</v>
      </c>
      <c r="B1666" t="s">
        <v>493</v>
      </c>
      <c r="C1666" t="s">
        <v>93</v>
      </c>
      <c r="D1666" t="s">
        <v>94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-5.0803805606847163E-13</v>
      </c>
      <c r="N1666" s="4">
        <v>0</v>
      </c>
      <c r="O1666" s="4">
        <v>0</v>
      </c>
      <c r="P1666" s="4">
        <v>0</v>
      </c>
      <c r="Q1666" s="4">
        <v>0</v>
      </c>
      <c r="S1666" s="8">
        <f t="shared" si="75"/>
        <v>-8.4673009344745268E-14</v>
      </c>
      <c r="T1666" s="8">
        <f t="shared" si="76"/>
        <v>8.4673009344745268E-14</v>
      </c>
      <c r="U1666" s="9">
        <f t="shared" si="77"/>
        <v>-1</v>
      </c>
    </row>
    <row r="1667" spans="1:21" outlineLevel="1">
      <c r="A1667" s="1" t="s">
        <v>800</v>
      </c>
      <c r="E1667" s="4">
        <f>SUBTOTAL(9,E1650:E1666)</f>
        <v>-2.8421709430404007E-13</v>
      </c>
      <c r="F1667" s="4">
        <f>SUBTOTAL(9,F1650:F1666)</f>
        <v>1286.5900000000011</v>
      </c>
      <c r="G1667" s="4">
        <f>SUBTOTAL(9,G1650:G1666)</f>
        <v>-1286.5900000000011</v>
      </c>
      <c r="H1667" s="4">
        <f>SUBTOTAL(9,H1650:H1666)</f>
        <v>-1.5347723092418164E-12</v>
      </c>
      <c r="I1667" s="4">
        <f>SUBTOTAL(9,I1650:I1666)</f>
        <v>2368.9799999999996</v>
      </c>
      <c r="J1667" s="4">
        <f>SUBTOTAL(9,J1650:J1666)</f>
        <v>1570.3000000000015</v>
      </c>
      <c r="K1667" s="4">
        <f>SUBTOTAL(9,K1650:K1666)</f>
        <v>27602.33</v>
      </c>
      <c r="L1667" s="4">
        <f>SUBTOTAL(9,L1650:L1666)</f>
        <v>-27602.329999999998</v>
      </c>
      <c r="M1667" s="4">
        <f>SUBTOTAL(9,M1650:M1666)</f>
        <v>-3251.5400000000004</v>
      </c>
      <c r="N1667" s="4">
        <f>SUBTOTAL(9,N1650:N1666)</f>
        <v>-687.74000000000012</v>
      </c>
      <c r="O1667" s="4">
        <f>SUBTOTAL(9,O1650:O1666)</f>
        <v>12.999999999997954</v>
      </c>
      <c r="P1667" s="4">
        <f>SUBTOTAL(9,P1650:P1666)</f>
        <v>-13.000000000001137</v>
      </c>
      <c r="Q1667" s="4">
        <f>SUBTOTAL(9,Q1650:Q1666)</f>
        <v>0</v>
      </c>
      <c r="R1667" s="4">
        <f>SUBTOTAL(9,R1650:R1666)</f>
        <v>0</v>
      </c>
      <c r="S1667" s="8">
        <f t="shared" ref="S1667:S1730" si="78">AVERAGE(L1667:Q1667)</f>
        <v>-5256.9350000000004</v>
      </c>
      <c r="T1667" s="8">
        <f t="shared" ref="T1667:T1730" si="79">R1667-S1667</f>
        <v>5256.9350000000004</v>
      </c>
      <c r="U1667" s="9">
        <f t="shared" ref="U1667:U1730" si="80">(R1667-S1667)/S1667</f>
        <v>-1</v>
      </c>
    </row>
    <row r="1668" spans="1:21" outlineLevel="2">
      <c r="A1668" t="s">
        <v>494</v>
      </c>
      <c r="B1668" t="s">
        <v>495</v>
      </c>
      <c r="C1668" t="s">
        <v>172</v>
      </c>
      <c r="D1668" t="s">
        <v>173</v>
      </c>
      <c r="E1668" s="4">
        <v>0</v>
      </c>
      <c r="F1668" s="4">
        <v>0</v>
      </c>
      <c r="G1668" s="4">
        <v>31.25</v>
      </c>
      <c r="H1668" s="4">
        <v>10.42</v>
      </c>
      <c r="I1668" s="4">
        <v>10.42</v>
      </c>
      <c r="J1668" s="4">
        <v>10.42</v>
      </c>
      <c r="K1668" s="4">
        <v>10.42</v>
      </c>
      <c r="L1668" s="4">
        <v>10.42</v>
      </c>
      <c r="M1668" s="4">
        <v>10.42</v>
      </c>
      <c r="N1668" s="4">
        <v>10.42</v>
      </c>
      <c r="O1668" s="4">
        <v>-10.42</v>
      </c>
      <c r="P1668" s="4">
        <v>0</v>
      </c>
      <c r="Q1668" s="4">
        <v>10.42</v>
      </c>
      <c r="S1668" s="8">
        <f t="shared" si="78"/>
        <v>5.21</v>
      </c>
      <c r="T1668" s="8">
        <f t="shared" si="79"/>
        <v>-5.21</v>
      </c>
      <c r="U1668" s="9">
        <f t="shared" si="80"/>
        <v>-1</v>
      </c>
    </row>
    <row r="1669" spans="1:21" outlineLevel="1">
      <c r="A1669" s="1" t="s">
        <v>801</v>
      </c>
      <c r="E1669" s="4">
        <f>SUBTOTAL(9,E1668:E1668)</f>
        <v>0</v>
      </c>
      <c r="F1669" s="4">
        <f>SUBTOTAL(9,F1668:F1668)</f>
        <v>0</v>
      </c>
      <c r="G1669" s="4">
        <f>SUBTOTAL(9,G1668:G1668)</f>
        <v>31.25</v>
      </c>
      <c r="H1669" s="4">
        <f>SUBTOTAL(9,H1668:H1668)</f>
        <v>10.42</v>
      </c>
      <c r="I1669" s="4">
        <f>SUBTOTAL(9,I1668:I1668)</f>
        <v>10.42</v>
      </c>
      <c r="J1669" s="4">
        <f>SUBTOTAL(9,J1668:J1668)</f>
        <v>10.42</v>
      </c>
      <c r="K1669" s="4">
        <f>SUBTOTAL(9,K1668:K1668)</f>
        <v>10.42</v>
      </c>
      <c r="L1669" s="4">
        <f>SUBTOTAL(9,L1668:L1668)</f>
        <v>10.42</v>
      </c>
      <c r="M1669" s="4">
        <f>SUBTOTAL(9,M1668:M1668)</f>
        <v>10.42</v>
      </c>
      <c r="N1669" s="4">
        <f>SUBTOTAL(9,N1668:N1668)</f>
        <v>10.42</v>
      </c>
      <c r="O1669" s="4">
        <f>SUBTOTAL(9,O1668:O1668)</f>
        <v>-10.42</v>
      </c>
      <c r="P1669" s="4">
        <f>SUBTOTAL(9,P1668:P1668)</f>
        <v>0</v>
      </c>
      <c r="Q1669" s="4">
        <f>SUBTOTAL(9,Q1668:Q1668)</f>
        <v>10.42</v>
      </c>
      <c r="R1669" s="4">
        <f>SUBTOTAL(9,R1668:R1668)</f>
        <v>0</v>
      </c>
      <c r="S1669" s="8">
        <f t="shared" si="78"/>
        <v>5.21</v>
      </c>
      <c r="T1669" s="8">
        <f t="shared" si="79"/>
        <v>-5.21</v>
      </c>
      <c r="U1669" s="9">
        <f t="shared" si="80"/>
        <v>-1</v>
      </c>
    </row>
    <row r="1670" spans="1:21" outlineLevel="2">
      <c r="A1670" t="s">
        <v>496</v>
      </c>
      <c r="B1670" t="s">
        <v>497</v>
      </c>
      <c r="C1670" t="s">
        <v>21</v>
      </c>
      <c r="D1670" t="s">
        <v>22</v>
      </c>
      <c r="E1670" s="4">
        <v>56.36</v>
      </c>
      <c r="F1670" s="4">
        <v>0</v>
      </c>
      <c r="G1670" s="4">
        <v>0</v>
      </c>
      <c r="H1670" s="4">
        <v>74.7</v>
      </c>
      <c r="I1670" s="4">
        <v>0</v>
      </c>
      <c r="J1670" s="4">
        <v>0</v>
      </c>
      <c r="K1670" s="4">
        <v>0</v>
      </c>
      <c r="L1670" s="4">
        <v>0</v>
      </c>
      <c r="M1670" s="4">
        <v>0</v>
      </c>
      <c r="N1670" s="4">
        <v>0</v>
      </c>
      <c r="O1670" s="4">
        <v>0</v>
      </c>
      <c r="P1670" s="4">
        <v>286.06</v>
      </c>
      <c r="Q1670" s="4">
        <v>0</v>
      </c>
      <c r="S1670" s="8">
        <f t="shared" si="78"/>
        <v>47.676666666666669</v>
      </c>
      <c r="T1670" s="8">
        <f t="shared" si="79"/>
        <v>-47.676666666666669</v>
      </c>
      <c r="U1670" s="9">
        <f t="shared" si="80"/>
        <v>-1</v>
      </c>
    </row>
    <row r="1671" spans="1:21" outlineLevel="2">
      <c r="A1671" t="s">
        <v>496</v>
      </c>
      <c r="B1671" t="s">
        <v>497</v>
      </c>
      <c r="C1671" t="s">
        <v>33</v>
      </c>
      <c r="D1671" t="s">
        <v>34</v>
      </c>
      <c r="E1671" s="4">
        <v>0</v>
      </c>
      <c r="F1671" s="4">
        <v>0</v>
      </c>
      <c r="G1671" s="4">
        <v>0</v>
      </c>
      <c r="H1671" s="4">
        <v>0</v>
      </c>
      <c r="I1671" s="4">
        <v>0</v>
      </c>
      <c r="J1671" s="4">
        <v>0</v>
      </c>
      <c r="K1671" s="4">
        <v>0</v>
      </c>
      <c r="L1671" s="4">
        <v>0</v>
      </c>
      <c r="M1671" s="4">
        <v>0</v>
      </c>
      <c r="N1671" s="4">
        <v>0</v>
      </c>
      <c r="O1671" s="4">
        <v>0</v>
      </c>
      <c r="P1671" s="4">
        <v>415</v>
      </c>
      <c r="Q1671" s="4">
        <v>0</v>
      </c>
      <c r="S1671" s="8">
        <f t="shared" si="78"/>
        <v>69.166666666666671</v>
      </c>
      <c r="T1671" s="8">
        <f t="shared" si="79"/>
        <v>-69.166666666666671</v>
      </c>
      <c r="U1671" s="9">
        <f t="shared" si="80"/>
        <v>-1</v>
      </c>
    </row>
    <row r="1672" spans="1:21" outlineLevel="2">
      <c r="A1672" t="s">
        <v>496</v>
      </c>
      <c r="B1672" t="s">
        <v>497</v>
      </c>
      <c r="C1672" t="s">
        <v>49</v>
      </c>
      <c r="D1672" t="s">
        <v>50</v>
      </c>
      <c r="E1672" s="4">
        <v>155</v>
      </c>
      <c r="F1672" s="4">
        <v>155</v>
      </c>
      <c r="G1672" s="4">
        <v>155</v>
      </c>
      <c r="H1672" s="4">
        <v>155</v>
      </c>
      <c r="I1672" s="4">
        <v>155</v>
      </c>
      <c r="J1672" s="4">
        <v>155</v>
      </c>
      <c r="K1672" s="4">
        <v>155</v>
      </c>
      <c r="L1672" s="4">
        <v>155</v>
      </c>
      <c r="M1672" s="4">
        <v>155</v>
      </c>
      <c r="N1672" s="4">
        <v>155</v>
      </c>
      <c r="O1672" s="4">
        <v>155</v>
      </c>
      <c r="P1672" s="4">
        <v>155</v>
      </c>
      <c r="Q1672" s="4">
        <v>155</v>
      </c>
      <c r="R1672" s="4">
        <v>155</v>
      </c>
      <c r="S1672" s="8">
        <f t="shared" si="78"/>
        <v>155</v>
      </c>
      <c r="T1672" s="8">
        <f t="shared" si="79"/>
        <v>0</v>
      </c>
      <c r="U1672" s="9">
        <f t="shared" si="80"/>
        <v>0</v>
      </c>
    </row>
    <row r="1673" spans="1:21" outlineLevel="2">
      <c r="A1673" t="s">
        <v>496</v>
      </c>
      <c r="B1673" t="s">
        <v>497</v>
      </c>
      <c r="C1673" t="s">
        <v>83</v>
      </c>
      <c r="D1673" t="s">
        <v>84</v>
      </c>
      <c r="E1673" s="4">
        <v>217.29</v>
      </c>
      <c r="F1673" s="4">
        <v>0</v>
      </c>
      <c r="G1673" s="4">
        <v>0</v>
      </c>
      <c r="H1673" s="4">
        <v>46.019999999999982</v>
      </c>
      <c r="I1673" s="4">
        <v>0</v>
      </c>
      <c r="J1673" s="4">
        <v>0</v>
      </c>
      <c r="K1673" s="4">
        <v>0</v>
      </c>
      <c r="L1673" s="4">
        <v>0</v>
      </c>
      <c r="M1673" s="4">
        <v>0</v>
      </c>
      <c r="N1673" s="4">
        <v>0</v>
      </c>
      <c r="O1673" s="4">
        <v>131.78</v>
      </c>
      <c r="P1673" s="4">
        <v>24.95</v>
      </c>
      <c r="Q1673" s="4">
        <v>0</v>
      </c>
      <c r="S1673" s="8">
        <f t="shared" si="78"/>
        <v>26.121666666666666</v>
      </c>
      <c r="T1673" s="8">
        <f t="shared" si="79"/>
        <v>-26.121666666666666</v>
      </c>
      <c r="U1673" s="9">
        <f t="shared" si="80"/>
        <v>-1</v>
      </c>
    </row>
    <row r="1674" spans="1:21" outlineLevel="2">
      <c r="A1674" t="s">
        <v>496</v>
      </c>
      <c r="B1674" t="s">
        <v>497</v>
      </c>
      <c r="C1674" t="s">
        <v>87</v>
      </c>
      <c r="D1674" t="s">
        <v>88</v>
      </c>
      <c r="E1674" s="4">
        <v>0</v>
      </c>
      <c r="F1674" s="4">
        <v>0</v>
      </c>
      <c r="G1674" s="4">
        <v>0</v>
      </c>
      <c r="H1674" s="4">
        <v>43.8</v>
      </c>
      <c r="I1674" s="4">
        <v>0</v>
      </c>
      <c r="J1674" s="4">
        <v>0</v>
      </c>
      <c r="K1674" s="4">
        <v>0</v>
      </c>
      <c r="L1674" s="4">
        <v>0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S1674" s="8">
        <f t="shared" si="78"/>
        <v>0</v>
      </c>
      <c r="T1674" s="8">
        <f t="shared" si="79"/>
        <v>0</v>
      </c>
      <c r="U1674" s="9" t="e">
        <f t="shared" si="80"/>
        <v>#DIV/0!</v>
      </c>
    </row>
    <row r="1675" spans="1:21" outlineLevel="2">
      <c r="A1675" t="s">
        <v>496</v>
      </c>
      <c r="B1675" t="s">
        <v>497</v>
      </c>
      <c r="C1675" t="s">
        <v>166</v>
      </c>
      <c r="D1675" t="s">
        <v>167</v>
      </c>
      <c r="E1675" s="4">
        <v>0</v>
      </c>
      <c r="F1675" s="4">
        <v>0</v>
      </c>
      <c r="G1675" s="4">
        <v>0</v>
      </c>
      <c r="H1675" s="4">
        <v>100</v>
      </c>
      <c r="I1675" s="4">
        <v>0</v>
      </c>
      <c r="J1675" s="4">
        <v>0</v>
      </c>
      <c r="K1675" s="4">
        <v>0</v>
      </c>
      <c r="L1675" s="4">
        <v>0</v>
      </c>
      <c r="M1675" s="4">
        <v>0</v>
      </c>
      <c r="N1675" s="4">
        <v>0</v>
      </c>
      <c r="O1675" s="4">
        <v>0</v>
      </c>
      <c r="P1675" s="4">
        <v>0</v>
      </c>
      <c r="Q1675" s="4">
        <v>100</v>
      </c>
      <c r="S1675" s="8">
        <f t="shared" si="78"/>
        <v>16.666666666666668</v>
      </c>
      <c r="T1675" s="8">
        <f t="shared" si="79"/>
        <v>-16.666666666666668</v>
      </c>
      <c r="U1675" s="9">
        <f t="shared" si="80"/>
        <v>-1</v>
      </c>
    </row>
    <row r="1676" spans="1:21" outlineLevel="1">
      <c r="A1676" s="1" t="s">
        <v>802</v>
      </c>
      <c r="E1676" s="4">
        <f>SUBTOTAL(9,E1670:E1675)</f>
        <v>428.65</v>
      </c>
      <c r="F1676" s="4">
        <f>SUBTOTAL(9,F1670:F1675)</f>
        <v>155</v>
      </c>
      <c r="G1676" s="4">
        <f>SUBTOTAL(9,G1670:G1675)</f>
        <v>155</v>
      </c>
      <c r="H1676" s="4">
        <f>SUBTOTAL(9,H1670:H1675)</f>
        <v>419.52</v>
      </c>
      <c r="I1676" s="4">
        <f>SUBTOTAL(9,I1670:I1675)</f>
        <v>155</v>
      </c>
      <c r="J1676" s="4">
        <f>SUBTOTAL(9,J1670:J1675)</f>
        <v>155</v>
      </c>
      <c r="K1676" s="4">
        <f>SUBTOTAL(9,K1670:K1675)</f>
        <v>155</v>
      </c>
      <c r="L1676" s="4">
        <f>SUBTOTAL(9,L1670:L1675)</f>
        <v>155</v>
      </c>
      <c r="M1676" s="4">
        <f>SUBTOTAL(9,M1670:M1675)</f>
        <v>155</v>
      </c>
      <c r="N1676" s="4">
        <f>SUBTOTAL(9,N1670:N1675)</f>
        <v>155</v>
      </c>
      <c r="O1676" s="4">
        <f>SUBTOTAL(9,O1670:O1675)</f>
        <v>286.77999999999997</v>
      </c>
      <c r="P1676" s="4">
        <f>SUBTOTAL(9,P1670:P1675)</f>
        <v>881.01</v>
      </c>
      <c r="Q1676" s="4">
        <f>SUBTOTAL(9,Q1670:Q1675)</f>
        <v>255</v>
      </c>
      <c r="R1676" s="4">
        <f>SUBTOTAL(9,R1670:R1675)</f>
        <v>155</v>
      </c>
      <c r="S1676" s="8">
        <f t="shared" si="78"/>
        <v>314.63166666666666</v>
      </c>
      <c r="T1676" s="8">
        <f t="shared" si="79"/>
        <v>-159.63166666666666</v>
      </c>
      <c r="U1676" s="9">
        <f t="shared" si="80"/>
        <v>-0.50736045852557754</v>
      </c>
    </row>
    <row r="1677" spans="1:21" outlineLevel="2">
      <c r="A1677" t="s">
        <v>498</v>
      </c>
      <c r="B1677" t="s">
        <v>499</v>
      </c>
      <c r="C1677" t="s">
        <v>19</v>
      </c>
      <c r="D1677" t="s">
        <v>20</v>
      </c>
      <c r="E1677" s="4">
        <v>0</v>
      </c>
      <c r="F1677" s="4">
        <v>1554.06</v>
      </c>
      <c r="G1677" s="4">
        <v>3699.86</v>
      </c>
      <c r="H1677" s="4">
        <v>-22.450000000000003</v>
      </c>
      <c r="I1677" s="4">
        <v>0</v>
      </c>
      <c r="J1677" s="4">
        <v>0</v>
      </c>
      <c r="K1677" s="4">
        <v>0</v>
      </c>
      <c r="L1677" s="4">
        <v>0</v>
      </c>
      <c r="M1677" s="4">
        <v>0</v>
      </c>
      <c r="N1677" s="4">
        <v>0</v>
      </c>
      <c r="O1677" s="4">
        <v>1416</v>
      </c>
      <c r="P1677" s="4">
        <v>-1416</v>
      </c>
      <c r="Q1677" s="4">
        <v>0</v>
      </c>
      <c r="S1677" s="8">
        <f t="shared" si="78"/>
        <v>0</v>
      </c>
      <c r="T1677" s="8">
        <f t="shared" si="79"/>
        <v>0</v>
      </c>
      <c r="U1677" s="9" t="e">
        <f t="shared" si="80"/>
        <v>#DIV/0!</v>
      </c>
    </row>
    <row r="1678" spans="1:21" outlineLevel="2">
      <c r="A1678" t="s">
        <v>498</v>
      </c>
      <c r="B1678" t="s">
        <v>499</v>
      </c>
      <c r="C1678" t="s">
        <v>148</v>
      </c>
      <c r="D1678" t="s">
        <v>149</v>
      </c>
      <c r="E1678" s="4">
        <v>10.35</v>
      </c>
      <c r="F1678" s="4">
        <v>399.97</v>
      </c>
      <c r="G1678" s="4">
        <v>17.850000000000001</v>
      </c>
      <c r="H1678" s="4">
        <v>118.05000000000001</v>
      </c>
      <c r="I1678" s="4">
        <v>78.239999999999995</v>
      </c>
      <c r="J1678" s="4">
        <v>0</v>
      </c>
      <c r="K1678" s="4">
        <v>67.79000000000002</v>
      </c>
      <c r="L1678" s="4">
        <v>0</v>
      </c>
      <c r="M1678" s="4">
        <v>109.52000000000002</v>
      </c>
      <c r="N1678" s="4">
        <v>0</v>
      </c>
      <c r="O1678" s="4">
        <v>-1.7763568394002505E-15</v>
      </c>
      <c r="P1678" s="4">
        <v>1.7597034940308731E-14</v>
      </c>
      <c r="Q1678" s="4">
        <v>0</v>
      </c>
      <c r="R1678" s="4">
        <v>37.22</v>
      </c>
      <c r="S1678" s="8">
        <f t="shared" si="78"/>
        <v>18.253333333333341</v>
      </c>
      <c r="T1678" s="8">
        <f t="shared" si="79"/>
        <v>18.966666666666658</v>
      </c>
      <c r="U1678" s="9">
        <f t="shared" si="80"/>
        <v>1.0390796201607004</v>
      </c>
    </row>
    <row r="1679" spans="1:21" outlineLevel="2">
      <c r="A1679" t="s">
        <v>498</v>
      </c>
      <c r="B1679" t="s">
        <v>499</v>
      </c>
      <c r="C1679" t="s">
        <v>47</v>
      </c>
      <c r="D1679" t="s">
        <v>48</v>
      </c>
      <c r="E1679" s="4">
        <v>0</v>
      </c>
      <c r="F1679" s="4">
        <v>0</v>
      </c>
      <c r="G1679" s="4">
        <v>0</v>
      </c>
      <c r="H1679" s="4">
        <v>2.2737367544323206E-13</v>
      </c>
      <c r="I1679" s="4">
        <v>0</v>
      </c>
      <c r="J1679" s="4">
        <v>0</v>
      </c>
      <c r="K1679" s="4">
        <v>0</v>
      </c>
      <c r="L1679" s="4">
        <v>0</v>
      </c>
      <c r="M1679" s="4">
        <v>0</v>
      </c>
      <c r="N1679" s="4">
        <v>0</v>
      </c>
      <c r="O1679" s="4">
        <v>0</v>
      </c>
      <c r="P1679" s="4">
        <v>0</v>
      </c>
      <c r="Q1679" s="4">
        <v>0</v>
      </c>
      <c r="S1679" s="8">
        <f t="shared" si="78"/>
        <v>0</v>
      </c>
      <c r="T1679" s="8">
        <f t="shared" si="79"/>
        <v>0</v>
      </c>
      <c r="U1679" s="9" t="e">
        <f t="shared" si="80"/>
        <v>#DIV/0!</v>
      </c>
    </row>
    <row r="1680" spans="1:21" outlineLevel="2">
      <c r="A1680" t="s">
        <v>498</v>
      </c>
      <c r="B1680" t="s">
        <v>499</v>
      </c>
      <c r="C1680" t="s">
        <v>49</v>
      </c>
      <c r="D1680" t="s">
        <v>50</v>
      </c>
      <c r="E1680" s="4">
        <v>1032.5</v>
      </c>
      <c r="F1680" s="4">
        <v>989.5</v>
      </c>
      <c r="G1680" s="4">
        <v>989.5</v>
      </c>
      <c r="H1680" s="4">
        <v>-4340.03</v>
      </c>
      <c r="I1680" s="4">
        <v>989.5</v>
      </c>
      <c r="J1680" s="4">
        <v>989.5</v>
      </c>
      <c r="K1680" s="4">
        <v>989.5</v>
      </c>
      <c r="L1680" s="4">
        <v>989.5</v>
      </c>
      <c r="M1680" s="4">
        <v>989.5</v>
      </c>
      <c r="N1680" s="4">
        <v>0</v>
      </c>
      <c r="O1680" s="4">
        <v>0</v>
      </c>
      <c r="P1680" s="4">
        <v>0</v>
      </c>
      <c r="Q1680" s="4">
        <v>0</v>
      </c>
      <c r="S1680" s="8">
        <f t="shared" si="78"/>
        <v>329.83333333333331</v>
      </c>
      <c r="T1680" s="8">
        <f t="shared" si="79"/>
        <v>-329.83333333333331</v>
      </c>
      <c r="U1680" s="9">
        <f t="shared" si="80"/>
        <v>-1</v>
      </c>
    </row>
    <row r="1681" spans="1:21" outlineLevel="2">
      <c r="A1681" t="s">
        <v>498</v>
      </c>
      <c r="B1681" t="s">
        <v>499</v>
      </c>
      <c r="C1681" t="s">
        <v>51</v>
      </c>
      <c r="D1681" t="s">
        <v>52</v>
      </c>
      <c r="E1681" s="4">
        <v>0</v>
      </c>
      <c r="F1681" s="4">
        <v>105</v>
      </c>
      <c r="G1681" s="4">
        <v>0</v>
      </c>
      <c r="H1681" s="4">
        <v>2250</v>
      </c>
      <c r="I1681" s="4">
        <v>0</v>
      </c>
      <c r="J1681" s="4">
        <v>0</v>
      </c>
      <c r="K1681" s="4">
        <v>0</v>
      </c>
      <c r="L1681" s="4">
        <v>0</v>
      </c>
      <c r="M1681" s="4">
        <v>0</v>
      </c>
      <c r="N1681" s="4">
        <v>0</v>
      </c>
      <c r="O1681" s="4">
        <v>0</v>
      </c>
      <c r="P1681" s="4">
        <v>0</v>
      </c>
      <c r="Q1681" s="4">
        <v>0</v>
      </c>
      <c r="S1681" s="8">
        <f t="shared" si="78"/>
        <v>0</v>
      </c>
      <c r="T1681" s="8">
        <f t="shared" si="79"/>
        <v>0</v>
      </c>
      <c r="U1681" s="9" t="e">
        <f t="shared" si="80"/>
        <v>#DIV/0!</v>
      </c>
    </row>
    <row r="1682" spans="1:21" outlineLevel="2">
      <c r="A1682" t="s">
        <v>498</v>
      </c>
      <c r="B1682" t="s">
        <v>499</v>
      </c>
      <c r="C1682" t="s">
        <v>59</v>
      </c>
      <c r="D1682" t="s">
        <v>60</v>
      </c>
      <c r="E1682" s="4">
        <v>0</v>
      </c>
      <c r="F1682" s="4">
        <v>289.74</v>
      </c>
      <c r="G1682" s="4">
        <v>7.5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S1682" s="8">
        <f t="shared" si="78"/>
        <v>0</v>
      </c>
      <c r="T1682" s="8">
        <f t="shared" si="79"/>
        <v>0</v>
      </c>
      <c r="U1682" s="9" t="e">
        <f t="shared" si="80"/>
        <v>#DIV/0!</v>
      </c>
    </row>
    <row r="1683" spans="1:21" outlineLevel="2">
      <c r="A1683" t="s">
        <v>498</v>
      </c>
      <c r="B1683" t="s">
        <v>499</v>
      </c>
      <c r="C1683" t="s">
        <v>83</v>
      </c>
      <c r="D1683" t="s">
        <v>84</v>
      </c>
      <c r="E1683" s="4">
        <v>0</v>
      </c>
      <c r="F1683" s="4">
        <v>0</v>
      </c>
      <c r="G1683" s="4">
        <v>0</v>
      </c>
      <c r="H1683" s="4">
        <v>12.979999999999995</v>
      </c>
      <c r="I1683" s="4">
        <v>35.68</v>
      </c>
      <c r="J1683" s="4">
        <v>0</v>
      </c>
      <c r="K1683" s="4">
        <v>0</v>
      </c>
      <c r="L1683" s="4">
        <v>0</v>
      </c>
      <c r="M1683" s="4">
        <v>0</v>
      </c>
      <c r="N1683" s="4">
        <v>2.6645352591003757E-15</v>
      </c>
      <c r="O1683" s="4">
        <v>0</v>
      </c>
      <c r="P1683" s="4">
        <v>0</v>
      </c>
      <c r="Q1683" s="4">
        <v>0</v>
      </c>
      <c r="S1683" s="8">
        <f t="shared" si="78"/>
        <v>4.4408920985006262E-16</v>
      </c>
      <c r="T1683" s="8">
        <f t="shared" si="79"/>
        <v>-4.4408920985006262E-16</v>
      </c>
      <c r="U1683" s="9">
        <f t="shared" si="80"/>
        <v>-1</v>
      </c>
    </row>
    <row r="1684" spans="1:21" outlineLevel="2">
      <c r="A1684" t="s">
        <v>498</v>
      </c>
      <c r="B1684" t="s">
        <v>499</v>
      </c>
      <c r="C1684" t="s">
        <v>182</v>
      </c>
      <c r="D1684" t="s">
        <v>183</v>
      </c>
      <c r="E1684" s="4">
        <v>0</v>
      </c>
      <c r="F1684" s="4">
        <v>0</v>
      </c>
      <c r="G1684" s="4">
        <v>281.75</v>
      </c>
      <c r="H1684" s="4">
        <v>1.8699999999999974</v>
      </c>
      <c r="I1684" s="4">
        <v>339.25</v>
      </c>
      <c r="J1684" s="4">
        <v>0</v>
      </c>
      <c r="K1684" s="4">
        <v>598</v>
      </c>
      <c r="L1684" s="4">
        <v>0</v>
      </c>
      <c r="M1684" s="4">
        <v>580</v>
      </c>
      <c r="N1684" s="4">
        <v>0</v>
      </c>
      <c r="O1684" s="4">
        <v>0</v>
      </c>
      <c r="P1684" s="4">
        <v>0</v>
      </c>
      <c r="Q1684" s="4">
        <v>0</v>
      </c>
      <c r="S1684" s="8">
        <f t="shared" si="78"/>
        <v>96.666666666666671</v>
      </c>
      <c r="T1684" s="8">
        <f t="shared" si="79"/>
        <v>-96.666666666666671</v>
      </c>
      <c r="U1684" s="9">
        <f t="shared" si="80"/>
        <v>-1</v>
      </c>
    </row>
    <row r="1685" spans="1:21" outlineLevel="2">
      <c r="A1685" t="s">
        <v>498</v>
      </c>
      <c r="B1685" t="s">
        <v>499</v>
      </c>
      <c r="C1685" t="s">
        <v>91</v>
      </c>
      <c r="D1685" t="s">
        <v>92</v>
      </c>
      <c r="E1685" s="4">
        <v>0</v>
      </c>
      <c r="F1685" s="4">
        <v>0</v>
      </c>
      <c r="G1685" s="4">
        <v>0</v>
      </c>
      <c r="H1685" s="4">
        <v>2.8900000000000041</v>
      </c>
      <c r="I1685" s="4">
        <v>0</v>
      </c>
      <c r="J1685" s="4">
        <v>0</v>
      </c>
      <c r="K1685" s="4">
        <v>0</v>
      </c>
      <c r="L1685" s="4">
        <v>0</v>
      </c>
      <c r="M1685" s="4">
        <v>0</v>
      </c>
      <c r="N1685" s="4">
        <v>0</v>
      </c>
      <c r="O1685" s="4">
        <v>0</v>
      </c>
      <c r="P1685" s="4">
        <v>0</v>
      </c>
      <c r="Q1685" s="4">
        <v>0</v>
      </c>
      <c r="S1685" s="8">
        <f t="shared" si="78"/>
        <v>0</v>
      </c>
      <c r="T1685" s="8">
        <f t="shared" si="79"/>
        <v>0</v>
      </c>
      <c r="U1685" s="9" t="e">
        <f t="shared" si="80"/>
        <v>#DIV/0!</v>
      </c>
    </row>
    <row r="1686" spans="1:21" outlineLevel="2">
      <c r="A1686" t="s">
        <v>498</v>
      </c>
      <c r="B1686" t="s">
        <v>499</v>
      </c>
      <c r="C1686" t="s">
        <v>93</v>
      </c>
      <c r="D1686" t="s">
        <v>94</v>
      </c>
      <c r="E1686" s="4">
        <v>0</v>
      </c>
      <c r="F1686" s="4">
        <v>0</v>
      </c>
      <c r="G1686" s="4">
        <v>0</v>
      </c>
      <c r="H1686" s="4">
        <v>7.0900000000000034</v>
      </c>
      <c r="I1686" s="4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S1686" s="8">
        <f t="shared" si="78"/>
        <v>0</v>
      </c>
      <c r="T1686" s="8">
        <f t="shared" si="79"/>
        <v>0</v>
      </c>
      <c r="U1686" s="9" t="e">
        <f t="shared" si="80"/>
        <v>#DIV/0!</v>
      </c>
    </row>
    <row r="1687" spans="1:21" outlineLevel="2">
      <c r="A1687" t="s">
        <v>498</v>
      </c>
      <c r="B1687" t="s">
        <v>499</v>
      </c>
      <c r="C1687" t="s">
        <v>99</v>
      </c>
      <c r="D1687" t="s">
        <v>100</v>
      </c>
      <c r="E1687" s="4">
        <v>0</v>
      </c>
      <c r="F1687" s="4">
        <v>0</v>
      </c>
      <c r="G1687" s="4">
        <v>0</v>
      </c>
      <c r="H1687" s="4">
        <v>7788.6100000000006</v>
      </c>
      <c r="I1687" s="4">
        <v>3505.73</v>
      </c>
      <c r="J1687" s="4">
        <v>0</v>
      </c>
      <c r="K1687" s="4">
        <v>15535.07</v>
      </c>
      <c r="L1687" s="4">
        <v>0</v>
      </c>
      <c r="M1687" s="4">
        <v>4920.7299999999996</v>
      </c>
      <c r="N1687" s="4">
        <v>0</v>
      </c>
      <c r="O1687" s="4">
        <v>0</v>
      </c>
      <c r="P1687" s="4">
        <v>0</v>
      </c>
      <c r="Q1687" s="4">
        <v>0</v>
      </c>
      <c r="R1687" s="4">
        <v>9853.33</v>
      </c>
      <c r="S1687" s="8">
        <f t="shared" si="78"/>
        <v>820.12166666666656</v>
      </c>
      <c r="T1687" s="8">
        <f t="shared" si="79"/>
        <v>9033.2083333333339</v>
      </c>
      <c r="U1687" s="9">
        <f t="shared" si="80"/>
        <v>11.014473462270844</v>
      </c>
    </row>
    <row r="1688" spans="1:21" outlineLevel="2">
      <c r="A1688" t="s">
        <v>498</v>
      </c>
      <c r="B1688" t="s">
        <v>499</v>
      </c>
      <c r="C1688" t="s">
        <v>101</v>
      </c>
      <c r="D1688" t="s">
        <v>102</v>
      </c>
      <c r="E1688" s="4">
        <v>23516.84</v>
      </c>
      <c r="F1688" s="4">
        <v>77138.34</v>
      </c>
      <c r="G1688" s="4">
        <v>2.0372681319713593E-10</v>
      </c>
      <c r="H1688" s="4">
        <v>-27757.42</v>
      </c>
      <c r="I1688" s="4">
        <v>33694.5</v>
      </c>
      <c r="J1688" s="4">
        <v>52076.65</v>
      </c>
      <c r="K1688" s="4">
        <v>66617.510000000009</v>
      </c>
      <c r="L1688" s="4">
        <v>-79991.160000000047</v>
      </c>
      <c r="M1688" s="4">
        <v>95836.590000000011</v>
      </c>
      <c r="N1688" s="4">
        <v>-71185.189999999988</v>
      </c>
      <c r="O1688" s="4">
        <v>0</v>
      </c>
      <c r="P1688" s="4">
        <v>3.637978807091713E-12</v>
      </c>
      <c r="Q1688" s="4">
        <v>0</v>
      </c>
      <c r="R1688" s="4">
        <v>15776.5</v>
      </c>
      <c r="S1688" s="8">
        <f t="shared" si="78"/>
        <v>-9223.2933333333367</v>
      </c>
      <c r="T1688" s="8">
        <f t="shared" si="79"/>
        <v>24999.793333333335</v>
      </c>
      <c r="U1688" s="9">
        <f t="shared" si="80"/>
        <v>-2.7105061532612349</v>
      </c>
    </row>
    <row r="1689" spans="1:21" outlineLevel="1">
      <c r="A1689" s="1" t="s">
        <v>803</v>
      </c>
      <c r="E1689" s="4">
        <f>SUBTOTAL(9,E1677:E1688)</f>
        <v>24559.69</v>
      </c>
      <c r="F1689" s="4">
        <f>SUBTOTAL(9,F1677:F1688)</f>
        <v>80476.61</v>
      </c>
      <c r="G1689" s="4">
        <f>SUBTOTAL(9,G1677:G1688)</f>
        <v>4996.4600000002038</v>
      </c>
      <c r="H1689" s="4">
        <f>SUBTOTAL(9,H1677:H1688)</f>
        <v>-21938.409999999996</v>
      </c>
      <c r="I1689" s="4">
        <f>SUBTOTAL(9,I1677:I1688)</f>
        <v>38642.9</v>
      </c>
      <c r="J1689" s="4">
        <f>SUBTOTAL(9,J1677:J1688)</f>
        <v>53066.15</v>
      </c>
      <c r="K1689" s="4">
        <f>SUBTOTAL(9,K1677:K1688)</f>
        <v>83807.87000000001</v>
      </c>
      <c r="L1689" s="4">
        <f>SUBTOTAL(9,L1677:L1688)</f>
        <v>-79001.660000000047</v>
      </c>
      <c r="M1689" s="4">
        <f>SUBTOTAL(9,M1677:M1688)</f>
        <v>102436.34000000001</v>
      </c>
      <c r="N1689" s="4">
        <f>SUBTOTAL(9,N1677:N1688)</f>
        <v>-71185.189999999988</v>
      </c>
      <c r="O1689" s="4">
        <f>SUBTOTAL(9,O1677:O1688)</f>
        <v>1416</v>
      </c>
      <c r="P1689" s="4">
        <f>SUBTOTAL(9,P1677:P1688)</f>
        <v>-1415.9999999999964</v>
      </c>
      <c r="Q1689" s="4">
        <f>SUBTOTAL(9,Q1677:Q1688)</f>
        <v>0</v>
      </c>
      <c r="R1689" s="4">
        <f>SUBTOTAL(9,R1677:R1688)</f>
        <v>25667.05</v>
      </c>
      <c r="S1689" s="8">
        <f t="shared" si="78"/>
        <v>-7958.4183333333376</v>
      </c>
      <c r="T1689" s="8">
        <f t="shared" si="79"/>
        <v>33625.468333333338</v>
      </c>
      <c r="U1689" s="9">
        <f t="shared" si="80"/>
        <v>-4.225144611020907</v>
      </c>
    </row>
    <row r="1690" spans="1:21" outlineLevel="2">
      <c r="A1690" t="s">
        <v>500</v>
      </c>
      <c r="B1690" t="s">
        <v>501</v>
      </c>
      <c r="C1690" t="s">
        <v>99</v>
      </c>
      <c r="D1690" t="s">
        <v>100</v>
      </c>
      <c r="E1690" s="4">
        <v>0</v>
      </c>
      <c r="F1690" s="4">
        <v>4119.3599999999997</v>
      </c>
      <c r="G1690" s="4">
        <v>4352.3600000000006</v>
      </c>
      <c r="H1690" s="4">
        <v>1367.71</v>
      </c>
      <c r="I1690" s="4">
        <v>0</v>
      </c>
      <c r="J1690" s="4">
        <v>0</v>
      </c>
      <c r="K1690" s="4">
        <v>684.72</v>
      </c>
      <c r="L1690" s="4">
        <v>0</v>
      </c>
      <c r="M1690" s="4">
        <v>1680.98</v>
      </c>
      <c r="N1690" s="4">
        <v>0</v>
      </c>
      <c r="O1690" s="4">
        <v>0</v>
      </c>
      <c r="P1690" s="4">
        <v>0</v>
      </c>
      <c r="Q1690" s="4">
        <v>0</v>
      </c>
      <c r="S1690" s="8">
        <f t="shared" si="78"/>
        <v>280.16333333333336</v>
      </c>
      <c r="T1690" s="8">
        <f t="shared" si="79"/>
        <v>-280.16333333333336</v>
      </c>
      <c r="U1690" s="9">
        <f t="shared" si="80"/>
        <v>-1</v>
      </c>
    </row>
    <row r="1691" spans="1:21" outlineLevel="1">
      <c r="A1691" s="1" t="s">
        <v>804</v>
      </c>
      <c r="E1691" s="4">
        <f>SUBTOTAL(9,E1690:E1690)</f>
        <v>0</v>
      </c>
      <c r="F1691" s="4">
        <f>SUBTOTAL(9,F1690:F1690)</f>
        <v>4119.3599999999997</v>
      </c>
      <c r="G1691" s="4">
        <f>SUBTOTAL(9,G1690:G1690)</f>
        <v>4352.3600000000006</v>
      </c>
      <c r="H1691" s="4">
        <f>SUBTOTAL(9,H1690:H1690)</f>
        <v>1367.71</v>
      </c>
      <c r="I1691" s="4">
        <f>SUBTOTAL(9,I1690:I1690)</f>
        <v>0</v>
      </c>
      <c r="J1691" s="4">
        <f>SUBTOTAL(9,J1690:J1690)</f>
        <v>0</v>
      </c>
      <c r="K1691" s="4">
        <f>SUBTOTAL(9,K1690:K1690)</f>
        <v>684.72</v>
      </c>
      <c r="L1691" s="4">
        <f>SUBTOTAL(9,L1690:L1690)</f>
        <v>0</v>
      </c>
      <c r="M1691" s="4">
        <f>SUBTOTAL(9,M1690:M1690)</f>
        <v>1680.98</v>
      </c>
      <c r="N1691" s="4">
        <f>SUBTOTAL(9,N1690:N1690)</f>
        <v>0</v>
      </c>
      <c r="O1691" s="4">
        <f>SUBTOTAL(9,O1690:O1690)</f>
        <v>0</v>
      </c>
      <c r="P1691" s="4">
        <f>SUBTOTAL(9,P1690:P1690)</f>
        <v>0</v>
      </c>
      <c r="Q1691" s="4">
        <f>SUBTOTAL(9,Q1690:Q1690)</f>
        <v>0</v>
      </c>
      <c r="R1691" s="4">
        <f>SUBTOTAL(9,R1690:R1690)</f>
        <v>0</v>
      </c>
      <c r="S1691" s="8">
        <f t="shared" si="78"/>
        <v>280.16333333333336</v>
      </c>
      <c r="T1691" s="8">
        <f t="shared" si="79"/>
        <v>-280.16333333333336</v>
      </c>
      <c r="U1691" s="9">
        <f t="shared" si="80"/>
        <v>-1</v>
      </c>
    </row>
    <row r="1692" spans="1:21" outlineLevel="2">
      <c r="A1692" t="s">
        <v>502</v>
      </c>
      <c r="B1692" t="s">
        <v>448</v>
      </c>
      <c r="C1692" t="s">
        <v>19</v>
      </c>
      <c r="D1692" t="s">
        <v>20</v>
      </c>
      <c r="E1692" s="4">
        <v>0</v>
      </c>
      <c r="F1692" s="4">
        <v>0</v>
      </c>
      <c r="G1692" s="4">
        <v>5674.9</v>
      </c>
      <c r="H1692" s="4">
        <v>0</v>
      </c>
      <c r="I1692" s="4">
        <v>0</v>
      </c>
      <c r="J1692" s="4">
        <v>0</v>
      </c>
      <c r="K1692" s="4">
        <v>0</v>
      </c>
      <c r="L1692" s="4">
        <v>0</v>
      </c>
      <c r="M1692" s="4">
        <v>-7486.92</v>
      </c>
      <c r="N1692" s="4">
        <v>0</v>
      </c>
      <c r="O1692" s="4">
        <v>0</v>
      </c>
      <c r="P1692" s="4">
        <v>0</v>
      </c>
      <c r="Q1692" s="4">
        <v>0</v>
      </c>
      <c r="S1692" s="8">
        <f t="shared" si="78"/>
        <v>-1247.82</v>
      </c>
      <c r="T1692" s="8">
        <f t="shared" si="79"/>
        <v>1247.82</v>
      </c>
      <c r="U1692" s="9">
        <f t="shared" si="80"/>
        <v>-1</v>
      </c>
    </row>
    <row r="1693" spans="1:21" outlineLevel="2">
      <c r="A1693" t="s">
        <v>502</v>
      </c>
      <c r="B1693" t="s">
        <v>448</v>
      </c>
      <c r="C1693" t="s">
        <v>59</v>
      </c>
      <c r="D1693" t="s">
        <v>60</v>
      </c>
      <c r="E1693" s="4">
        <v>0</v>
      </c>
      <c r="F1693" s="4">
        <v>0</v>
      </c>
      <c r="G1693" s="4">
        <v>0</v>
      </c>
      <c r="H1693" s="4">
        <v>0</v>
      </c>
      <c r="I1693" s="4">
        <v>0</v>
      </c>
      <c r="J1693" s="4">
        <v>0</v>
      </c>
      <c r="K1693" s="4">
        <v>0</v>
      </c>
      <c r="L1693" s="4">
        <v>0</v>
      </c>
      <c r="M1693" s="4">
        <v>0</v>
      </c>
      <c r="N1693" s="4">
        <v>-2137.98</v>
      </c>
      <c r="O1693" s="4">
        <v>0</v>
      </c>
      <c r="P1693" s="4">
        <v>0</v>
      </c>
      <c r="Q1693" s="4">
        <v>0</v>
      </c>
      <c r="S1693" s="8">
        <f t="shared" si="78"/>
        <v>-356.33</v>
      </c>
      <c r="T1693" s="8">
        <f t="shared" si="79"/>
        <v>356.33</v>
      </c>
      <c r="U1693" s="9">
        <f t="shared" si="80"/>
        <v>-1</v>
      </c>
    </row>
    <row r="1694" spans="1:21" outlineLevel="2">
      <c r="A1694" t="s">
        <v>502</v>
      </c>
      <c r="B1694" t="s">
        <v>448</v>
      </c>
      <c r="C1694" t="s">
        <v>503</v>
      </c>
      <c r="D1694" t="s">
        <v>504</v>
      </c>
      <c r="E1694" s="4">
        <v>0</v>
      </c>
      <c r="F1694" s="4">
        <v>0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62.65</v>
      </c>
      <c r="N1694" s="4">
        <v>35.76</v>
      </c>
      <c r="O1694" s="4">
        <v>0</v>
      </c>
      <c r="P1694" s="4">
        <v>0</v>
      </c>
      <c r="Q1694" s="4">
        <v>0</v>
      </c>
      <c r="S1694" s="8">
        <f t="shared" si="78"/>
        <v>16.401666666666667</v>
      </c>
      <c r="T1694" s="8">
        <f t="shared" si="79"/>
        <v>-16.401666666666667</v>
      </c>
      <c r="U1694" s="9">
        <f t="shared" si="80"/>
        <v>-1</v>
      </c>
    </row>
    <row r="1695" spans="1:21" outlineLevel="2">
      <c r="A1695" t="s">
        <v>502</v>
      </c>
      <c r="B1695" t="s">
        <v>448</v>
      </c>
      <c r="C1695" t="s">
        <v>101</v>
      </c>
      <c r="D1695" t="s">
        <v>102</v>
      </c>
      <c r="E1695" s="4">
        <v>0</v>
      </c>
      <c r="F1695" s="4">
        <v>0</v>
      </c>
      <c r="G1695" s="4">
        <v>0</v>
      </c>
      <c r="H1695" s="4">
        <v>0</v>
      </c>
      <c r="I1695" s="4">
        <v>0</v>
      </c>
      <c r="J1695" s="4">
        <v>0</v>
      </c>
      <c r="K1695" s="4">
        <v>0</v>
      </c>
      <c r="L1695" s="4">
        <v>0</v>
      </c>
      <c r="M1695" s="4">
        <v>0</v>
      </c>
      <c r="N1695" s="4">
        <v>12846.63</v>
      </c>
      <c r="O1695" s="4">
        <v>0</v>
      </c>
      <c r="P1695" s="4">
        <v>0</v>
      </c>
      <c r="Q1695" s="4">
        <v>0</v>
      </c>
      <c r="S1695" s="8">
        <f t="shared" si="78"/>
        <v>2141.105</v>
      </c>
      <c r="T1695" s="8">
        <f t="shared" si="79"/>
        <v>-2141.105</v>
      </c>
      <c r="U1695" s="9">
        <f t="shared" si="80"/>
        <v>-1</v>
      </c>
    </row>
    <row r="1696" spans="1:21" outlineLevel="1">
      <c r="A1696" s="1" t="s">
        <v>805</v>
      </c>
      <c r="E1696" s="4">
        <f>SUBTOTAL(9,E1692:E1695)</f>
        <v>0</v>
      </c>
      <c r="F1696" s="4">
        <f>SUBTOTAL(9,F1692:F1695)</f>
        <v>0</v>
      </c>
      <c r="G1696" s="4">
        <f>SUBTOTAL(9,G1692:G1695)</f>
        <v>5674.9</v>
      </c>
      <c r="H1696" s="4">
        <f>SUBTOTAL(9,H1692:H1695)</f>
        <v>0</v>
      </c>
      <c r="I1696" s="4">
        <f>SUBTOTAL(9,I1692:I1695)</f>
        <v>0</v>
      </c>
      <c r="J1696" s="4">
        <f>SUBTOTAL(9,J1692:J1695)</f>
        <v>0</v>
      </c>
      <c r="K1696" s="4">
        <f>SUBTOTAL(9,K1692:K1695)</f>
        <v>0</v>
      </c>
      <c r="L1696" s="4">
        <f>SUBTOTAL(9,L1692:L1695)</f>
        <v>0</v>
      </c>
      <c r="M1696" s="4">
        <f>SUBTOTAL(9,M1692:M1695)</f>
        <v>-7424.27</v>
      </c>
      <c r="N1696" s="4">
        <f>SUBTOTAL(9,N1692:N1695)</f>
        <v>10744.41</v>
      </c>
      <c r="O1696" s="4">
        <f>SUBTOTAL(9,O1692:O1695)</f>
        <v>0</v>
      </c>
      <c r="P1696" s="4">
        <f>SUBTOTAL(9,P1692:P1695)</f>
        <v>0</v>
      </c>
      <c r="Q1696" s="4">
        <f>SUBTOTAL(9,Q1692:Q1695)</f>
        <v>0</v>
      </c>
      <c r="R1696" s="4">
        <f>SUBTOTAL(9,R1692:R1695)</f>
        <v>0</v>
      </c>
      <c r="S1696" s="8">
        <f t="shared" si="78"/>
        <v>553.35666666666657</v>
      </c>
      <c r="T1696" s="8">
        <f t="shared" si="79"/>
        <v>-553.35666666666657</v>
      </c>
      <c r="U1696" s="9">
        <f t="shared" si="80"/>
        <v>-1</v>
      </c>
    </row>
    <row r="1697" spans="1:22" outlineLevel="2">
      <c r="A1697" t="s">
        <v>505</v>
      </c>
      <c r="B1697" t="s">
        <v>506</v>
      </c>
      <c r="C1697" t="s">
        <v>136</v>
      </c>
      <c r="D1697" t="s">
        <v>137</v>
      </c>
      <c r="E1697" s="4">
        <v>0</v>
      </c>
      <c r="F1697" s="4">
        <v>0</v>
      </c>
      <c r="G1697" s="4">
        <v>0</v>
      </c>
      <c r="H1697" s="4">
        <v>0</v>
      </c>
      <c r="I1697" s="4">
        <v>0</v>
      </c>
      <c r="J1697" s="4">
        <v>0</v>
      </c>
      <c r="K1697" s="4">
        <v>0</v>
      </c>
      <c r="L1697" s="4">
        <v>0</v>
      </c>
      <c r="M1697" s="4">
        <v>0</v>
      </c>
      <c r="N1697" s="4">
        <v>0</v>
      </c>
      <c r="O1697" s="4">
        <v>329.11</v>
      </c>
      <c r="P1697" s="4">
        <v>0</v>
      </c>
      <c r="Q1697" s="4">
        <v>0</v>
      </c>
      <c r="S1697" s="8">
        <f t="shared" si="78"/>
        <v>54.851666666666667</v>
      </c>
      <c r="T1697" s="8">
        <f t="shared" si="79"/>
        <v>-54.851666666666667</v>
      </c>
      <c r="U1697" s="9">
        <f t="shared" si="80"/>
        <v>-1</v>
      </c>
    </row>
    <row r="1698" spans="1:22" outlineLevel="2">
      <c r="A1698" t="s">
        <v>505</v>
      </c>
      <c r="B1698" t="s">
        <v>506</v>
      </c>
      <c r="C1698" t="s">
        <v>441</v>
      </c>
      <c r="D1698" t="s">
        <v>442</v>
      </c>
      <c r="E1698" s="4">
        <v>0</v>
      </c>
      <c r="F1698" s="4">
        <v>0</v>
      </c>
      <c r="G1698" s="4">
        <v>25273.82</v>
      </c>
      <c r="H1698" s="4">
        <v>0</v>
      </c>
      <c r="I1698" s="4">
        <v>0</v>
      </c>
      <c r="J1698" s="4">
        <v>32917.24</v>
      </c>
      <c r="K1698" s="4">
        <v>0</v>
      </c>
      <c r="L1698" s="4">
        <v>0</v>
      </c>
      <c r="M1698" s="4">
        <v>-17998.91</v>
      </c>
      <c r="N1698" s="4">
        <v>0</v>
      </c>
      <c r="O1698" s="4">
        <v>0</v>
      </c>
      <c r="P1698" s="4">
        <v>5072.68</v>
      </c>
      <c r="Q1698" s="4">
        <v>0</v>
      </c>
      <c r="S1698" s="8">
        <f t="shared" si="78"/>
        <v>-2154.3716666666664</v>
      </c>
      <c r="T1698" s="8">
        <f t="shared" si="79"/>
        <v>2154.3716666666664</v>
      </c>
      <c r="U1698" s="9">
        <f t="shared" si="80"/>
        <v>-1</v>
      </c>
    </row>
    <row r="1699" spans="1:22" outlineLevel="2">
      <c r="A1699" t="s">
        <v>505</v>
      </c>
      <c r="B1699" t="s">
        <v>506</v>
      </c>
      <c r="C1699" t="s">
        <v>230</v>
      </c>
      <c r="D1699" t="s">
        <v>231</v>
      </c>
      <c r="E1699" s="4">
        <v>0</v>
      </c>
      <c r="F1699" s="4">
        <v>26758.21</v>
      </c>
      <c r="G1699" s="4">
        <v>0</v>
      </c>
      <c r="H1699" s="4">
        <v>0</v>
      </c>
      <c r="I1699" s="4">
        <v>0</v>
      </c>
      <c r="J1699" s="4">
        <v>0</v>
      </c>
      <c r="K1699" s="4">
        <v>0</v>
      </c>
      <c r="L1699" s="4">
        <v>0</v>
      </c>
      <c r="M1699" s="4">
        <v>0</v>
      </c>
      <c r="N1699" s="4">
        <v>0</v>
      </c>
      <c r="O1699" s="4">
        <v>0</v>
      </c>
      <c r="P1699" s="4">
        <v>0</v>
      </c>
      <c r="Q1699" s="4">
        <v>0</v>
      </c>
      <c r="S1699" s="8">
        <f t="shared" si="78"/>
        <v>0</v>
      </c>
      <c r="T1699" s="8">
        <f t="shared" si="79"/>
        <v>0</v>
      </c>
      <c r="U1699" s="9" t="e">
        <f t="shared" si="80"/>
        <v>#DIV/0!</v>
      </c>
    </row>
    <row r="1700" spans="1:22" outlineLevel="2">
      <c r="A1700" t="s">
        <v>505</v>
      </c>
      <c r="B1700" t="s">
        <v>506</v>
      </c>
      <c r="C1700" t="s">
        <v>218</v>
      </c>
      <c r="D1700" t="s">
        <v>219</v>
      </c>
      <c r="E1700" s="4">
        <v>-2.9103830456733704E-11</v>
      </c>
      <c r="F1700" s="4">
        <v>0</v>
      </c>
      <c r="G1700" s="4">
        <v>-871.66</v>
      </c>
      <c r="H1700" s="4">
        <v>0</v>
      </c>
      <c r="I1700" s="4">
        <v>0</v>
      </c>
      <c r="J1700" s="4">
        <v>0</v>
      </c>
      <c r="K1700" s="4">
        <v>0</v>
      </c>
      <c r="L1700" s="4">
        <v>0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S1700" s="8">
        <f t="shared" si="78"/>
        <v>0</v>
      </c>
      <c r="T1700" s="8">
        <f t="shared" si="79"/>
        <v>0</v>
      </c>
      <c r="U1700" s="9" t="e">
        <f t="shared" si="80"/>
        <v>#DIV/0!</v>
      </c>
    </row>
    <row r="1701" spans="1:22" outlineLevel="2">
      <c r="A1701" t="s">
        <v>505</v>
      </c>
      <c r="B1701" t="s">
        <v>506</v>
      </c>
      <c r="C1701" t="s">
        <v>234</v>
      </c>
      <c r="D1701" t="s">
        <v>235</v>
      </c>
      <c r="E1701" s="4">
        <v>-1.1368683772161603E-13</v>
      </c>
      <c r="F1701" s="4">
        <v>709.82999999999993</v>
      </c>
      <c r="G1701" s="4">
        <v>709.82999999999993</v>
      </c>
      <c r="H1701" s="4">
        <v>709.82999999999993</v>
      </c>
      <c r="I1701" s="4">
        <v>709.82999999999993</v>
      </c>
      <c r="J1701" s="4">
        <v>12463.789999999999</v>
      </c>
      <c r="K1701" s="4">
        <v>5.6843418860808015E-14</v>
      </c>
      <c r="L1701" s="4">
        <v>0</v>
      </c>
      <c r="M1701" s="4">
        <v>0</v>
      </c>
      <c r="N1701" s="4">
        <v>0</v>
      </c>
      <c r="O1701" s="4">
        <v>0</v>
      </c>
      <c r="P1701" s="4">
        <v>0</v>
      </c>
      <c r="Q1701" s="4">
        <v>0</v>
      </c>
      <c r="S1701" s="8">
        <f t="shared" si="78"/>
        <v>0</v>
      </c>
      <c r="T1701" s="8">
        <f t="shared" si="79"/>
        <v>0</v>
      </c>
      <c r="U1701" s="9" t="e">
        <f t="shared" si="80"/>
        <v>#DIV/0!</v>
      </c>
    </row>
    <row r="1702" spans="1:22" outlineLevel="2">
      <c r="A1702" t="s">
        <v>505</v>
      </c>
      <c r="B1702" t="s">
        <v>506</v>
      </c>
      <c r="C1702" t="s">
        <v>47</v>
      </c>
      <c r="D1702" t="s">
        <v>48</v>
      </c>
      <c r="E1702" s="4">
        <v>14732.44</v>
      </c>
      <c r="F1702" s="4">
        <v>14732.44</v>
      </c>
      <c r="G1702" s="4">
        <v>15814.02</v>
      </c>
      <c r="H1702" s="4">
        <v>33072.949999999997</v>
      </c>
      <c r="I1702" s="4">
        <v>15314.650000000001</v>
      </c>
      <c r="J1702" s="4">
        <v>26286.140000000003</v>
      </c>
      <c r="K1702" s="4">
        <v>26922.440000000002</v>
      </c>
      <c r="L1702" s="4">
        <v>26922.440000000002</v>
      </c>
      <c r="M1702" s="4">
        <v>-8295.3499999999931</v>
      </c>
      <c r="N1702" s="4">
        <v>27019.089999999997</v>
      </c>
      <c r="O1702" s="4">
        <v>27019.089999999997</v>
      </c>
      <c r="P1702" s="4">
        <v>27019.089999999997</v>
      </c>
      <c r="Q1702" s="4">
        <v>14732.44</v>
      </c>
      <c r="R1702" s="4">
        <v>67231.02</v>
      </c>
      <c r="S1702" s="8">
        <f t="shared" si="78"/>
        <v>19069.466666666667</v>
      </c>
      <c r="T1702" s="8">
        <f t="shared" si="79"/>
        <v>48161.553333333337</v>
      </c>
      <c r="U1702" s="9">
        <f t="shared" si="80"/>
        <v>2.5255847043441175</v>
      </c>
      <c r="V1702" t="s">
        <v>896</v>
      </c>
    </row>
    <row r="1703" spans="1:22" outlineLevel="2">
      <c r="A1703" t="s">
        <v>505</v>
      </c>
      <c r="B1703" t="s">
        <v>506</v>
      </c>
      <c r="C1703" t="s">
        <v>344</v>
      </c>
      <c r="D1703" t="s">
        <v>345</v>
      </c>
      <c r="E1703" s="4">
        <v>0</v>
      </c>
      <c r="F1703" s="4">
        <v>0</v>
      </c>
      <c r="G1703" s="4">
        <v>0</v>
      </c>
      <c r="H1703" s="4">
        <v>7644</v>
      </c>
      <c r="I1703" s="4">
        <v>7644</v>
      </c>
      <c r="J1703" s="4">
        <v>7644</v>
      </c>
      <c r="K1703" s="4">
        <v>7644</v>
      </c>
      <c r="L1703" s="4">
        <v>7644</v>
      </c>
      <c r="M1703" s="4">
        <v>8656</v>
      </c>
      <c r="N1703" s="4">
        <v>8656</v>
      </c>
      <c r="O1703" s="4">
        <v>8656</v>
      </c>
      <c r="P1703" s="4">
        <v>17312</v>
      </c>
      <c r="Q1703" s="4">
        <v>8656</v>
      </c>
      <c r="S1703" s="8">
        <f t="shared" si="78"/>
        <v>9930</v>
      </c>
      <c r="T1703" s="8">
        <f t="shared" si="79"/>
        <v>-9930</v>
      </c>
      <c r="U1703" s="9">
        <f t="shared" si="80"/>
        <v>-1</v>
      </c>
    </row>
    <row r="1704" spans="1:22" outlineLevel="2">
      <c r="A1704" t="s">
        <v>505</v>
      </c>
      <c r="B1704" t="s">
        <v>506</v>
      </c>
      <c r="C1704" t="s">
        <v>101</v>
      </c>
      <c r="D1704" t="s">
        <v>102</v>
      </c>
      <c r="E1704" s="4">
        <v>0</v>
      </c>
      <c r="F1704" s="4">
        <v>19681.2</v>
      </c>
      <c r="G1704" s="4">
        <v>0</v>
      </c>
      <c r="H1704" s="4">
        <v>26731.200000000001</v>
      </c>
      <c r="I1704" s="4">
        <v>0</v>
      </c>
      <c r="J1704" s="4">
        <v>0</v>
      </c>
      <c r="K1704" s="4">
        <v>20081.2</v>
      </c>
      <c r="L1704" s="4">
        <v>0</v>
      </c>
      <c r="M1704" s="4">
        <v>0</v>
      </c>
      <c r="N1704" s="4">
        <v>27331.200000000001</v>
      </c>
      <c r="O1704" s="4">
        <v>0</v>
      </c>
      <c r="P1704" s="4">
        <v>28074</v>
      </c>
      <c r="Q1704" s="4">
        <v>0</v>
      </c>
      <c r="S1704" s="8">
        <f t="shared" si="78"/>
        <v>9234.1999999999989</v>
      </c>
      <c r="T1704" s="8">
        <f t="shared" si="79"/>
        <v>-9234.1999999999989</v>
      </c>
      <c r="U1704" s="9">
        <f t="shared" si="80"/>
        <v>-1</v>
      </c>
    </row>
    <row r="1705" spans="1:22" outlineLevel="2">
      <c r="A1705" t="s">
        <v>505</v>
      </c>
      <c r="B1705" t="s">
        <v>506</v>
      </c>
      <c r="C1705" t="s">
        <v>172</v>
      </c>
      <c r="D1705" t="s">
        <v>173</v>
      </c>
      <c r="E1705" s="4">
        <v>0</v>
      </c>
      <c r="F1705" s="4">
        <v>0</v>
      </c>
      <c r="G1705" s="4">
        <v>16659.5</v>
      </c>
      <c r="H1705" s="4">
        <v>5553.17</v>
      </c>
      <c r="I1705" s="4">
        <v>5553.17</v>
      </c>
      <c r="J1705" s="4">
        <v>5553.17</v>
      </c>
      <c r="K1705" s="4">
        <v>5553.17</v>
      </c>
      <c r="L1705" s="4">
        <v>5553.17</v>
      </c>
      <c r="M1705" s="4">
        <v>5553.17</v>
      </c>
      <c r="N1705" s="4">
        <v>5553.17</v>
      </c>
      <c r="O1705" s="4">
        <v>-5553.17</v>
      </c>
      <c r="P1705" s="4">
        <v>0</v>
      </c>
      <c r="Q1705" s="4">
        <v>3788.34</v>
      </c>
      <c r="S1705" s="8">
        <f t="shared" si="78"/>
        <v>2482.4466666666672</v>
      </c>
      <c r="T1705" s="8">
        <f t="shared" si="79"/>
        <v>-2482.4466666666672</v>
      </c>
      <c r="U1705" s="9">
        <f t="shared" si="80"/>
        <v>-1</v>
      </c>
    </row>
    <row r="1706" spans="1:22" outlineLevel="1">
      <c r="A1706" s="1" t="s">
        <v>806</v>
      </c>
      <c r="E1706" s="4">
        <f>SUBTOTAL(9,E1697:E1705)</f>
        <v>14732.439999999971</v>
      </c>
      <c r="F1706" s="4">
        <f>SUBTOTAL(9,F1697:F1705)</f>
        <v>61881.680000000008</v>
      </c>
      <c r="G1706" s="4">
        <f>SUBTOTAL(9,G1697:G1705)</f>
        <v>57585.509999999995</v>
      </c>
      <c r="H1706" s="4">
        <f>SUBTOTAL(9,H1697:H1705)</f>
        <v>73711.149999999994</v>
      </c>
      <c r="I1706" s="4">
        <f>SUBTOTAL(9,I1697:I1705)</f>
        <v>29221.65</v>
      </c>
      <c r="J1706" s="4">
        <f>SUBTOTAL(9,J1697:J1705)</f>
        <v>84864.34</v>
      </c>
      <c r="K1706" s="4">
        <f>SUBTOTAL(9,K1697:K1705)</f>
        <v>60200.81</v>
      </c>
      <c r="L1706" s="4">
        <f>SUBTOTAL(9,L1697:L1705)</f>
        <v>40119.61</v>
      </c>
      <c r="M1706" s="4">
        <f>SUBTOTAL(9,M1697:M1705)</f>
        <v>-12085.089999999995</v>
      </c>
      <c r="N1706" s="4">
        <f>SUBTOTAL(9,N1697:N1705)</f>
        <v>68559.459999999992</v>
      </c>
      <c r="O1706" s="4">
        <f>SUBTOTAL(9,O1697:O1705)</f>
        <v>30451.03</v>
      </c>
      <c r="P1706" s="4">
        <f>SUBTOTAL(9,P1697:P1705)</f>
        <v>77477.76999999999</v>
      </c>
      <c r="Q1706" s="4">
        <f>SUBTOTAL(9,Q1697:Q1705)</f>
        <v>27176.780000000002</v>
      </c>
      <c r="R1706" s="4">
        <f>SUBTOTAL(9,R1697:R1705)</f>
        <v>67231.02</v>
      </c>
      <c r="S1706" s="8">
        <f t="shared" si="78"/>
        <v>38616.593333333331</v>
      </c>
      <c r="T1706" s="8">
        <f t="shared" si="79"/>
        <v>28614.426666666674</v>
      </c>
      <c r="U1706" s="9">
        <f t="shared" si="80"/>
        <v>0.7409878551344683</v>
      </c>
      <c r="V1706" t="s">
        <v>896</v>
      </c>
    </row>
    <row r="1707" spans="1:22" outlineLevel="2">
      <c r="A1707" t="s">
        <v>507</v>
      </c>
      <c r="B1707" t="s">
        <v>508</v>
      </c>
      <c r="C1707" t="s">
        <v>503</v>
      </c>
      <c r="D1707" t="s">
        <v>504</v>
      </c>
      <c r="E1707" s="4">
        <v>0</v>
      </c>
      <c r="F1707" s="4">
        <v>0</v>
      </c>
      <c r="G1707" s="4">
        <v>24</v>
      </c>
      <c r="H1707" s="4">
        <v>0</v>
      </c>
      <c r="I1707" s="4">
        <v>0</v>
      </c>
      <c r="J1707" s="4">
        <v>0</v>
      </c>
      <c r="K1707" s="4">
        <v>0</v>
      </c>
      <c r="L1707" s="4">
        <v>0</v>
      </c>
      <c r="M1707" s="4">
        <v>0</v>
      </c>
      <c r="N1707" s="4">
        <v>0</v>
      </c>
      <c r="O1707" s="4">
        <v>0</v>
      </c>
      <c r="P1707" s="4">
        <v>0</v>
      </c>
      <c r="Q1707" s="4">
        <v>0</v>
      </c>
      <c r="S1707" s="8">
        <f t="shared" si="78"/>
        <v>0</v>
      </c>
      <c r="T1707" s="8">
        <f t="shared" si="79"/>
        <v>0</v>
      </c>
      <c r="U1707" s="9" t="e">
        <f t="shared" si="80"/>
        <v>#DIV/0!</v>
      </c>
    </row>
    <row r="1708" spans="1:22" outlineLevel="2">
      <c r="A1708" t="s">
        <v>507</v>
      </c>
      <c r="B1708" t="s">
        <v>508</v>
      </c>
      <c r="C1708" t="s">
        <v>127</v>
      </c>
      <c r="D1708" t="s">
        <v>120</v>
      </c>
      <c r="E1708" s="4">
        <v>0</v>
      </c>
      <c r="F1708" s="4">
        <v>0</v>
      </c>
      <c r="G1708" s="4">
        <v>0</v>
      </c>
      <c r="H1708" s="4">
        <v>0</v>
      </c>
      <c r="I1708" s="4">
        <v>0</v>
      </c>
      <c r="J1708" s="4">
        <v>0</v>
      </c>
      <c r="K1708" s="4">
        <v>0</v>
      </c>
      <c r="L1708" s="4">
        <v>-0.02</v>
      </c>
      <c r="M1708" s="4">
        <v>-7265.14</v>
      </c>
      <c r="N1708" s="4">
        <v>0</v>
      </c>
      <c r="O1708" s="4">
        <v>0.04</v>
      </c>
      <c r="P1708" s="4">
        <v>0</v>
      </c>
      <c r="Q1708" s="4">
        <v>0</v>
      </c>
      <c r="S1708" s="8">
        <f t="shared" si="78"/>
        <v>-1210.8533333333335</v>
      </c>
      <c r="T1708" s="8">
        <f t="shared" si="79"/>
        <v>1210.8533333333335</v>
      </c>
      <c r="U1708" s="9">
        <f t="shared" si="80"/>
        <v>-1</v>
      </c>
    </row>
    <row r="1709" spans="1:22" outlineLevel="1">
      <c r="A1709" s="1" t="s">
        <v>807</v>
      </c>
      <c r="E1709" s="4">
        <f>SUBTOTAL(9,E1707:E1708)</f>
        <v>0</v>
      </c>
      <c r="F1709" s="4">
        <f>SUBTOTAL(9,F1707:F1708)</f>
        <v>0</v>
      </c>
      <c r="G1709" s="4">
        <f>SUBTOTAL(9,G1707:G1708)</f>
        <v>24</v>
      </c>
      <c r="H1709" s="4">
        <f>SUBTOTAL(9,H1707:H1708)</f>
        <v>0</v>
      </c>
      <c r="I1709" s="4">
        <f>SUBTOTAL(9,I1707:I1708)</f>
        <v>0</v>
      </c>
      <c r="J1709" s="4">
        <f>SUBTOTAL(9,J1707:J1708)</f>
        <v>0</v>
      </c>
      <c r="K1709" s="4">
        <f>SUBTOTAL(9,K1707:K1708)</f>
        <v>0</v>
      </c>
      <c r="L1709" s="4">
        <f>SUBTOTAL(9,L1707:L1708)</f>
        <v>-0.02</v>
      </c>
      <c r="M1709" s="4">
        <f>SUBTOTAL(9,M1707:M1708)</f>
        <v>-7265.14</v>
      </c>
      <c r="N1709" s="4">
        <f>SUBTOTAL(9,N1707:N1708)</f>
        <v>0</v>
      </c>
      <c r="O1709" s="4">
        <f>SUBTOTAL(9,O1707:O1708)</f>
        <v>0.04</v>
      </c>
      <c r="P1709" s="4">
        <f>SUBTOTAL(9,P1707:P1708)</f>
        <v>0</v>
      </c>
      <c r="Q1709" s="4">
        <f>SUBTOTAL(9,Q1707:Q1708)</f>
        <v>0</v>
      </c>
      <c r="R1709" s="4">
        <f>SUBTOTAL(9,R1707:R1708)</f>
        <v>0</v>
      </c>
      <c r="S1709" s="8">
        <f t="shared" si="78"/>
        <v>-1210.8533333333335</v>
      </c>
      <c r="T1709" s="8">
        <f t="shared" si="79"/>
        <v>1210.8533333333335</v>
      </c>
      <c r="U1709" s="9">
        <f t="shared" si="80"/>
        <v>-1</v>
      </c>
    </row>
    <row r="1710" spans="1:22" outlineLevel="2">
      <c r="A1710" t="s">
        <v>509</v>
      </c>
      <c r="B1710" t="s">
        <v>428</v>
      </c>
      <c r="C1710" t="s">
        <v>59</v>
      </c>
      <c r="D1710" t="s">
        <v>60</v>
      </c>
      <c r="E1710" s="4">
        <v>0</v>
      </c>
      <c r="F1710" s="4">
        <v>0</v>
      </c>
      <c r="G1710" s="4">
        <v>0</v>
      </c>
      <c r="H1710" s="4">
        <v>0</v>
      </c>
      <c r="I1710" s="4">
        <v>0</v>
      </c>
      <c r="J1710" s="4">
        <v>0</v>
      </c>
      <c r="K1710" s="4">
        <v>0</v>
      </c>
      <c r="L1710" s="4">
        <v>595.1600000000002</v>
      </c>
      <c r="M1710" s="4">
        <v>0</v>
      </c>
      <c r="N1710" s="4">
        <v>0</v>
      </c>
      <c r="O1710" s="4">
        <v>0</v>
      </c>
      <c r="P1710" s="4">
        <v>60.16</v>
      </c>
      <c r="Q1710" s="4">
        <v>88.72</v>
      </c>
      <c r="R1710" s="4">
        <v>292.95000000000005</v>
      </c>
      <c r="S1710" s="8">
        <f t="shared" si="78"/>
        <v>124.0066666666667</v>
      </c>
      <c r="T1710" s="8">
        <f t="shared" si="79"/>
        <v>168.94333333333333</v>
      </c>
      <c r="U1710" s="9">
        <f t="shared" si="80"/>
        <v>1.3623729906994244</v>
      </c>
    </row>
    <row r="1711" spans="1:22" outlineLevel="1">
      <c r="A1711" s="1" t="s">
        <v>808</v>
      </c>
      <c r="E1711" s="4">
        <f>SUBTOTAL(9,E1710:E1710)</f>
        <v>0</v>
      </c>
      <c r="F1711" s="4">
        <f>SUBTOTAL(9,F1710:F1710)</f>
        <v>0</v>
      </c>
      <c r="G1711" s="4">
        <f>SUBTOTAL(9,G1710:G1710)</f>
        <v>0</v>
      </c>
      <c r="H1711" s="4">
        <f>SUBTOTAL(9,H1710:H1710)</f>
        <v>0</v>
      </c>
      <c r="I1711" s="4">
        <f>SUBTOTAL(9,I1710:I1710)</f>
        <v>0</v>
      </c>
      <c r="J1711" s="4">
        <f>SUBTOTAL(9,J1710:J1710)</f>
        <v>0</v>
      </c>
      <c r="K1711" s="4">
        <f>SUBTOTAL(9,K1710:K1710)</f>
        <v>0</v>
      </c>
      <c r="L1711" s="4">
        <f>SUBTOTAL(9,L1710:L1710)</f>
        <v>595.1600000000002</v>
      </c>
      <c r="M1711" s="4">
        <f>SUBTOTAL(9,M1710:M1710)</f>
        <v>0</v>
      </c>
      <c r="N1711" s="4">
        <f>SUBTOTAL(9,N1710:N1710)</f>
        <v>0</v>
      </c>
      <c r="O1711" s="4">
        <f>SUBTOTAL(9,O1710:O1710)</f>
        <v>0</v>
      </c>
      <c r="P1711" s="4">
        <f>SUBTOTAL(9,P1710:P1710)</f>
        <v>60.16</v>
      </c>
      <c r="Q1711" s="4">
        <f>SUBTOTAL(9,Q1710:Q1710)</f>
        <v>88.72</v>
      </c>
      <c r="R1711" s="4">
        <f>SUBTOTAL(9,R1710:R1710)</f>
        <v>292.95000000000005</v>
      </c>
      <c r="S1711" s="8">
        <f t="shared" si="78"/>
        <v>124.0066666666667</v>
      </c>
      <c r="T1711" s="8">
        <f t="shared" si="79"/>
        <v>168.94333333333333</v>
      </c>
      <c r="U1711" s="9">
        <f t="shared" si="80"/>
        <v>1.3623729906994244</v>
      </c>
    </row>
    <row r="1712" spans="1:22" outlineLevel="2">
      <c r="A1712" t="s">
        <v>510</v>
      </c>
      <c r="B1712" t="s">
        <v>511</v>
      </c>
      <c r="C1712" t="s">
        <v>101</v>
      </c>
      <c r="D1712" t="s">
        <v>102</v>
      </c>
      <c r="E1712" s="4">
        <v>0</v>
      </c>
      <c r="F1712" s="4">
        <v>0</v>
      </c>
      <c r="G1712" s="4">
        <v>0</v>
      </c>
      <c r="H1712" s="4">
        <v>0</v>
      </c>
      <c r="I1712" s="4">
        <v>0</v>
      </c>
      <c r="J1712" s="4">
        <v>0</v>
      </c>
      <c r="K1712" s="4">
        <v>0</v>
      </c>
      <c r="L1712" s="4">
        <v>0</v>
      </c>
      <c r="M1712" s="4">
        <v>0</v>
      </c>
      <c r="N1712" s="4">
        <v>0</v>
      </c>
      <c r="O1712" s="4">
        <v>0</v>
      </c>
      <c r="P1712" s="4">
        <v>0</v>
      </c>
      <c r="Q1712" s="4">
        <v>0</v>
      </c>
      <c r="S1712" s="8">
        <f t="shared" si="78"/>
        <v>0</v>
      </c>
      <c r="T1712" s="8">
        <f t="shared" si="79"/>
        <v>0</v>
      </c>
      <c r="U1712" s="9" t="e">
        <f t="shared" si="80"/>
        <v>#DIV/0!</v>
      </c>
    </row>
    <row r="1713" spans="1:21" outlineLevel="1">
      <c r="A1713" s="1" t="s">
        <v>809</v>
      </c>
      <c r="E1713" s="4">
        <f>SUBTOTAL(9,E1712:E1712)</f>
        <v>0</v>
      </c>
      <c r="F1713" s="4">
        <f>SUBTOTAL(9,F1712:F1712)</f>
        <v>0</v>
      </c>
      <c r="G1713" s="4">
        <f>SUBTOTAL(9,G1712:G1712)</f>
        <v>0</v>
      </c>
      <c r="H1713" s="4">
        <f>SUBTOTAL(9,H1712:H1712)</f>
        <v>0</v>
      </c>
      <c r="I1713" s="4">
        <f>SUBTOTAL(9,I1712:I1712)</f>
        <v>0</v>
      </c>
      <c r="J1713" s="4">
        <f>SUBTOTAL(9,J1712:J1712)</f>
        <v>0</v>
      </c>
      <c r="K1713" s="4">
        <f>SUBTOTAL(9,K1712:K1712)</f>
        <v>0</v>
      </c>
      <c r="L1713" s="4">
        <f>SUBTOTAL(9,L1712:L1712)</f>
        <v>0</v>
      </c>
      <c r="M1713" s="4">
        <f>SUBTOTAL(9,M1712:M1712)</f>
        <v>0</v>
      </c>
      <c r="N1713" s="4">
        <f>SUBTOTAL(9,N1712:N1712)</f>
        <v>0</v>
      </c>
      <c r="O1713" s="4">
        <f>SUBTOTAL(9,O1712:O1712)</f>
        <v>0</v>
      </c>
      <c r="P1713" s="4">
        <f>SUBTOTAL(9,P1712:P1712)</f>
        <v>0</v>
      </c>
      <c r="Q1713" s="4">
        <f>SUBTOTAL(9,Q1712:Q1712)</f>
        <v>0</v>
      </c>
      <c r="R1713" s="4">
        <f>SUBTOTAL(9,R1712:R1712)</f>
        <v>0</v>
      </c>
      <c r="S1713" s="8">
        <f t="shared" si="78"/>
        <v>0</v>
      </c>
      <c r="T1713" s="8">
        <f t="shared" si="79"/>
        <v>0</v>
      </c>
      <c r="U1713" s="9" t="e">
        <f t="shared" si="80"/>
        <v>#DIV/0!</v>
      </c>
    </row>
    <row r="1714" spans="1:21" outlineLevel="2">
      <c r="A1714" t="s">
        <v>512</v>
      </c>
      <c r="B1714" t="s">
        <v>295</v>
      </c>
      <c r="C1714" t="s">
        <v>296</v>
      </c>
      <c r="D1714" t="s">
        <v>297</v>
      </c>
      <c r="E1714" s="4">
        <v>-10295</v>
      </c>
      <c r="F1714" s="4">
        <v>0</v>
      </c>
      <c r="G1714" s="4">
        <v>0</v>
      </c>
      <c r="H1714" s="4">
        <v>-76.53</v>
      </c>
      <c r="I1714" s="4">
        <v>0</v>
      </c>
      <c r="J1714" s="4">
        <v>0</v>
      </c>
      <c r="K1714" s="4">
        <v>0</v>
      </c>
      <c r="L1714" s="4">
        <v>0</v>
      </c>
      <c r="M1714" s="4">
        <v>0</v>
      </c>
      <c r="N1714" s="4">
        <v>0</v>
      </c>
      <c r="O1714" s="4">
        <v>0</v>
      </c>
      <c r="P1714" s="4">
        <v>0</v>
      </c>
      <c r="Q1714" s="4">
        <v>-2094.5</v>
      </c>
      <c r="S1714" s="8">
        <f t="shared" si="78"/>
        <v>-349.08333333333331</v>
      </c>
      <c r="T1714" s="8">
        <f t="shared" si="79"/>
        <v>349.08333333333331</v>
      </c>
      <c r="U1714" s="9">
        <f t="shared" si="80"/>
        <v>-1</v>
      </c>
    </row>
    <row r="1715" spans="1:21" outlineLevel="1">
      <c r="A1715" s="1" t="s">
        <v>810</v>
      </c>
      <c r="E1715" s="4">
        <f>SUBTOTAL(9,E1714:E1714)</f>
        <v>-10295</v>
      </c>
      <c r="F1715" s="4">
        <f>SUBTOTAL(9,F1714:F1714)</f>
        <v>0</v>
      </c>
      <c r="G1715" s="4">
        <f>SUBTOTAL(9,G1714:G1714)</f>
        <v>0</v>
      </c>
      <c r="H1715" s="4">
        <f>SUBTOTAL(9,H1714:H1714)</f>
        <v>-76.53</v>
      </c>
      <c r="I1715" s="4">
        <f>SUBTOTAL(9,I1714:I1714)</f>
        <v>0</v>
      </c>
      <c r="J1715" s="4">
        <f>SUBTOTAL(9,J1714:J1714)</f>
        <v>0</v>
      </c>
      <c r="K1715" s="4">
        <f>SUBTOTAL(9,K1714:K1714)</f>
        <v>0</v>
      </c>
      <c r="L1715" s="4">
        <f>SUBTOTAL(9,L1714:L1714)</f>
        <v>0</v>
      </c>
      <c r="M1715" s="4">
        <f>SUBTOTAL(9,M1714:M1714)</f>
        <v>0</v>
      </c>
      <c r="N1715" s="4">
        <f>SUBTOTAL(9,N1714:N1714)</f>
        <v>0</v>
      </c>
      <c r="O1715" s="4">
        <f>SUBTOTAL(9,O1714:O1714)</f>
        <v>0</v>
      </c>
      <c r="P1715" s="4">
        <f>SUBTOTAL(9,P1714:P1714)</f>
        <v>0</v>
      </c>
      <c r="Q1715" s="4">
        <f>SUBTOTAL(9,Q1714:Q1714)</f>
        <v>-2094.5</v>
      </c>
      <c r="R1715" s="4">
        <f>SUBTOTAL(9,R1714:R1714)</f>
        <v>0</v>
      </c>
      <c r="S1715" s="8">
        <f t="shared" si="78"/>
        <v>-349.08333333333331</v>
      </c>
      <c r="T1715" s="8">
        <f t="shared" si="79"/>
        <v>349.08333333333331</v>
      </c>
      <c r="U1715" s="9">
        <f t="shared" si="80"/>
        <v>-1</v>
      </c>
    </row>
    <row r="1716" spans="1:21" outlineLevel="2">
      <c r="A1716" t="s">
        <v>513</v>
      </c>
      <c r="B1716" t="s">
        <v>514</v>
      </c>
      <c r="C1716" t="s">
        <v>33</v>
      </c>
      <c r="D1716" t="s">
        <v>34</v>
      </c>
      <c r="E1716" s="4">
        <v>0</v>
      </c>
      <c r="F1716" s="4">
        <v>0</v>
      </c>
      <c r="G1716" s="4">
        <v>0</v>
      </c>
      <c r="H1716" s="4">
        <v>0</v>
      </c>
      <c r="I1716" s="4">
        <v>0</v>
      </c>
      <c r="J1716" s="4">
        <v>0</v>
      </c>
      <c r="K1716" s="4">
        <v>0</v>
      </c>
      <c r="L1716" s="4">
        <v>0</v>
      </c>
      <c r="M1716" s="4">
        <v>0</v>
      </c>
      <c r="N1716" s="4">
        <v>175</v>
      </c>
      <c r="O1716" s="4">
        <v>0</v>
      </c>
      <c r="P1716" s="4">
        <v>175</v>
      </c>
      <c r="Q1716" s="4">
        <v>0</v>
      </c>
      <c r="S1716" s="8">
        <f t="shared" si="78"/>
        <v>58.333333333333336</v>
      </c>
      <c r="T1716" s="8">
        <f t="shared" si="79"/>
        <v>-58.333333333333336</v>
      </c>
      <c r="U1716" s="9">
        <f t="shared" si="80"/>
        <v>-1</v>
      </c>
    </row>
    <row r="1717" spans="1:21" outlineLevel="1">
      <c r="A1717" s="1" t="s">
        <v>811</v>
      </c>
      <c r="E1717" s="4">
        <f>SUBTOTAL(9,E1716:E1716)</f>
        <v>0</v>
      </c>
      <c r="F1717" s="4">
        <f>SUBTOTAL(9,F1716:F1716)</f>
        <v>0</v>
      </c>
      <c r="G1717" s="4">
        <f>SUBTOTAL(9,G1716:G1716)</f>
        <v>0</v>
      </c>
      <c r="H1717" s="4">
        <f>SUBTOTAL(9,H1716:H1716)</f>
        <v>0</v>
      </c>
      <c r="I1717" s="4">
        <f>SUBTOTAL(9,I1716:I1716)</f>
        <v>0</v>
      </c>
      <c r="J1717" s="4">
        <f>SUBTOTAL(9,J1716:J1716)</f>
        <v>0</v>
      </c>
      <c r="K1717" s="4">
        <f>SUBTOTAL(9,K1716:K1716)</f>
        <v>0</v>
      </c>
      <c r="L1717" s="4">
        <f>SUBTOTAL(9,L1716:L1716)</f>
        <v>0</v>
      </c>
      <c r="M1717" s="4">
        <f>SUBTOTAL(9,M1716:M1716)</f>
        <v>0</v>
      </c>
      <c r="N1717" s="4">
        <f>SUBTOTAL(9,N1716:N1716)</f>
        <v>175</v>
      </c>
      <c r="O1717" s="4">
        <f>SUBTOTAL(9,O1716:O1716)</f>
        <v>0</v>
      </c>
      <c r="P1717" s="4">
        <f>SUBTOTAL(9,P1716:P1716)</f>
        <v>175</v>
      </c>
      <c r="Q1717" s="4">
        <f>SUBTOTAL(9,Q1716:Q1716)</f>
        <v>0</v>
      </c>
      <c r="R1717" s="4">
        <f>SUBTOTAL(9,R1716:R1716)</f>
        <v>0</v>
      </c>
      <c r="S1717" s="8">
        <f t="shared" si="78"/>
        <v>58.333333333333336</v>
      </c>
      <c r="T1717" s="8">
        <f t="shared" si="79"/>
        <v>-58.333333333333336</v>
      </c>
      <c r="U1717" s="9">
        <f t="shared" si="80"/>
        <v>-1</v>
      </c>
    </row>
    <row r="1718" spans="1:21" outlineLevel="2">
      <c r="A1718" t="s">
        <v>515</v>
      </c>
      <c r="B1718" t="s">
        <v>279</v>
      </c>
      <c r="C1718" t="s">
        <v>168</v>
      </c>
      <c r="D1718" t="s">
        <v>169</v>
      </c>
      <c r="E1718" s="4">
        <v>0</v>
      </c>
      <c r="F1718" s="4">
        <v>58724.9</v>
      </c>
      <c r="G1718" s="4">
        <v>31523.45</v>
      </c>
      <c r="H1718" s="4">
        <v>59421.05</v>
      </c>
      <c r="I1718" s="4">
        <v>47129.15</v>
      </c>
      <c r="J1718" s="4">
        <v>299784.40000000002</v>
      </c>
      <c r="K1718" s="4">
        <v>57843.449999999983</v>
      </c>
      <c r="L1718" s="4">
        <v>241518.6</v>
      </c>
      <c r="M1718" s="4">
        <v>-791039.20000000007</v>
      </c>
      <c r="N1718" s="4">
        <v>2062.5</v>
      </c>
      <c r="O1718" s="4">
        <v>787.5</v>
      </c>
      <c r="P1718" s="4">
        <v>472.5</v>
      </c>
      <c r="Q1718" s="4">
        <v>75</v>
      </c>
      <c r="R1718" s="4">
        <v>115.5</v>
      </c>
      <c r="S1718" s="8">
        <f t="shared" si="78"/>
        <v>-91020.516666666677</v>
      </c>
      <c r="T1718" s="8">
        <f t="shared" si="79"/>
        <v>91136.016666666677</v>
      </c>
      <c r="U1718" s="9">
        <f t="shared" si="80"/>
        <v>-1.0012689446756602</v>
      </c>
    </row>
    <row r="1719" spans="1:21" outlineLevel="1">
      <c r="A1719" s="1" t="s">
        <v>812</v>
      </c>
      <c r="E1719" s="4">
        <f>SUBTOTAL(9,E1718:E1718)</f>
        <v>0</v>
      </c>
      <c r="F1719" s="4">
        <f>SUBTOTAL(9,F1718:F1718)</f>
        <v>58724.9</v>
      </c>
      <c r="G1719" s="4">
        <f>SUBTOTAL(9,G1718:G1718)</f>
        <v>31523.45</v>
      </c>
      <c r="H1719" s="4">
        <f>SUBTOTAL(9,H1718:H1718)</f>
        <v>59421.05</v>
      </c>
      <c r="I1719" s="4">
        <f>SUBTOTAL(9,I1718:I1718)</f>
        <v>47129.15</v>
      </c>
      <c r="J1719" s="4">
        <f>SUBTOTAL(9,J1718:J1718)</f>
        <v>299784.40000000002</v>
      </c>
      <c r="K1719" s="4">
        <f>SUBTOTAL(9,K1718:K1718)</f>
        <v>57843.449999999983</v>
      </c>
      <c r="L1719" s="4">
        <f>SUBTOTAL(9,L1718:L1718)</f>
        <v>241518.6</v>
      </c>
      <c r="M1719" s="4">
        <f>SUBTOTAL(9,M1718:M1718)</f>
        <v>-791039.20000000007</v>
      </c>
      <c r="N1719" s="4">
        <f>SUBTOTAL(9,N1718:N1718)</f>
        <v>2062.5</v>
      </c>
      <c r="O1719" s="4">
        <f>SUBTOTAL(9,O1718:O1718)</f>
        <v>787.5</v>
      </c>
      <c r="P1719" s="4">
        <f>SUBTOTAL(9,P1718:P1718)</f>
        <v>472.5</v>
      </c>
      <c r="Q1719" s="4">
        <f>SUBTOTAL(9,Q1718:Q1718)</f>
        <v>75</v>
      </c>
      <c r="R1719" s="4">
        <f>SUBTOTAL(9,R1718:R1718)</f>
        <v>115.5</v>
      </c>
      <c r="S1719" s="8">
        <f t="shared" si="78"/>
        <v>-91020.516666666677</v>
      </c>
      <c r="T1719" s="8">
        <f t="shared" si="79"/>
        <v>91136.016666666677</v>
      </c>
      <c r="U1719" s="9">
        <f t="shared" si="80"/>
        <v>-1.0012689446756602</v>
      </c>
    </row>
    <row r="1720" spans="1:21" outlineLevel="2">
      <c r="A1720" t="s">
        <v>516</v>
      </c>
      <c r="B1720" t="s">
        <v>483</v>
      </c>
      <c r="C1720" t="s">
        <v>156</v>
      </c>
      <c r="D1720" t="s">
        <v>157</v>
      </c>
      <c r="E1720" s="4">
        <v>853.92</v>
      </c>
      <c r="F1720" s="4">
        <v>0</v>
      </c>
      <c r="G1720" s="4">
        <v>0</v>
      </c>
      <c r="H1720" s="4">
        <v>0</v>
      </c>
      <c r="I1720" s="4">
        <v>0</v>
      </c>
      <c r="J1720" s="4">
        <v>-319.08999999999997</v>
      </c>
      <c r="K1720" s="4">
        <v>0</v>
      </c>
      <c r="L1720" s="4">
        <v>0</v>
      </c>
      <c r="M1720" s="4">
        <v>0</v>
      </c>
      <c r="N1720" s="4">
        <v>0</v>
      </c>
      <c r="O1720" s="4">
        <v>0</v>
      </c>
      <c r="P1720" s="4">
        <v>0</v>
      </c>
      <c r="Q1720" s="4">
        <v>0</v>
      </c>
      <c r="S1720" s="8">
        <f t="shared" si="78"/>
        <v>0</v>
      </c>
      <c r="T1720" s="8">
        <f t="shared" si="79"/>
        <v>0</v>
      </c>
      <c r="U1720" s="9" t="e">
        <f t="shared" si="80"/>
        <v>#DIV/0!</v>
      </c>
    </row>
    <row r="1721" spans="1:21" outlineLevel="2">
      <c r="A1721" t="s">
        <v>516</v>
      </c>
      <c r="B1721" t="s">
        <v>483</v>
      </c>
      <c r="C1721" t="s">
        <v>51</v>
      </c>
      <c r="D1721" t="s">
        <v>52</v>
      </c>
      <c r="E1721" s="4">
        <v>0</v>
      </c>
      <c r="F1721" s="4">
        <v>0</v>
      </c>
      <c r="G1721" s="4">
        <v>0</v>
      </c>
      <c r="H1721" s="4">
        <v>0</v>
      </c>
      <c r="I1721" s="4">
        <v>348</v>
      </c>
      <c r="J1721" s="4">
        <v>116</v>
      </c>
      <c r="K1721" s="4">
        <v>0</v>
      </c>
      <c r="L1721" s="4">
        <v>0</v>
      </c>
      <c r="M1721" s="4">
        <v>116</v>
      </c>
      <c r="N1721" s="4">
        <v>0</v>
      </c>
      <c r="O1721" s="4">
        <v>0</v>
      </c>
      <c r="P1721" s="4">
        <v>116</v>
      </c>
      <c r="Q1721" s="4">
        <v>0</v>
      </c>
      <c r="S1721" s="8">
        <f t="shared" si="78"/>
        <v>38.666666666666664</v>
      </c>
      <c r="T1721" s="8">
        <f t="shared" si="79"/>
        <v>-38.666666666666664</v>
      </c>
      <c r="U1721" s="9">
        <f t="shared" si="80"/>
        <v>-1</v>
      </c>
    </row>
    <row r="1722" spans="1:21" outlineLevel="2">
      <c r="A1722" t="s">
        <v>516</v>
      </c>
      <c r="B1722" t="s">
        <v>483</v>
      </c>
      <c r="C1722" t="s">
        <v>55</v>
      </c>
      <c r="D1722" t="s">
        <v>56</v>
      </c>
      <c r="E1722" s="4">
        <v>0</v>
      </c>
      <c r="F1722" s="4">
        <v>46.56</v>
      </c>
      <c r="G1722" s="4">
        <v>0</v>
      </c>
      <c r="H1722" s="4">
        <v>0</v>
      </c>
      <c r="I1722" s="4">
        <v>0</v>
      </c>
      <c r="J1722" s="4">
        <v>209.44</v>
      </c>
      <c r="K1722" s="4">
        <v>89.65</v>
      </c>
      <c r="L1722" s="4">
        <v>14.44</v>
      </c>
      <c r="M1722" s="4">
        <v>78.13</v>
      </c>
      <c r="N1722" s="4">
        <v>62.44</v>
      </c>
      <c r="O1722" s="4">
        <v>11.33</v>
      </c>
      <c r="P1722" s="4">
        <v>0</v>
      </c>
      <c r="Q1722" s="4">
        <v>113.86</v>
      </c>
      <c r="R1722" s="4">
        <v>38.75</v>
      </c>
      <c r="S1722" s="8">
        <f t="shared" si="78"/>
        <v>46.699999999999996</v>
      </c>
      <c r="T1722" s="8">
        <f t="shared" si="79"/>
        <v>-7.9499999999999957</v>
      </c>
      <c r="U1722" s="9">
        <f t="shared" si="80"/>
        <v>-0.17023554603854382</v>
      </c>
    </row>
    <row r="1723" spans="1:21" outlineLevel="2">
      <c r="A1723" t="s">
        <v>516</v>
      </c>
      <c r="B1723" t="s">
        <v>483</v>
      </c>
      <c r="C1723" t="s">
        <v>59</v>
      </c>
      <c r="D1723" t="s">
        <v>60</v>
      </c>
      <c r="E1723" s="4">
        <v>0</v>
      </c>
      <c r="F1723" s="4">
        <v>0</v>
      </c>
      <c r="G1723" s="4">
        <v>27.95</v>
      </c>
      <c r="H1723" s="4">
        <v>0</v>
      </c>
      <c r="I1723" s="4">
        <v>0</v>
      </c>
      <c r="J1723" s="4">
        <v>0</v>
      </c>
      <c r="K1723" s="4">
        <v>0</v>
      </c>
      <c r="L1723" s="4">
        <v>0</v>
      </c>
      <c r="M1723" s="4">
        <v>0</v>
      </c>
      <c r="N1723" s="4">
        <v>0</v>
      </c>
      <c r="O1723" s="4">
        <v>0</v>
      </c>
      <c r="P1723" s="4">
        <v>0</v>
      </c>
      <c r="Q1723" s="4">
        <v>0</v>
      </c>
      <c r="S1723" s="8">
        <f t="shared" si="78"/>
        <v>0</v>
      </c>
      <c r="T1723" s="8">
        <f t="shared" si="79"/>
        <v>0</v>
      </c>
      <c r="U1723" s="9" t="e">
        <f t="shared" si="80"/>
        <v>#DIV/0!</v>
      </c>
    </row>
    <row r="1724" spans="1:21" outlineLevel="2">
      <c r="A1724" t="s">
        <v>516</v>
      </c>
      <c r="B1724" t="s">
        <v>483</v>
      </c>
      <c r="C1724" t="s">
        <v>196</v>
      </c>
      <c r="D1724" t="s">
        <v>197</v>
      </c>
      <c r="E1724" s="4">
        <v>0</v>
      </c>
      <c r="F1724" s="4">
        <v>2738.75</v>
      </c>
      <c r="G1724" s="4">
        <v>0</v>
      </c>
      <c r="H1724" s="4">
        <v>0</v>
      </c>
      <c r="I1724" s="4">
        <v>0</v>
      </c>
      <c r="J1724" s="4">
        <v>0</v>
      </c>
      <c r="K1724" s="4">
        <v>0</v>
      </c>
      <c r="L1724" s="4">
        <v>0</v>
      </c>
      <c r="M1724" s="4">
        <v>0</v>
      </c>
      <c r="N1724" s="4">
        <v>0</v>
      </c>
      <c r="O1724" s="4">
        <v>220</v>
      </c>
      <c r="P1724" s="4">
        <v>0</v>
      </c>
      <c r="Q1724" s="4">
        <v>0</v>
      </c>
      <c r="S1724" s="8">
        <f t="shared" si="78"/>
        <v>36.666666666666664</v>
      </c>
      <c r="T1724" s="8">
        <f t="shared" si="79"/>
        <v>-36.666666666666664</v>
      </c>
      <c r="U1724" s="9">
        <f t="shared" si="80"/>
        <v>-1</v>
      </c>
    </row>
    <row r="1725" spans="1:21" outlineLevel="2">
      <c r="A1725" t="s">
        <v>516</v>
      </c>
      <c r="B1725" t="s">
        <v>483</v>
      </c>
      <c r="C1725" t="s">
        <v>83</v>
      </c>
      <c r="D1725" t="s">
        <v>84</v>
      </c>
      <c r="E1725" s="4">
        <v>1019.86</v>
      </c>
      <c r="F1725" s="4">
        <v>0</v>
      </c>
      <c r="G1725" s="4">
        <v>0</v>
      </c>
      <c r="H1725" s="4">
        <v>79.509999999999877</v>
      </c>
      <c r="I1725" s="4">
        <v>0</v>
      </c>
      <c r="J1725" s="4">
        <v>0</v>
      </c>
      <c r="K1725" s="4">
        <v>0</v>
      </c>
      <c r="L1725" s="4">
        <v>0</v>
      </c>
      <c r="M1725" s="4">
        <v>0</v>
      </c>
      <c r="N1725" s="4">
        <v>0</v>
      </c>
      <c r="O1725" s="4">
        <v>0</v>
      </c>
      <c r="P1725" s="4">
        <v>0</v>
      </c>
      <c r="Q1725" s="4">
        <v>0</v>
      </c>
      <c r="S1725" s="8">
        <f t="shared" si="78"/>
        <v>0</v>
      </c>
      <c r="T1725" s="8">
        <f t="shared" si="79"/>
        <v>0</v>
      </c>
      <c r="U1725" s="9" t="e">
        <f t="shared" si="80"/>
        <v>#DIV/0!</v>
      </c>
    </row>
    <row r="1726" spans="1:21" outlineLevel="2">
      <c r="A1726" t="s">
        <v>516</v>
      </c>
      <c r="B1726" t="s">
        <v>483</v>
      </c>
      <c r="C1726" t="s">
        <v>111</v>
      </c>
      <c r="D1726" t="s">
        <v>112</v>
      </c>
      <c r="E1726" s="4">
        <v>0</v>
      </c>
      <c r="F1726" s="4">
        <v>0</v>
      </c>
      <c r="G1726" s="4">
        <v>0</v>
      </c>
      <c r="H1726" s="4">
        <v>0</v>
      </c>
      <c r="I1726" s="4">
        <v>-392.2</v>
      </c>
      <c r="J1726" s="4">
        <v>0</v>
      </c>
      <c r="K1726" s="4">
        <v>0</v>
      </c>
      <c r="L1726" s="4">
        <v>0</v>
      </c>
      <c r="M1726" s="4">
        <v>0</v>
      </c>
      <c r="N1726" s="4">
        <v>0</v>
      </c>
      <c r="O1726" s="4">
        <v>0</v>
      </c>
      <c r="P1726" s="4">
        <v>0</v>
      </c>
      <c r="Q1726" s="4">
        <v>0</v>
      </c>
      <c r="S1726" s="8">
        <f t="shared" si="78"/>
        <v>0</v>
      </c>
      <c r="T1726" s="8">
        <f t="shared" si="79"/>
        <v>0</v>
      </c>
      <c r="U1726" s="9" t="e">
        <f t="shared" si="80"/>
        <v>#DIV/0!</v>
      </c>
    </row>
    <row r="1727" spans="1:21" outlineLevel="2">
      <c r="A1727" t="s">
        <v>516</v>
      </c>
      <c r="B1727" t="s">
        <v>483</v>
      </c>
      <c r="C1727" t="s">
        <v>127</v>
      </c>
      <c r="D1727" t="s">
        <v>120</v>
      </c>
      <c r="E1727" s="4">
        <v>0</v>
      </c>
      <c r="F1727" s="4">
        <v>0</v>
      </c>
      <c r="G1727" s="4">
        <v>0</v>
      </c>
      <c r="H1727" s="4">
        <v>0</v>
      </c>
      <c r="I1727" s="4">
        <v>0</v>
      </c>
      <c r="J1727" s="4">
        <v>0</v>
      </c>
      <c r="K1727" s="4">
        <v>0</v>
      </c>
      <c r="L1727" s="4">
        <v>0</v>
      </c>
      <c r="M1727" s="4">
        <v>220.51</v>
      </c>
      <c r="N1727" s="4">
        <v>116</v>
      </c>
      <c r="O1727" s="4">
        <v>0</v>
      </c>
      <c r="P1727" s="4">
        <v>0</v>
      </c>
      <c r="Q1727" s="4">
        <v>0</v>
      </c>
      <c r="S1727" s="8">
        <f t="shared" si="78"/>
        <v>56.085000000000001</v>
      </c>
      <c r="T1727" s="8">
        <f t="shared" si="79"/>
        <v>-56.085000000000001</v>
      </c>
      <c r="U1727" s="9">
        <f t="shared" si="80"/>
        <v>-1</v>
      </c>
    </row>
    <row r="1728" spans="1:21" outlineLevel="1">
      <c r="A1728" s="1" t="s">
        <v>813</v>
      </c>
      <c r="E1728" s="4">
        <f>SUBTOTAL(9,E1720:E1727)</f>
        <v>1873.78</v>
      </c>
      <c r="F1728" s="4">
        <f>SUBTOTAL(9,F1720:F1727)</f>
        <v>2785.31</v>
      </c>
      <c r="G1728" s="4">
        <f>SUBTOTAL(9,G1720:G1727)</f>
        <v>27.95</v>
      </c>
      <c r="H1728" s="4">
        <f>SUBTOTAL(9,H1720:H1727)</f>
        <v>79.509999999999877</v>
      </c>
      <c r="I1728" s="4">
        <f>SUBTOTAL(9,I1720:I1727)</f>
        <v>-44.199999999999989</v>
      </c>
      <c r="J1728" s="4">
        <f>SUBTOTAL(9,J1720:J1727)</f>
        <v>6.3500000000000227</v>
      </c>
      <c r="K1728" s="4">
        <f>SUBTOTAL(9,K1720:K1727)</f>
        <v>89.65</v>
      </c>
      <c r="L1728" s="4">
        <f>SUBTOTAL(9,L1720:L1727)</f>
        <v>14.44</v>
      </c>
      <c r="M1728" s="4">
        <f>SUBTOTAL(9,M1720:M1727)</f>
        <v>414.64</v>
      </c>
      <c r="N1728" s="4">
        <f>SUBTOTAL(9,N1720:N1727)</f>
        <v>178.44</v>
      </c>
      <c r="O1728" s="4">
        <f>SUBTOTAL(9,O1720:O1727)</f>
        <v>231.33</v>
      </c>
      <c r="P1728" s="4">
        <f>SUBTOTAL(9,P1720:P1727)</f>
        <v>116</v>
      </c>
      <c r="Q1728" s="4">
        <f>SUBTOTAL(9,Q1720:Q1727)</f>
        <v>113.86</v>
      </c>
      <c r="R1728" s="4">
        <f>SUBTOTAL(9,R1720:R1727)</f>
        <v>38.75</v>
      </c>
      <c r="S1728" s="8">
        <f t="shared" si="78"/>
        <v>178.11833333333334</v>
      </c>
      <c r="T1728" s="8">
        <f t="shared" si="79"/>
        <v>-139.36833333333334</v>
      </c>
      <c r="U1728" s="9">
        <f t="shared" si="80"/>
        <v>-0.78244799805372833</v>
      </c>
    </row>
    <row r="1729" spans="1:21" outlineLevel="2">
      <c r="A1729" t="s">
        <v>517</v>
      </c>
      <c r="B1729" t="s">
        <v>267</v>
      </c>
      <c r="C1729" t="s">
        <v>19</v>
      </c>
      <c r="D1729" t="s">
        <v>20</v>
      </c>
      <c r="E1729" s="4">
        <v>0</v>
      </c>
      <c r="F1729" s="4">
        <v>9.0949470177292824E-13</v>
      </c>
      <c r="G1729" s="4">
        <v>7.2475359047530219E-13</v>
      </c>
      <c r="H1729" s="4">
        <v>1.1368683772161603E-13</v>
      </c>
      <c r="I1729" s="4">
        <v>0</v>
      </c>
      <c r="J1729" s="4">
        <v>0</v>
      </c>
      <c r="K1729" s="4">
        <v>5.6843418860808015E-14</v>
      </c>
      <c r="L1729" s="4">
        <v>1.8189894035458565E-12</v>
      </c>
      <c r="M1729" s="4">
        <v>-2.8421709430404007E-12</v>
      </c>
      <c r="N1729" s="4">
        <v>0</v>
      </c>
      <c r="O1729" s="4">
        <v>0</v>
      </c>
      <c r="P1729" s="4">
        <v>8.5265128291212022E-14</v>
      </c>
      <c r="Q1729" s="4">
        <v>0</v>
      </c>
      <c r="S1729" s="8">
        <f t="shared" si="78"/>
        <v>-1.5631940186722204E-13</v>
      </c>
      <c r="T1729" s="8">
        <f t="shared" si="79"/>
        <v>1.5631940186722204E-13</v>
      </c>
      <c r="U1729" s="9">
        <f t="shared" si="80"/>
        <v>-1</v>
      </c>
    </row>
    <row r="1730" spans="1:21" outlineLevel="2">
      <c r="A1730" t="s">
        <v>517</v>
      </c>
      <c r="B1730" t="s">
        <v>267</v>
      </c>
      <c r="C1730" t="s">
        <v>21</v>
      </c>
      <c r="D1730" t="s">
        <v>22</v>
      </c>
      <c r="E1730" s="4">
        <v>0</v>
      </c>
      <c r="F1730" s="4">
        <v>0</v>
      </c>
      <c r="G1730" s="4">
        <v>0</v>
      </c>
      <c r="H1730" s="4">
        <v>0</v>
      </c>
      <c r="I1730" s="4">
        <v>0</v>
      </c>
      <c r="J1730" s="4">
        <v>0</v>
      </c>
      <c r="K1730" s="4">
        <v>0</v>
      </c>
      <c r="L1730" s="4">
        <v>0</v>
      </c>
      <c r="M1730" s="4">
        <v>2.8421709430404007E-14</v>
      </c>
      <c r="N1730" s="4">
        <v>0</v>
      </c>
      <c r="O1730" s="4">
        <v>0</v>
      </c>
      <c r="P1730" s="4">
        <v>0</v>
      </c>
      <c r="Q1730" s="4">
        <v>0</v>
      </c>
      <c r="S1730" s="8">
        <f t="shared" si="78"/>
        <v>4.736951571734001E-15</v>
      </c>
      <c r="T1730" s="8">
        <f t="shared" si="79"/>
        <v>-4.736951571734001E-15</v>
      </c>
      <c r="U1730" s="9">
        <f t="shared" si="80"/>
        <v>-1</v>
      </c>
    </row>
    <row r="1731" spans="1:21" outlineLevel="2">
      <c r="A1731" t="s">
        <v>517</v>
      </c>
      <c r="B1731" t="s">
        <v>267</v>
      </c>
      <c r="C1731" t="s">
        <v>23</v>
      </c>
      <c r="D1731" t="s">
        <v>24</v>
      </c>
      <c r="E1731" s="4">
        <v>0</v>
      </c>
      <c r="F1731" s="4">
        <v>-1.1368683772161603E-13</v>
      </c>
      <c r="G1731" s="4">
        <v>0</v>
      </c>
      <c r="H1731" s="4">
        <v>0</v>
      </c>
      <c r="I1731" s="4">
        <v>0</v>
      </c>
      <c r="J1731" s="4">
        <v>0</v>
      </c>
      <c r="K1731" s="4">
        <v>0</v>
      </c>
      <c r="L1731" s="4">
        <v>0</v>
      </c>
      <c r="M1731" s="4">
        <v>-1.4210854715202004E-13</v>
      </c>
      <c r="N1731" s="4">
        <v>0</v>
      </c>
      <c r="O1731" s="4">
        <v>2.8421709430404007E-14</v>
      </c>
      <c r="P1731" s="4">
        <v>0</v>
      </c>
      <c r="Q1731" s="4">
        <v>0</v>
      </c>
      <c r="S1731" s="8">
        <f t="shared" ref="S1731:S1794" si="81">AVERAGE(L1731:Q1731)</f>
        <v>-1.8947806286936004E-14</v>
      </c>
      <c r="T1731" s="8">
        <f t="shared" ref="T1731:T1794" si="82">R1731-S1731</f>
        <v>1.8947806286936004E-14</v>
      </c>
      <c r="U1731" s="9">
        <f t="shared" ref="U1731:U1794" si="83">(R1731-S1731)/S1731</f>
        <v>-1</v>
      </c>
    </row>
    <row r="1732" spans="1:21" outlineLevel="2">
      <c r="A1732" t="s">
        <v>517</v>
      </c>
      <c r="B1732" t="s">
        <v>267</v>
      </c>
      <c r="C1732" t="s">
        <v>25</v>
      </c>
      <c r="D1732" t="s">
        <v>26</v>
      </c>
      <c r="E1732" s="4">
        <v>0</v>
      </c>
      <c r="F1732" s="4">
        <v>0</v>
      </c>
      <c r="G1732" s="4">
        <v>0</v>
      </c>
      <c r="H1732" s="4">
        <v>0</v>
      </c>
      <c r="I1732" s="4">
        <v>0</v>
      </c>
      <c r="J1732" s="4">
        <v>0</v>
      </c>
      <c r="K1732" s="4">
        <v>0</v>
      </c>
      <c r="L1732" s="4">
        <v>0</v>
      </c>
      <c r="M1732" s="4">
        <v>0</v>
      </c>
      <c r="N1732" s="4">
        <v>0</v>
      </c>
      <c r="O1732" s="4">
        <v>0</v>
      </c>
      <c r="P1732" s="4">
        <v>0</v>
      </c>
      <c r="Q1732" s="4">
        <v>0</v>
      </c>
      <c r="S1732" s="8">
        <f t="shared" si="81"/>
        <v>0</v>
      </c>
      <c r="T1732" s="8">
        <f t="shared" si="82"/>
        <v>0</v>
      </c>
      <c r="U1732" s="9" t="e">
        <f t="shared" si="83"/>
        <v>#DIV/0!</v>
      </c>
    </row>
    <row r="1733" spans="1:21" outlineLevel="2">
      <c r="A1733" t="s">
        <v>517</v>
      </c>
      <c r="B1733" t="s">
        <v>267</v>
      </c>
      <c r="C1733" t="s">
        <v>27</v>
      </c>
      <c r="D1733" t="s">
        <v>28</v>
      </c>
      <c r="E1733" s="4">
        <v>0</v>
      </c>
      <c r="F1733" s="4">
        <v>0</v>
      </c>
      <c r="G1733" s="4">
        <v>0</v>
      </c>
      <c r="H1733" s="4">
        <v>0</v>
      </c>
      <c r="I1733" s="4">
        <v>0</v>
      </c>
      <c r="J1733" s="4">
        <v>0</v>
      </c>
      <c r="K1733" s="4">
        <v>0</v>
      </c>
      <c r="L1733" s="4">
        <v>0</v>
      </c>
      <c r="M1733" s="4">
        <v>0</v>
      </c>
      <c r="N1733" s="4">
        <v>0</v>
      </c>
      <c r="O1733" s="4">
        <v>0</v>
      </c>
      <c r="P1733" s="4">
        <v>0</v>
      </c>
      <c r="Q1733" s="4">
        <v>0</v>
      </c>
      <c r="S1733" s="8">
        <f t="shared" si="81"/>
        <v>0</v>
      </c>
      <c r="T1733" s="8">
        <f t="shared" si="82"/>
        <v>0</v>
      </c>
      <c r="U1733" s="9" t="e">
        <f t="shared" si="83"/>
        <v>#DIV/0!</v>
      </c>
    </row>
    <row r="1734" spans="1:21" outlineLevel="2">
      <c r="A1734" t="s">
        <v>517</v>
      </c>
      <c r="B1734" t="s">
        <v>267</v>
      </c>
      <c r="C1734" t="s">
        <v>136</v>
      </c>
      <c r="D1734" t="s">
        <v>137</v>
      </c>
      <c r="E1734" s="4">
        <v>0</v>
      </c>
      <c r="F1734" s="4">
        <v>-9.0949470177292824E-13</v>
      </c>
      <c r="G1734" s="4">
        <v>1.8189894035458565E-12</v>
      </c>
      <c r="H1734" s="4">
        <v>7.2759576141834259E-12</v>
      </c>
      <c r="I1734" s="4">
        <v>0</v>
      </c>
      <c r="J1734" s="4">
        <v>0</v>
      </c>
      <c r="K1734" s="4">
        <v>15385.730000000005</v>
      </c>
      <c r="L1734" s="4">
        <v>-15385.730000000003</v>
      </c>
      <c r="M1734" s="4">
        <v>1.8189894035458565E-12</v>
      </c>
      <c r="N1734" s="4">
        <v>0</v>
      </c>
      <c r="O1734" s="4">
        <v>0</v>
      </c>
      <c r="P1734" s="4">
        <v>0</v>
      </c>
      <c r="Q1734" s="4">
        <v>0</v>
      </c>
      <c r="S1734" s="8">
        <f t="shared" si="81"/>
        <v>-2564.2883333333334</v>
      </c>
      <c r="T1734" s="8">
        <f t="shared" si="82"/>
        <v>2564.2883333333334</v>
      </c>
      <c r="U1734" s="9">
        <f t="shared" si="83"/>
        <v>-1</v>
      </c>
    </row>
    <row r="1735" spans="1:21" outlineLevel="2">
      <c r="A1735" t="s">
        <v>517</v>
      </c>
      <c r="B1735" t="s">
        <v>267</v>
      </c>
      <c r="C1735" t="s">
        <v>138</v>
      </c>
      <c r="D1735" t="s">
        <v>139</v>
      </c>
      <c r="E1735" s="4">
        <v>0</v>
      </c>
      <c r="F1735" s="4">
        <v>1.3642420526593924E-12</v>
      </c>
      <c r="G1735" s="4">
        <v>9.0949470177292824E-13</v>
      </c>
      <c r="H1735" s="4">
        <v>1.8189894035458565E-12</v>
      </c>
      <c r="I1735" s="4">
        <v>3.637978807091713E-12</v>
      </c>
      <c r="J1735" s="4">
        <v>0</v>
      </c>
      <c r="K1735" s="4">
        <v>16997.8</v>
      </c>
      <c r="L1735" s="4">
        <v>-16997.8</v>
      </c>
      <c r="M1735" s="4">
        <v>0</v>
      </c>
      <c r="N1735" s="4">
        <v>3.637978807091713E-12</v>
      </c>
      <c r="O1735" s="4">
        <v>0</v>
      </c>
      <c r="P1735" s="4">
        <v>-4.5474735088646412E-13</v>
      </c>
      <c r="Q1735" s="4">
        <v>0</v>
      </c>
      <c r="S1735" s="8">
        <f t="shared" si="81"/>
        <v>-2832.9666666666658</v>
      </c>
      <c r="T1735" s="8">
        <f t="shared" si="82"/>
        <v>2832.9666666666658</v>
      </c>
      <c r="U1735" s="9">
        <f t="shared" si="83"/>
        <v>-1</v>
      </c>
    </row>
    <row r="1736" spans="1:21" outlineLevel="2">
      <c r="A1736" t="s">
        <v>517</v>
      </c>
      <c r="B1736" t="s">
        <v>267</v>
      </c>
      <c r="C1736" t="s">
        <v>29</v>
      </c>
      <c r="D1736" t="s">
        <v>30</v>
      </c>
      <c r="E1736" s="4">
        <v>0</v>
      </c>
      <c r="F1736" s="4">
        <v>-4.5474735088646412E-13</v>
      </c>
      <c r="G1736" s="4">
        <v>2.2737367544323206E-13</v>
      </c>
      <c r="H1736" s="4">
        <v>2.2737367544323206E-13</v>
      </c>
      <c r="I1736" s="4">
        <v>0</v>
      </c>
      <c r="J1736" s="4">
        <v>4.5474735088646412E-13</v>
      </c>
      <c r="K1736" s="4">
        <v>2526.69</v>
      </c>
      <c r="L1736" s="4">
        <v>-2526.69</v>
      </c>
      <c r="M1736" s="4">
        <v>0</v>
      </c>
      <c r="N1736" s="4">
        <v>9.0949470177292824E-13</v>
      </c>
      <c r="O1736" s="4">
        <v>-4.5474735088646412E-13</v>
      </c>
      <c r="P1736" s="4">
        <v>-1.1368683772161603E-13</v>
      </c>
      <c r="Q1736" s="4">
        <v>0</v>
      </c>
      <c r="S1736" s="8">
        <f t="shared" si="81"/>
        <v>-421.11499999999995</v>
      </c>
      <c r="T1736" s="8">
        <f t="shared" si="82"/>
        <v>421.11499999999995</v>
      </c>
      <c r="U1736" s="9">
        <f t="shared" si="83"/>
        <v>-1</v>
      </c>
    </row>
    <row r="1737" spans="1:21" outlineLevel="2">
      <c r="A1737" t="s">
        <v>517</v>
      </c>
      <c r="B1737" t="s">
        <v>267</v>
      </c>
      <c r="C1737" t="s">
        <v>31</v>
      </c>
      <c r="D1737" t="s">
        <v>32</v>
      </c>
      <c r="E1737" s="4">
        <v>0</v>
      </c>
      <c r="F1737" s="4">
        <v>0</v>
      </c>
      <c r="G1737" s="4">
        <v>0</v>
      </c>
      <c r="H1737" s="4">
        <v>0</v>
      </c>
      <c r="I1737" s="4">
        <v>0</v>
      </c>
      <c r="J1737" s="4">
        <v>0</v>
      </c>
      <c r="K1737" s="4">
        <v>0</v>
      </c>
      <c r="L1737" s="4">
        <v>0</v>
      </c>
      <c r="M1737" s="4">
        <v>0</v>
      </c>
      <c r="N1737" s="4">
        <v>0</v>
      </c>
      <c r="O1737" s="4">
        <v>0</v>
      </c>
      <c r="P1737" s="4">
        <v>0</v>
      </c>
      <c r="Q1737" s="4">
        <v>0</v>
      </c>
      <c r="S1737" s="8">
        <f t="shared" si="81"/>
        <v>0</v>
      </c>
      <c r="T1737" s="8">
        <f t="shared" si="82"/>
        <v>0</v>
      </c>
      <c r="U1737" s="9" t="e">
        <f t="shared" si="83"/>
        <v>#DIV/0!</v>
      </c>
    </row>
    <row r="1738" spans="1:21" outlineLevel="2">
      <c r="A1738" t="s">
        <v>517</v>
      </c>
      <c r="B1738" t="s">
        <v>267</v>
      </c>
      <c r="C1738" t="s">
        <v>142</v>
      </c>
      <c r="D1738" t="s">
        <v>143</v>
      </c>
      <c r="E1738" s="4">
        <v>0</v>
      </c>
      <c r="F1738" s="4">
        <v>0</v>
      </c>
      <c r="G1738" s="4">
        <v>0</v>
      </c>
      <c r="H1738" s="4">
        <v>0</v>
      </c>
      <c r="I1738" s="4">
        <v>0</v>
      </c>
      <c r="J1738" s="4">
        <v>0</v>
      </c>
      <c r="K1738" s="4">
        <v>0</v>
      </c>
      <c r="L1738" s="4">
        <v>0</v>
      </c>
      <c r="M1738" s="4">
        <v>0</v>
      </c>
      <c r="N1738" s="4">
        <v>0</v>
      </c>
      <c r="O1738" s="4">
        <v>0</v>
      </c>
      <c r="P1738" s="4">
        <v>0</v>
      </c>
      <c r="Q1738" s="4">
        <v>0</v>
      </c>
      <c r="S1738" s="8">
        <f t="shared" si="81"/>
        <v>0</v>
      </c>
      <c r="T1738" s="8">
        <f t="shared" si="82"/>
        <v>0</v>
      </c>
      <c r="U1738" s="9" t="e">
        <f t="shared" si="83"/>
        <v>#DIV/0!</v>
      </c>
    </row>
    <row r="1739" spans="1:21" outlineLevel="2">
      <c r="A1739" t="s">
        <v>517</v>
      </c>
      <c r="B1739" t="s">
        <v>267</v>
      </c>
      <c r="C1739" t="s">
        <v>144</v>
      </c>
      <c r="D1739" t="s">
        <v>145</v>
      </c>
      <c r="E1739" s="4">
        <v>0</v>
      </c>
      <c r="F1739" s="4">
        <v>-4586.0500000000011</v>
      </c>
      <c r="G1739" s="4">
        <v>4586.0499999999993</v>
      </c>
      <c r="H1739" s="4">
        <v>-2.2737367544323206E-13</v>
      </c>
      <c r="I1739" s="4">
        <v>0</v>
      </c>
      <c r="J1739" s="4">
        <v>0</v>
      </c>
      <c r="K1739" s="4">
        <v>-1043.5999999999997</v>
      </c>
      <c r="L1739" s="4">
        <v>1043.6000000000004</v>
      </c>
      <c r="M1739" s="4">
        <v>-7.9580786405131221E-13</v>
      </c>
      <c r="N1739" s="4">
        <v>0</v>
      </c>
      <c r="O1739" s="4">
        <v>0</v>
      </c>
      <c r="P1739" s="4">
        <v>0</v>
      </c>
      <c r="Q1739" s="4">
        <v>0</v>
      </c>
      <c r="S1739" s="8">
        <f t="shared" si="81"/>
        <v>173.93333333333325</v>
      </c>
      <c r="T1739" s="8">
        <f t="shared" si="82"/>
        <v>-173.93333333333325</v>
      </c>
      <c r="U1739" s="9">
        <f t="shared" si="83"/>
        <v>-1</v>
      </c>
    </row>
    <row r="1740" spans="1:21" outlineLevel="2">
      <c r="A1740" t="s">
        <v>517</v>
      </c>
      <c r="B1740" t="s">
        <v>267</v>
      </c>
      <c r="C1740" t="s">
        <v>146</v>
      </c>
      <c r="D1740" t="s">
        <v>147</v>
      </c>
      <c r="E1740" s="4">
        <v>-2.2737367544323206E-13</v>
      </c>
      <c r="F1740" s="4">
        <v>-2.2737367544323206E-13</v>
      </c>
      <c r="G1740" s="4">
        <v>4.5474735088646412E-13</v>
      </c>
      <c r="H1740" s="4">
        <v>0</v>
      </c>
      <c r="I1740" s="4">
        <v>-9.0949470177292824E-13</v>
      </c>
      <c r="J1740" s="4">
        <v>0</v>
      </c>
      <c r="K1740" s="4">
        <v>2354.7699999999991</v>
      </c>
      <c r="L1740" s="4">
        <v>-2354.77</v>
      </c>
      <c r="M1740" s="4">
        <v>628.05000000000018</v>
      </c>
      <c r="N1740" s="4">
        <v>-628.05000000000018</v>
      </c>
      <c r="O1740" s="4">
        <v>-4.5474735088646412E-13</v>
      </c>
      <c r="P1740" s="4">
        <v>-4.5474735088646412E-13</v>
      </c>
      <c r="Q1740" s="4">
        <v>0</v>
      </c>
      <c r="S1740" s="8">
        <f t="shared" si="81"/>
        <v>-392.46166666666682</v>
      </c>
      <c r="T1740" s="8">
        <f t="shared" si="82"/>
        <v>392.46166666666682</v>
      </c>
      <c r="U1740" s="9">
        <f t="shared" si="83"/>
        <v>-1</v>
      </c>
    </row>
    <row r="1741" spans="1:21" outlineLevel="2">
      <c r="A1741" t="s">
        <v>517</v>
      </c>
      <c r="B1741" t="s">
        <v>267</v>
      </c>
      <c r="C1741" t="s">
        <v>148</v>
      </c>
      <c r="D1741" t="s">
        <v>149</v>
      </c>
      <c r="E1741" s="4">
        <v>0</v>
      </c>
      <c r="F1741" s="4">
        <v>0</v>
      </c>
      <c r="G1741" s="4">
        <v>0</v>
      </c>
      <c r="H1741" s="4">
        <v>0</v>
      </c>
      <c r="I1741" s="4">
        <v>0</v>
      </c>
      <c r="J1741" s="4">
        <v>0</v>
      </c>
      <c r="K1741" s="4">
        <v>0</v>
      </c>
      <c r="L1741" s="4">
        <v>0</v>
      </c>
      <c r="M1741" s="4">
        <v>0</v>
      </c>
      <c r="N1741" s="4">
        <v>0</v>
      </c>
      <c r="O1741" s="4">
        <v>0</v>
      </c>
      <c r="P1741" s="4">
        <v>0</v>
      </c>
      <c r="Q1741" s="4">
        <v>0</v>
      </c>
      <c r="S1741" s="8">
        <f t="shared" si="81"/>
        <v>0</v>
      </c>
      <c r="T1741" s="8">
        <f t="shared" si="82"/>
        <v>0</v>
      </c>
      <c r="U1741" s="9" t="e">
        <f t="shared" si="83"/>
        <v>#DIV/0!</v>
      </c>
    </row>
    <row r="1742" spans="1:21" outlineLevel="2">
      <c r="A1742" t="s">
        <v>517</v>
      </c>
      <c r="B1742" t="s">
        <v>267</v>
      </c>
      <c r="C1742" t="s">
        <v>150</v>
      </c>
      <c r="D1742" t="s">
        <v>151</v>
      </c>
      <c r="E1742" s="4">
        <v>0</v>
      </c>
      <c r="F1742" s="4">
        <v>0</v>
      </c>
      <c r="G1742" s="4">
        <v>0</v>
      </c>
      <c r="H1742" s="4">
        <v>0</v>
      </c>
      <c r="I1742" s="4">
        <v>11199.05</v>
      </c>
      <c r="J1742" s="4">
        <v>0</v>
      </c>
      <c r="K1742" s="4">
        <v>0</v>
      </c>
      <c r="L1742" s="4">
        <v>0</v>
      </c>
      <c r="M1742" s="4">
        <v>-11199.05</v>
      </c>
      <c r="N1742" s="4">
        <v>0</v>
      </c>
      <c r="O1742" s="4">
        <v>0</v>
      </c>
      <c r="P1742" s="4">
        <v>0</v>
      </c>
      <c r="Q1742" s="4">
        <v>0</v>
      </c>
      <c r="S1742" s="8">
        <f t="shared" si="81"/>
        <v>-1866.5083333333332</v>
      </c>
      <c r="T1742" s="8">
        <f t="shared" si="82"/>
        <v>1866.5083333333332</v>
      </c>
      <c r="U1742" s="9">
        <f t="shared" si="83"/>
        <v>-1</v>
      </c>
    </row>
    <row r="1743" spans="1:21" outlineLevel="2">
      <c r="A1743" t="s">
        <v>517</v>
      </c>
      <c r="B1743" t="s">
        <v>267</v>
      </c>
      <c r="C1743" t="s">
        <v>152</v>
      </c>
      <c r="D1743" t="s">
        <v>153</v>
      </c>
      <c r="E1743" s="4">
        <v>0</v>
      </c>
      <c r="F1743" s="4">
        <v>4.5474735088646412E-13</v>
      </c>
      <c r="G1743" s="4">
        <v>-9.0949470177292824E-13</v>
      </c>
      <c r="H1743" s="4">
        <v>6.8212102632969618E-13</v>
      </c>
      <c r="I1743" s="4">
        <v>-9.0949470177292824E-13</v>
      </c>
      <c r="J1743" s="4">
        <v>9.0949470177292824E-13</v>
      </c>
      <c r="K1743" s="4">
        <v>1814.6300000000003</v>
      </c>
      <c r="L1743" s="4">
        <v>-1814.63</v>
      </c>
      <c r="M1743" s="4">
        <v>2.2737367544323206E-13</v>
      </c>
      <c r="N1743" s="4">
        <v>0</v>
      </c>
      <c r="O1743" s="4">
        <v>0</v>
      </c>
      <c r="P1743" s="4">
        <v>4.5474735088646412E-13</v>
      </c>
      <c r="Q1743" s="4">
        <v>0</v>
      </c>
      <c r="S1743" s="8">
        <f t="shared" si="81"/>
        <v>-302.43833333333322</v>
      </c>
      <c r="T1743" s="8">
        <f t="shared" si="82"/>
        <v>302.43833333333322</v>
      </c>
      <c r="U1743" s="9">
        <f t="shared" si="83"/>
        <v>-1</v>
      </c>
    </row>
    <row r="1744" spans="1:21" outlineLevel="2">
      <c r="A1744" t="s">
        <v>517</v>
      </c>
      <c r="B1744" t="s">
        <v>267</v>
      </c>
      <c r="C1744" t="s">
        <v>154</v>
      </c>
      <c r="D1744" t="s">
        <v>155</v>
      </c>
      <c r="E1744" s="4">
        <v>0</v>
      </c>
      <c r="F1744" s="4">
        <v>0</v>
      </c>
      <c r="G1744" s="4">
        <v>0</v>
      </c>
      <c r="H1744" s="4">
        <v>0</v>
      </c>
      <c r="I1744" s="4">
        <v>0</v>
      </c>
      <c r="J1744" s="4">
        <v>0</v>
      </c>
      <c r="K1744" s="4">
        <v>0</v>
      </c>
      <c r="L1744" s="4">
        <v>0</v>
      </c>
      <c r="M1744" s="4">
        <v>0</v>
      </c>
      <c r="N1744" s="4">
        <v>0</v>
      </c>
      <c r="O1744" s="4">
        <v>0</v>
      </c>
      <c r="P1744" s="4">
        <v>0</v>
      </c>
      <c r="Q1744" s="4">
        <v>0</v>
      </c>
      <c r="S1744" s="8">
        <f t="shared" si="81"/>
        <v>0</v>
      </c>
      <c r="T1744" s="8">
        <f t="shared" si="82"/>
        <v>0</v>
      </c>
      <c r="U1744" s="9" t="e">
        <f t="shared" si="83"/>
        <v>#DIV/0!</v>
      </c>
    </row>
    <row r="1745" spans="1:21" outlineLevel="2">
      <c r="A1745" t="s">
        <v>517</v>
      </c>
      <c r="B1745" t="s">
        <v>267</v>
      </c>
      <c r="C1745" t="s">
        <v>158</v>
      </c>
      <c r="D1745" t="s">
        <v>159</v>
      </c>
      <c r="E1745" s="4">
        <v>0</v>
      </c>
      <c r="F1745" s="4">
        <v>0</v>
      </c>
      <c r="G1745" s="4">
        <v>0</v>
      </c>
      <c r="H1745" s="4">
        <v>-2.8421709430404007E-14</v>
      </c>
      <c r="I1745" s="4">
        <v>0</v>
      </c>
      <c r="J1745" s="4">
        <v>3.4106051316484809E-13</v>
      </c>
      <c r="K1745" s="4">
        <v>0</v>
      </c>
      <c r="L1745" s="4">
        <v>0</v>
      </c>
      <c r="M1745" s="4">
        <v>0</v>
      </c>
      <c r="N1745" s="4">
        <v>0</v>
      </c>
      <c r="O1745" s="4">
        <v>0</v>
      </c>
      <c r="P1745" s="4">
        <v>-7.2759576141834259E-12</v>
      </c>
      <c r="Q1745" s="4">
        <v>0</v>
      </c>
      <c r="S1745" s="8">
        <f t="shared" si="81"/>
        <v>-1.2126596023639042E-12</v>
      </c>
      <c r="T1745" s="8">
        <f t="shared" si="82"/>
        <v>1.2126596023639042E-12</v>
      </c>
      <c r="U1745" s="9">
        <f t="shared" si="83"/>
        <v>-1</v>
      </c>
    </row>
    <row r="1746" spans="1:21" outlineLevel="2">
      <c r="A1746" t="s">
        <v>517</v>
      </c>
      <c r="B1746" t="s">
        <v>267</v>
      </c>
      <c r="C1746" t="s">
        <v>160</v>
      </c>
      <c r="D1746" t="s">
        <v>161</v>
      </c>
      <c r="E1746" s="4">
        <v>0</v>
      </c>
      <c r="F1746" s="4">
        <v>0</v>
      </c>
      <c r="G1746" s="4">
        <v>0</v>
      </c>
      <c r="H1746" s="4">
        <v>0</v>
      </c>
      <c r="I1746" s="4">
        <v>0</v>
      </c>
      <c r="J1746" s="4">
        <v>0</v>
      </c>
      <c r="K1746" s="4">
        <v>0</v>
      </c>
      <c r="L1746" s="4">
        <v>0</v>
      </c>
      <c r="M1746" s="4">
        <v>801.92</v>
      </c>
      <c r="N1746" s="4">
        <v>-801.92</v>
      </c>
      <c r="O1746" s="4">
        <v>0</v>
      </c>
      <c r="P1746" s="4">
        <v>0</v>
      </c>
      <c r="Q1746" s="4">
        <v>0</v>
      </c>
      <c r="S1746" s="8">
        <f t="shared" si="81"/>
        <v>0</v>
      </c>
      <c r="T1746" s="8">
        <f t="shared" si="82"/>
        <v>0</v>
      </c>
      <c r="U1746" s="9" t="e">
        <f t="shared" si="83"/>
        <v>#DIV/0!</v>
      </c>
    </row>
    <row r="1747" spans="1:21" outlineLevel="2">
      <c r="A1747" t="s">
        <v>517</v>
      </c>
      <c r="B1747" t="s">
        <v>267</v>
      </c>
      <c r="C1747" t="s">
        <v>47</v>
      </c>
      <c r="D1747" t="s">
        <v>48</v>
      </c>
      <c r="E1747" s="4">
        <v>-4.4586556668946287E-13</v>
      </c>
      <c r="F1747" s="4">
        <v>0</v>
      </c>
      <c r="G1747" s="4">
        <v>-1.8189894035458565E-12</v>
      </c>
      <c r="H1747" s="4">
        <v>-2.2737367544323206E-13</v>
      </c>
      <c r="I1747" s="4">
        <v>-2.2737367544323206E-13</v>
      </c>
      <c r="J1747" s="4">
        <v>0</v>
      </c>
      <c r="K1747" s="4">
        <v>0</v>
      </c>
      <c r="L1747" s="4">
        <v>0</v>
      </c>
      <c r="M1747" s="4">
        <v>9.0949470177292824E-13</v>
      </c>
      <c r="N1747" s="4">
        <v>-2.2737367544323206E-13</v>
      </c>
      <c r="O1747" s="4">
        <v>0</v>
      </c>
      <c r="P1747" s="4">
        <v>0</v>
      </c>
      <c r="Q1747" s="4">
        <v>-9.0951551845463996E-15</v>
      </c>
      <c r="S1747" s="8">
        <f t="shared" si="81"/>
        <v>1.1217097852419163E-13</v>
      </c>
      <c r="T1747" s="8">
        <f t="shared" si="82"/>
        <v>-1.1217097852419163E-13</v>
      </c>
      <c r="U1747" s="9">
        <f t="shared" si="83"/>
        <v>-1</v>
      </c>
    </row>
    <row r="1748" spans="1:21" outlineLevel="2">
      <c r="A1748" t="s">
        <v>517</v>
      </c>
      <c r="B1748" t="s">
        <v>267</v>
      </c>
      <c r="C1748" t="s">
        <v>49</v>
      </c>
      <c r="D1748" t="s">
        <v>50</v>
      </c>
      <c r="E1748" s="4">
        <v>5.6843418860808015E-14</v>
      </c>
      <c r="F1748" s="4">
        <v>0</v>
      </c>
      <c r="G1748" s="4">
        <v>-10363.34</v>
      </c>
      <c r="H1748" s="4">
        <v>0</v>
      </c>
      <c r="I1748" s="4">
        <v>0</v>
      </c>
      <c r="J1748" s="4">
        <v>0</v>
      </c>
      <c r="K1748" s="4">
        <v>0</v>
      </c>
      <c r="L1748" s="4">
        <v>0</v>
      </c>
      <c r="M1748" s="4">
        <v>-5.6843418860808015E-13</v>
      </c>
      <c r="N1748" s="4">
        <v>0</v>
      </c>
      <c r="O1748" s="4">
        <v>0</v>
      </c>
      <c r="P1748" s="4">
        <v>10363.34</v>
      </c>
      <c r="Q1748" s="4">
        <v>2.2737367544323206E-13</v>
      </c>
      <c r="R1748" s="4">
        <v>3711.14</v>
      </c>
      <c r="S1748" s="8">
        <f t="shared" si="81"/>
        <v>1727.2233333333334</v>
      </c>
      <c r="T1748" s="8">
        <f t="shared" si="82"/>
        <v>1983.9166666666665</v>
      </c>
      <c r="U1748" s="9">
        <f t="shared" si="83"/>
        <v>1.1486161797258412</v>
      </c>
    </row>
    <row r="1749" spans="1:21" outlineLevel="2">
      <c r="A1749" t="s">
        <v>517</v>
      </c>
      <c r="B1749" t="s">
        <v>267</v>
      </c>
      <c r="C1749" t="s">
        <v>344</v>
      </c>
      <c r="D1749" t="s">
        <v>345</v>
      </c>
      <c r="E1749" s="4">
        <v>0</v>
      </c>
      <c r="F1749" s="4">
        <v>0</v>
      </c>
      <c r="G1749" s="4">
        <v>-26087.22</v>
      </c>
      <c r="H1749" s="4">
        <v>-1.0231815394945443E-12</v>
      </c>
      <c r="I1749" s="4">
        <v>0</v>
      </c>
      <c r="J1749" s="4">
        <v>0</v>
      </c>
      <c r="K1749" s="4">
        <v>0</v>
      </c>
      <c r="L1749" s="4">
        <v>0</v>
      </c>
      <c r="M1749" s="4">
        <v>0</v>
      </c>
      <c r="N1749" s="4">
        <v>0</v>
      </c>
      <c r="O1749" s="4">
        <v>0</v>
      </c>
      <c r="P1749" s="4">
        <v>26087.22</v>
      </c>
      <c r="Q1749" s="4">
        <v>0</v>
      </c>
      <c r="S1749" s="8">
        <f t="shared" si="81"/>
        <v>4347.87</v>
      </c>
      <c r="T1749" s="8">
        <f t="shared" si="82"/>
        <v>-4347.87</v>
      </c>
      <c r="U1749" s="9">
        <f t="shared" si="83"/>
        <v>-1</v>
      </c>
    </row>
    <row r="1750" spans="1:21" outlineLevel="2">
      <c r="A1750" t="s">
        <v>517</v>
      </c>
      <c r="B1750" t="s">
        <v>267</v>
      </c>
      <c r="C1750" t="s">
        <v>164</v>
      </c>
      <c r="D1750" t="s">
        <v>165</v>
      </c>
      <c r="E1750" s="4">
        <v>0</v>
      </c>
      <c r="F1750" s="4">
        <v>0</v>
      </c>
      <c r="G1750" s="4">
        <v>0</v>
      </c>
      <c r="H1750" s="4">
        <v>0</v>
      </c>
      <c r="I1750" s="4">
        <v>0</v>
      </c>
      <c r="J1750" s="4">
        <v>0</v>
      </c>
      <c r="K1750" s="4">
        <v>35</v>
      </c>
      <c r="L1750" s="4">
        <v>-35</v>
      </c>
      <c r="M1750" s="4">
        <v>0</v>
      </c>
      <c r="N1750" s="4">
        <v>0</v>
      </c>
      <c r="O1750" s="4">
        <v>0</v>
      </c>
      <c r="P1750" s="4">
        <v>0</v>
      </c>
      <c r="Q1750" s="4">
        <v>0</v>
      </c>
      <c r="S1750" s="8">
        <f t="shared" si="81"/>
        <v>-5.833333333333333</v>
      </c>
      <c r="T1750" s="8">
        <f t="shared" si="82"/>
        <v>5.833333333333333</v>
      </c>
      <c r="U1750" s="9">
        <f t="shared" si="83"/>
        <v>-1</v>
      </c>
    </row>
    <row r="1751" spans="1:21" outlineLevel="2">
      <c r="A1751" t="s">
        <v>517</v>
      </c>
      <c r="B1751" t="s">
        <v>267</v>
      </c>
      <c r="C1751" t="s">
        <v>55</v>
      </c>
      <c r="D1751" t="s">
        <v>56</v>
      </c>
      <c r="E1751" s="4">
        <v>5.6843418860808015E-14</v>
      </c>
      <c r="F1751" s="4">
        <v>-2.3625545964023331E-13</v>
      </c>
      <c r="G1751" s="4">
        <v>-5.6843418860808015E-14</v>
      </c>
      <c r="H1751" s="4">
        <v>-1.1368683772161603E-13</v>
      </c>
      <c r="I1751" s="4">
        <v>0</v>
      </c>
      <c r="J1751" s="4">
        <v>0</v>
      </c>
      <c r="K1751" s="4">
        <v>882.74</v>
      </c>
      <c r="L1751" s="4">
        <v>-882.74</v>
      </c>
      <c r="M1751" s="4">
        <v>-5.6843418860808015E-14</v>
      </c>
      <c r="N1751" s="4">
        <v>0</v>
      </c>
      <c r="O1751" s="4">
        <v>0</v>
      </c>
      <c r="P1751" s="4">
        <v>0</v>
      </c>
      <c r="Q1751" s="4">
        <v>3602.25</v>
      </c>
      <c r="S1751" s="8">
        <f t="shared" si="81"/>
        <v>453.25166666666672</v>
      </c>
      <c r="T1751" s="8">
        <f t="shared" si="82"/>
        <v>-453.25166666666672</v>
      </c>
      <c r="U1751" s="9">
        <f t="shared" si="83"/>
        <v>-1</v>
      </c>
    </row>
    <row r="1752" spans="1:21" outlineLevel="2">
      <c r="A1752" t="s">
        <v>517</v>
      </c>
      <c r="B1752" t="s">
        <v>267</v>
      </c>
      <c r="C1752" t="s">
        <v>59</v>
      </c>
      <c r="D1752" t="s">
        <v>60</v>
      </c>
      <c r="E1752" s="4">
        <v>7.1054273576010019E-15</v>
      </c>
      <c r="F1752" s="4">
        <v>0</v>
      </c>
      <c r="G1752" s="4">
        <v>1.7763568394002505E-15</v>
      </c>
      <c r="H1752" s="4">
        <v>-1.9539925233402755E-14</v>
      </c>
      <c r="I1752" s="4">
        <v>0</v>
      </c>
      <c r="J1752" s="4">
        <v>0</v>
      </c>
      <c r="K1752" s="4">
        <v>21.55</v>
      </c>
      <c r="L1752" s="4">
        <v>-21.55</v>
      </c>
      <c r="M1752" s="4">
        <v>3.5527136788005009E-14</v>
      </c>
      <c r="N1752" s="4">
        <v>0</v>
      </c>
      <c r="O1752" s="4">
        <v>-5.6843418860808015E-14</v>
      </c>
      <c r="P1752" s="4">
        <v>1.4210854715202004E-14</v>
      </c>
      <c r="Q1752" s="4">
        <v>-4.2275211109554789E-15</v>
      </c>
      <c r="R1752" s="4">
        <v>113.22</v>
      </c>
      <c r="S1752" s="8">
        <f t="shared" si="81"/>
        <v>-3.5916666666666686</v>
      </c>
      <c r="T1752" s="8">
        <f t="shared" si="82"/>
        <v>116.81166666666667</v>
      </c>
      <c r="U1752" s="9">
        <f t="shared" si="83"/>
        <v>-32.522969837586992</v>
      </c>
    </row>
    <row r="1753" spans="1:21" outlineLevel="2">
      <c r="A1753" t="s">
        <v>517</v>
      </c>
      <c r="B1753" t="s">
        <v>267</v>
      </c>
      <c r="C1753" t="s">
        <v>83</v>
      </c>
      <c r="D1753" t="s">
        <v>84</v>
      </c>
      <c r="E1753" s="4">
        <v>0</v>
      </c>
      <c r="F1753" s="4">
        <v>0</v>
      </c>
      <c r="G1753" s="4">
        <v>0</v>
      </c>
      <c r="H1753" s="4">
        <v>0</v>
      </c>
      <c r="I1753" s="4">
        <v>0</v>
      </c>
      <c r="J1753" s="4">
        <v>0</v>
      </c>
      <c r="K1753" s="4">
        <v>0</v>
      </c>
      <c r="L1753" s="4">
        <v>0</v>
      </c>
      <c r="M1753" s="4">
        <v>0</v>
      </c>
      <c r="N1753" s="4">
        <v>0</v>
      </c>
      <c r="O1753" s="4">
        <v>0</v>
      </c>
      <c r="P1753" s="4">
        <v>0</v>
      </c>
      <c r="Q1753" s="4">
        <v>0</v>
      </c>
      <c r="S1753" s="8">
        <f t="shared" si="81"/>
        <v>0</v>
      </c>
      <c r="T1753" s="8">
        <f t="shared" si="82"/>
        <v>0</v>
      </c>
      <c r="U1753" s="9" t="e">
        <f t="shared" si="83"/>
        <v>#DIV/0!</v>
      </c>
    </row>
    <row r="1754" spans="1:21" outlineLevel="2">
      <c r="A1754" t="s">
        <v>517</v>
      </c>
      <c r="B1754" t="s">
        <v>267</v>
      </c>
      <c r="C1754" t="s">
        <v>85</v>
      </c>
      <c r="D1754" t="s">
        <v>86</v>
      </c>
      <c r="E1754" s="4">
        <v>0</v>
      </c>
      <c r="F1754" s="4">
        <v>0</v>
      </c>
      <c r="G1754" s="4">
        <v>0</v>
      </c>
      <c r="H1754" s="4">
        <v>0</v>
      </c>
      <c r="I1754" s="4">
        <v>0</v>
      </c>
      <c r="J1754" s="4">
        <v>0</v>
      </c>
      <c r="K1754" s="4">
        <v>380</v>
      </c>
      <c r="L1754" s="4">
        <v>-380</v>
      </c>
      <c r="M1754" s="4">
        <v>0</v>
      </c>
      <c r="N1754" s="4">
        <v>0</v>
      </c>
      <c r="O1754" s="4">
        <v>0</v>
      </c>
      <c r="P1754" s="4">
        <v>0</v>
      </c>
      <c r="Q1754" s="4">
        <v>0</v>
      </c>
      <c r="S1754" s="8">
        <f t="shared" si="81"/>
        <v>-63.333333333333336</v>
      </c>
      <c r="T1754" s="8">
        <f t="shared" si="82"/>
        <v>63.333333333333336</v>
      </c>
      <c r="U1754" s="9">
        <f t="shared" si="83"/>
        <v>-1</v>
      </c>
    </row>
    <row r="1755" spans="1:21" outlineLevel="2">
      <c r="A1755" t="s">
        <v>517</v>
      </c>
      <c r="B1755" t="s">
        <v>267</v>
      </c>
      <c r="C1755" t="s">
        <v>93</v>
      </c>
      <c r="D1755" t="s">
        <v>94</v>
      </c>
      <c r="E1755" s="4">
        <v>0</v>
      </c>
      <c r="F1755" s="4">
        <v>0</v>
      </c>
      <c r="G1755" s="4">
        <v>0</v>
      </c>
      <c r="H1755" s="4">
        <v>0</v>
      </c>
      <c r="I1755" s="4">
        <v>0</v>
      </c>
      <c r="J1755" s="4">
        <v>0</v>
      </c>
      <c r="K1755" s="4">
        <v>0</v>
      </c>
      <c r="L1755" s="4">
        <v>1.1368683772161603E-13</v>
      </c>
      <c r="M1755" s="4">
        <v>0</v>
      </c>
      <c r="N1755" s="4">
        <v>0</v>
      </c>
      <c r="O1755" s="4">
        <v>0</v>
      </c>
      <c r="P1755" s="4">
        <v>0</v>
      </c>
      <c r="Q1755" s="4">
        <v>0</v>
      </c>
      <c r="S1755" s="8">
        <f t="shared" si="81"/>
        <v>1.8947806286936004E-14</v>
      </c>
      <c r="T1755" s="8">
        <f t="shared" si="82"/>
        <v>-1.8947806286936004E-14</v>
      </c>
      <c r="U1755" s="9">
        <f t="shared" si="83"/>
        <v>-1</v>
      </c>
    </row>
    <row r="1756" spans="1:21" outlineLevel="2">
      <c r="A1756" t="s">
        <v>517</v>
      </c>
      <c r="B1756" t="s">
        <v>267</v>
      </c>
      <c r="C1756" t="s">
        <v>101</v>
      </c>
      <c r="D1756" t="s">
        <v>102</v>
      </c>
      <c r="E1756" s="4">
        <v>0</v>
      </c>
      <c r="F1756" s="4">
        <v>0</v>
      </c>
      <c r="G1756" s="4">
        <v>0</v>
      </c>
      <c r="H1756" s="4">
        <v>0</v>
      </c>
      <c r="I1756" s="4">
        <v>0</v>
      </c>
      <c r="J1756" s="4">
        <v>0</v>
      </c>
      <c r="K1756" s="4">
        <v>0</v>
      </c>
      <c r="L1756" s="4">
        <v>0</v>
      </c>
      <c r="M1756" s="4">
        <v>0</v>
      </c>
      <c r="N1756" s="4">
        <v>0</v>
      </c>
      <c r="O1756" s="4">
        <v>0</v>
      </c>
      <c r="P1756" s="4">
        <v>0</v>
      </c>
      <c r="Q1756" s="4">
        <v>0</v>
      </c>
      <c r="S1756" s="8">
        <f t="shared" si="81"/>
        <v>0</v>
      </c>
      <c r="T1756" s="8">
        <f t="shared" si="82"/>
        <v>0</v>
      </c>
      <c r="U1756" s="9" t="e">
        <f t="shared" si="83"/>
        <v>#DIV/0!</v>
      </c>
    </row>
    <row r="1757" spans="1:21" outlineLevel="2">
      <c r="A1757" t="s">
        <v>517</v>
      </c>
      <c r="B1757" t="s">
        <v>267</v>
      </c>
      <c r="C1757" t="s">
        <v>103</v>
      </c>
      <c r="D1757" t="s">
        <v>104</v>
      </c>
      <c r="E1757" s="4">
        <v>0</v>
      </c>
      <c r="F1757" s="4">
        <v>0</v>
      </c>
      <c r="G1757" s="4">
        <v>0</v>
      </c>
      <c r="H1757" s="4">
        <v>0</v>
      </c>
      <c r="I1757" s="4">
        <v>0</v>
      </c>
      <c r="J1757" s="4">
        <v>0</v>
      </c>
      <c r="K1757" s="4">
        <v>0</v>
      </c>
      <c r="L1757" s="4">
        <v>0</v>
      </c>
      <c r="M1757" s="4">
        <v>0</v>
      </c>
      <c r="N1757" s="4">
        <v>0</v>
      </c>
      <c r="O1757" s="4">
        <v>0</v>
      </c>
      <c r="P1757" s="4">
        <v>0</v>
      </c>
      <c r="Q1757" s="4">
        <v>0</v>
      </c>
      <c r="S1757" s="8">
        <f t="shared" si="81"/>
        <v>0</v>
      </c>
      <c r="T1757" s="8">
        <f t="shared" si="82"/>
        <v>0</v>
      </c>
      <c r="U1757" s="9" t="e">
        <f t="shared" si="83"/>
        <v>#DIV/0!</v>
      </c>
    </row>
    <row r="1758" spans="1:21" outlineLevel="2">
      <c r="A1758" t="s">
        <v>517</v>
      </c>
      <c r="B1758" t="s">
        <v>267</v>
      </c>
      <c r="C1758" t="s">
        <v>111</v>
      </c>
      <c r="D1758" t="s">
        <v>112</v>
      </c>
      <c r="E1758" s="4">
        <v>6.7529981606639922E-11</v>
      </c>
      <c r="F1758" s="4">
        <v>-3.637978807091713E-12</v>
      </c>
      <c r="G1758" s="4">
        <v>0</v>
      </c>
      <c r="H1758" s="4">
        <v>0</v>
      </c>
      <c r="I1758" s="4">
        <v>0</v>
      </c>
      <c r="J1758" s="4">
        <v>0</v>
      </c>
      <c r="K1758" s="4">
        <v>4037.3199999999997</v>
      </c>
      <c r="L1758" s="4">
        <v>-4037.3200000000088</v>
      </c>
      <c r="M1758" s="4">
        <v>-2.2737367544323206E-13</v>
      </c>
      <c r="N1758" s="4">
        <v>-3.751665644813329E-12</v>
      </c>
      <c r="O1758" s="4">
        <v>-1.8189894035458565E-12</v>
      </c>
      <c r="P1758" s="4">
        <v>-3.637978807091713E-12</v>
      </c>
      <c r="Q1758" s="4">
        <v>0</v>
      </c>
      <c r="S1758" s="8">
        <f t="shared" si="81"/>
        <v>-672.88666666666961</v>
      </c>
      <c r="T1758" s="8">
        <f t="shared" si="82"/>
        <v>672.88666666666961</v>
      </c>
      <c r="U1758" s="9">
        <f t="shared" si="83"/>
        <v>-1</v>
      </c>
    </row>
    <row r="1759" spans="1:21" outlineLevel="2">
      <c r="A1759" t="s">
        <v>517</v>
      </c>
      <c r="B1759" t="s">
        <v>267</v>
      </c>
      <c r="C1759" t="s">
        <v>123</v>
      </c>
      <c r="D1759" t="s">
        <v>124</v>
      </c>
      <c r="E1759" s="4">
        <v>0</v>
      </c>
      <c r="F1759" s="4">
        <v>0</v>
      </c>
      <c r="G1759" s="4">
        <v>0</v>
      </c>
      <c r="H1759" s="4">
        <v>0</v>
      </c>
      <c r="I1759" s="4">
        <v>0</v>
      </c>
      <c r="J1759" s="4">
        <v>0</v>
      </c>
      <c r="K1759" s="4">
        <v>0</v>
      </c>
      <c r="L1759" s="4">
        <v>0</v>
      </c>
      <c r="M1759" s="4">
        <v>0</v>
      </c>
      <c r="N1759" s="4">
        <v>0</v>
      </c>
      <c r="O1759" s="4">
        <v>0</v>
      </c>
      <c r="P1759" s="4">
        <v>0</v>
      </c>
      <c r="Q1759" s="4">
        <v>0</v>
      </c>
      <c r="S1759" s="8">
        <f t="shared" si="81"/>
        <v>0</v>
      </c>
      <c r="T1759" s="8">
        <f t="shared" si="82"/>
        <v>0</v>
      </c>
      <c r="U1759" s="9" t="e">
        <f t="shared" si="83"/>
        <v>#DIV/0!</v>
      </c>
    </row>
    <row r="1760" spans="1:21" outlineLevel="2">
      <c r="A1760" t="s">
        <v>517</v>
      </c>
      <c r="B1760" t="s">
        <v>267</v>
      </c>
      <c r="C1760" t="s">
        <v>127</v>
      </c>
      <c r="D1760" t="s">
        <v>120</v>
      </c>
      <c r="E1760" s="4">
        <v>0</v>
      </c>
      <c r="F1760" s="4">
        <v>0</v>
      </c>
      <c r="G1760" s="4">
        <v>0</v>
      </c>
      <c r="H1760" s="4">
        <v>0</v>
      </c>
      <c r="I1760" s="4">
        <v>0</v>
      </c>
      <c r="J1760" s="4">
        <v>0</v>
      </c>
      <c r="K1760" s="4">
        <v>0</v>
      </c>
      <c r="L1760" s="4">
        <v>0</v>
      </c>
      <c r="M1760" s="4">
        <v>0</v>
      </c>
      <c r="N1760" s="4">
        <v>0</v>
      </c>
      <c r="O1760" s="4">
        <v>0</v>
      </c>
      <c r="P1760" s="4">
        <v>0</v>
      </c>
      <c r="Q1760" s="4">
        <v>0</v>
      </c>
      <c r="S1760" s="8">
        <f t="shared" si="81"/>
        <v>0</v>
      </c>
      <c r="T1760" s="8">
        <f t="shared" si="82"/>
        <v>0</v>
      </c>
      <c r="U1760" s="9" t="e">
        <f t="shared" si="83"/>
        <v>#DIV/0!</v>
      </c>
    </row>
    <row r="1761" spans="1:21" outlineLevel="2">
      <c r="A1761" t="s">
        <v>517</v>
      </c>
      <c r="B1761" t="s">
        <v>267</v>
      </c>
      <c r="C1761" t="s">
        <v>132</v>
      </c>
      <c r="D1761" t="s">
        <v>133</v>
      </c>
      <c r="E1761" s="4">
        <v>0</v>
      </c>
      <c r="F1761" s="4">
        <v>0</v>
      </c>
      <c r="G1761" s="4">
        <v>70.539999999999992</v>
      </c>
      <c r="H1761" s="4">
        <v>564.02</v>
      </c>
      <c r="I1761" s="4">
        <v>0</v>
      </c>
      <c r="J1761" s="4">
        <v>470</v>
      </c>
      <c r="K1761" s="4">
        <v>0</v>
      </c>
      <c r="L1761" s="4">
        <v>0</v>
      </c>
      <c r="M1761" s="4">
        <v>329.10999999999996</v>
      </c>
      <c r="N1761" s="4">
        <v>0</v>
      </c>
      <c r="O1761" s="4">
        <v>0.03</v>
      </c>
      <c r="P1761" s="4">
        <v>0.01</v>
      </c>
      <c r="Q1761" s="4">
        <v>141</v>
      </c>
      <c r="R1761" s="4">
        <v>94.02</v>
      </c>
      <c r="S1761" s="8">
        <f t="shared" si="81"/>
        <v>78.35833333333332</v>
      </c>
      <c r="T1761" s="8">
        <f t="shared" si="82"/>
        <v>15.661666666666676</v>
      </c>
      <c r="U1761" s="9">
        <f t="shared" si="83"/>
        <v>0.19987238115495071</v>
      </c>
    </row>
    <row r="1762" spans="1:21" outlineLevel="1">
      <c r="A1762" s="1" t="s">
        <v>814</v>
      </c>
      <c r="E1762" s="4">
        <f>SUBTOTAL(9,E1729:E1761)</f>
        <v>6.6977534629586444E-11</v>
      </c>
      <c r="F1762" s="4">
        <f>SUBTOTAL(9,F1729:F1761)</f>
        <v>-4586.0500000000029</v>
      </c>
      <c r="G1762" s="4">
        <f>SUBTOTAL(9,G1729:G1761)</f>
        <v>-31793.97</v>
      </c>
      <c r="H1762" s="4">
        <f>SUBTOTAL(9,H1729:H1761)</f>
        <v>564.02000000000851</v>
      </c>
      <c r="I1762" s="4">
        <f>SUBTOTAL(9,I1729:I1761)</f>
        <v>11199.050000000003</v>
      </c>
      <c r="J1762" s="4">
        <f>SUBTOTAL(9,J1729:J1761)</f>
        <v>470.00000000000171</v>
      </c>
      <c r="K1762" s="4">
        <f>SUBTOTAL(9,K1729:K1761)</f>
        <v>43392.630000000005</v>
      </c>
      <c r="L1762" s="4">
        <f>SUBTOTAL(9,L1729:L1761)</f>
        <v>-43392.630000000005</v>
      </c>
      <c r="M1762" s="4">
        <f>SUBTOTAL(9,M1729:M1761)</f>
        <v>-9439.9700000000012</v>
      </c>
      <c r="N1762" s="4">
        <f>SUBTOTAL(9,N1729:N1761)</f>
        <v>-1429.9699999999998</v>
      </c>
      <c r="O1762" s="4">
        <f>SUBTOTAL(9,O1729:O1761)</f>
        <v>2.9999999997243093E-2</v>
      </c>
      <c r="P1762" s="4">
        <f>SUBTOTAL(9,P1729:P1761)</f>
        <v>36450.57</v>
      </c>
      <c r="Q1762" s="4">
        <f>SUBTOTAL(9,Q1729:Q1761)</f>
        <v>3743.25</v>
      </c>
      <c r="R1762" s="4">
        <f>SUBTOTAL(9,R1729:R1761)</f>
        <v>3918.3799999999997</v>
      </c>
      <c r="S1762" s="8">
        <f t="shared" si="81"/>
        <v>-2344.7866666666682</v>
      </c>
      <c r="T1762" s="8">
        <f t="shared" si="82"/>
        <v>6263.1666666666679</v>
      </c>
      <c r="U1762" s="9">
        <f t="shared" si="83"/>
        <v>-2.671102985914851</v>
      </c>
    </row>
    <row r="1763" spans="1:21" outlineLevel="2">
      <c r="A1763" t="s">
        <v>518</v>
      </c>
      <c r="B1763" t="s">
        <v>519</v>
      </c>
      <c r="C1763" t="s">
        <v>19</v>
      </c>
      <c r="D1763" t="s">
        <v>20</v>
      </c>
      <c r="E1763" s="4">
        <v>0</v>
      </c>
      <c r="F1763" s="4">
        <v>110.63</v>
      </c>
      <c r="G1763" s="4">
        <v>0</v>
      </c>
      <c r="H1763" s="4">
        <v>246.48999999999978</v>
      </c>
      <c r="I1763" s="4">
        <v>0</v>
      </c>
      <c r="J1763" s="4">
        <v>0</v>
      </c>
      <c r="K1763" s="4">
        <v>83.99</v>
      </c>
      <c r="L1763" s="4">
        <v>10.33</v>
      </c>
      <c r="M1763" s="4">
        <v>126.21</v>
      </c>
      <c r="N1763" s="4">
        <v>0</v>
      </c>
      <c r="O1763" s="4">
        <v>0</v>
      </c>
      <c r="P1763" s="4">
        <v>0</v>
      </c>
      <c r="Q1763" s="4">
        <v>0</v>
      </c>
      <c r="S1763" s="8">
        <f t="shared" si="81"/>
        <v>22.756666666666664</v>
      </c>
      <c r="T1763" s="8">
        <f t="shared" si="82"/>
        <v>-22.756666666666664</v>
      </c>
      <c r="U1763" s="9">
        <f t="shared" si="83"/>
        <v>-1</v>
      </c>
    </row>
    <row r="1764" spans="1:21" outlineLevel="2">
      <c r="A1764" t="s">
        <v>518</v>
      </c>
      <c r="B1764" t="s">
        <v>519</v>
      </c>
      <c r="C1764" t="s">
        <v>21</v>
      </c>
      <c r="D1764" t="s">
        <v>22</v>
      </c>
      <c r="E1764" s="4">
        <v>67.400000000000006</v>
      </c>
      <c r="F1764" s="4">
        <v>0</v>
      </c>
      <c r="G1764" s="4">
        <v>532.79999999999995</v>
      </c>
      <c r="H1764" s="4">
        <v>3717.11</v>
      </c>
      <c r="I1764" s="4">
        <v>421.26</v>
      </c>
      <c r="J1764" s="4">
        <v>898.24</v>
      </c>
      <c r="K1764" s="4">
        <v>5964.9199999999992</v>
      </c>
      <c r="L1764" s="4">
        <v>733.99</v>
      </c>
      <c r="M1764" s="4">
        <v>1081.3999999999999</v>
      </c>
      <c r="N1764" s="4">
        <v>0</v>
      </c>
      <c r="O1764" s="4">
        <v>2227.92</v>
      </c>
      <c r="P1764" s="4">
        <v>469.51000000000005</v>
      </c>
      <c r="Q1764" s="4">
        <v>0</v>
      </c>
      <c r="S1764" s="8">
        <f t="shared" si="81"/>
        <v>752.13666666666666</v>
      </c>
      <c r="T1764" s="8">
        <f t="shared" si="82"/>
        <v>-752.13666666666666</v>
      </c>
      <c r="U1764" s="9">
        <f t="shared" si="83"/>
        <v>-1</v>
      </c>
    </row>
    <row r="1765" spans="1:21" outlineLevel="2">
      <c r="A1765" t="s">
        <v>518</v>
      </c>
      <c r="B1765" t="s">
        <v>519</v>
      </c>
      <c r="C1765" t="s">
        <v>23</v>
      </c>
      <c r="D1765" t="s">
        <v>24</v>
      </c>
      <c r="E1765" s="4">
        <v>0</v>
      </c>
      <c r="F1765" s="4">
        <v>0</v>
      </c>
      <c r="G1765" s="4">
        <v>0</v>
      </c>
      <c r="H1765" s="4">
        <v>1039.5899999999999</v>
      </c>
      <c r="I1765" s="4">
        <v>1093.3200000000002</v>
      </c>
      <c r="J1765" s="4">
        <v>2645.05</v>
      </c>
      <c r="K1765" s="4">
        <v>1849.97</v>
      </c>
      <c r="L1765" s="4">
        <v>0</v>
      </c>
      <c r="M1765" s="4">
        <v>73.42</v>
      </c>
      <c r="N1765" s="4">
        <v>0</v>
      </c>
      <c r="O1765" s="4">
        <v>0</v>
      </c>
      <c r="P1765" s="4">
        <v>296.97000000000003</v>
      </c>
      <c r="Q1765" s="4">
        <v>1500</v>
      </c>
      <c r="S1765" s="8">
        <f t="shared" si="81"/>
        <v>311.73166666666668</v>
      </c>
      <c r="T1765" s="8">
        <f t="shared" si="82"/>
        <v>-311.73166666666668</v>
      </c>
      <c r="U1765" s="9">
        <f t="shared" si="83"/>
        <v>-1</v>
      </c>
    </row>
    <row r="1766" spans="1:21" outlineLevel="2">
      <c r="A1766" t="s">
        <v>518</v>
      </c>
      <c r="B1766" t="s">
        <v>519</v>
      </c>
      <c r="C1766" t="s">
        <v>25</v>
      </c>
      <c r="D1766" t="s">
        <v>26</v>
      </c>
      <c r="E1766" s="4">
        <v>0</v>
      </c>
      <c r="F1766" s="4">
        <v>0</v>
      </c>
      <c r="G1766" s="4">
        <v>0</v>
      </c>
      <c r="H1766" s="4">
        <v>0</v>
      </c>
      <c r="I1766" s="4">
        <v>0</v>
      </c>
      <c r="J1766" s="4">
        <v>0</v>
      </c>
      <c r="K1766" s="4">
        <v>0</v>
      </c>
      <c r="L1766" s="4">
        <v>0</v>
      </c>
      <c r="M1766" s="4">
        <v>1437.96</v>
      </c>
      <c r="N1766" s="4">
        <v>0</v>
      </c>
      <c r="O1766" s="4">
        <v>0</v>
      </c>
      <c r="P1766" s="4">
        <v>474.53</v>
      </c>
      <c r="Q1766" s="4">
        <v>0</v>
      </c>
      <c r="S1766" s="8">
        <f t="shared" si="81"/>
        <v>318.74833333333333</v>
      </c>
      <c r="T1766" s="8">
        <f t="shared" si="82"/>
        <v>-318.74833333333333</v>
      </c>
      <c r="U1766" s="9">
        <f t="shared" si="83"/>
        <v>-1</v>
      </c>
    </row>
    <row r="1767" spans="1:21" outlineLevel="2">
      <c r="A1767" t="s">
        <v>518</v>
      </c>
      <c r="B1767" t="s">
        <v>519</v>
      </c>
      <c r="C1767" t="s">
        <v>27</v>
      </c>
      <c r="D1767" t="s">
        <v>28</v>
      </c>
      <c r="E1767" s="4">
        <v>0</v>
      </c>
      <c r="F1767" s="4">
        <v>0</v>
      </c>
      <c r="G1767" s="4">
        <v>0</v>
      </c>
      <c r="H1767" s="4">
        <v>0</v>
      </c>
      <c r="I1767" s="4">
        <v>0</v>
      </c>
      <c r="J1767" s="4">
        <v>0</v>
      </c>
      <c r="K1767" s="4">
        <v>0</v>
      </c>
      <c r="L1767" s="4">
        <v>0</v>
      </c>
      <c r="M1767" s="4">
        <v>169.06</v>
      </c>
      <c r="N1767" s="4">
        <v>0</v>
      </c>
      <c r="O1767" s="4">
        <v>0</v>
      </c>
      <c r="P1767" s="4">
        <v>1103.06</v>
      </c>
      <c r="Q1767" s="4">
        <v>0</v>
      </c>
      <c r="S1767" s="8">
        <f t="shared" si="81"/>
        <v>212.01999999999998</v>
      </c>
      <c r="T1767" s="8">
        <f t="shared" si="82"/>
        <v>-212.01999999999998</v>
      </c>
      <c r="U1767" s="9">
        <f t="shared" si="83"/>
        <v>-1</v>
      </c>
    </row>
    <row r="1768" spans="1:21" outlineLevel="2">
      <c r="A1768" t="s">
        <v>518</v>
      </c>
      <c r="B1768" t="s">
        <v>519</v>
      </c>
      <c r="C1768" t="s">
        <v>136</v>
      </c>
      <c r="D1768" t="s">
        <v>137</v>
      </c>
      <c r="E1768" s="4">
        <v>0</v>
      </c>
      <c r="F1768" s="4">
        <v>-9.0949470177292824E-13</v>
      </c>
      <c r="G1768" s="4">
        <v>0</v>
      </c>
      <c r="H1768" s="4">
        <v>0</v>
      </c>
      <c r="I1768" s="4">
        <v>0</v>
      </c>
      <c r="J1768" s="4">
        <v>3.637978807091713E-12</v>
      </c>
      <c r="K1768" s="4">
        <v>-1.8189894035458565E-12</v>
      </c>
      <c r="L1768" s="4">
        <v>9.0949470177292824E-13</v>
      </c>
      <c r="M1768" s="4">
        <v>-9.0949470177292824E-13</v>
      </c>
      <c r="N1768" s="4">
        <v>-9.0949470177292824E-13</v>
      </c>
      <c r="O1768" s="4">
        <v>-9.0949470177292824E-13</v>
      </c>
      <c r="P1768" s="4">
        <v>0</v>
      </c>
      <c r="Q1768" s="4">
        <v>-9.0949470177292824E-13</v>
      </c>
      <c r="R1768" s="4">
        <v>0</v>
      </c>
      <c r="S1768" s="8">
        <f t="shared" si="81"/>
        <v>-4.5474735088646412E-13</v>
      </c>
      <c r="T1768" s="8">
        <f t="shared" si="82"/>
        <v>4.5474735088646412E-13</v>
      </c>
      <c r="U1768" s="9">
        <f t="shared" si="83"/>
        <v>-1</v>
      </c>
    </row>
    <row r="1769" spans="1:21" outlineLevel="2">
      <c r="A1769" t="s">
        <v>518</v>
      </c>
      <c r="B1769" t="s">
        <v>519</v>
      </c>
      <c r="C1769" t="s">
        <v>31</v>
      </c>
      <c r="D1769" t="s">
        <v>32</v>
      </c>
      <c r="E1769" s="4">
        <v>0</v>
      </c>
      <c r="F1769" s="4">
        <v>0</v>
      </c>
      <c r="G1769" s="4">
        <v>0</v>
      </c>
      <c r="H1769" s="4">
        <v>0</v>
      </c>
      <c r="I1769" s="4">
        <v>0</v>
      </c>
      <c r="J1769" s="4">
        <v>0</v>
      </c>
      <c r="K1769" s="4">
        <v>0</v>
      </c>
      <c r="L1769" s="4">
        <v>0</v>
      </c>
      <c r="M1769" s="4">
        <v>0</v>
      </c>
      <c r="N1769" s="4">
        <v>0</v>
      </c>
      <c r="O1769" s="4">
        <v>51366</v>
      </c>
      <c r="P1769" s="4">
        <v>25683</v>
      </c>
      <c r="Q1769" s="4">
        <v>0</v>
      </c>
      <c r="S1769" s="8">
        <f t="shared" si="81"/>
        <v>12841.5</v>
      </c>
      <c r="T1769" s="8">
        <f t="shared" si="82"/>
        <v>-12841.5</v>
      </c>
      <c r="U1769" s="9">
        <f t="shared" si="83"/>
        <v>-1</v>
      </c>
    </row>
    <row r="1770" spans="1:21" outlineLevel="2">
      <c r="A1770" t="s">
        <v>518</v>
      </c>
      <c r="B1770" t="s">
        <v>519</v>
      </c>
      <c r="C1770" t="s">
        <v>144</v>
      </c>
      <c r="D1770" t="s">
        <v>145</v>
      </c>
      <c r="E1770" s="4">
        <v>0</v>
      </c>
      <c r="F1770" s="4">
        <v>0</v>
      </c>
      <c r="G1770" s="4">
        <v>0</v>
      </c>
      <c r="H1770" s="4">
        <v>0</v>
      </c>
      <c r="I1770" s="4">
        <v>0</v>
      </c>
      <c r="J1770" s="4">
        <v>0</v>
      </c>
      <c r="K1770" s="4">
        <v>0</v>
      </c>
      <c r="L1770" s="4">
        <v>-5.6843418860808015E-14</v>
      </c>
      <c r="M1770" s="4">
        <v>0</v>
      </c>
      <c r="N1770" s="4">
        <v>0</v>
      </c>
      <c r="O1770" s="4">
        <v>0</v>
      </c>
      <c r="P1770" s="4">
        <v>0</v>
      </c>
      <c r="Q1770" s="4">
        <v>3591.1400000000003</v>
      </c>
      <c r="R1770" s="4">
        <v>335.23000000000047</v>
      </c>
      <c r="S1770" s="8">
        <f t="shared" si="81"/>
        <v>598.52333333333343</v>
      </c>
      <c r="T1770" s="8">
        <f t="shared" si="82"/>
        <v>-263.29333333333295</v>
      </c>
      <c r="U1770" s="9">
        <f t="shared" si="83"/>
        <v>-0.4399048770028452</v>
      </c>
    </row>
    <row r="1771" spans="1:21" outlineLevel="2">
      <c r="A1771" t="s">
        <v>518</v>
      </c>
      <c r="B1771" t="s">
        <v>519</v>
      </c>
      <c r="C1771" t="s">
        <v>146</v>
      </c>
      <c r="D1771" t="s">
        <v>147</v>
      </c>
      <c r="E1771" s="4">
        <v>4.5474735088646412E-13</v>
      </c>
      <c r="F1771" s="4">
        <v>0</v>
      </c>
      <c r="G1771" s="4">
        <v>-7.9580786405131221E-13</v>
      </c>
      <c r="H1771" s="4">
        <v>0</v>
      </c>
      <c r="I1771" s="4">
        <v>-4.5474735088646412E-13</v>
      </c>
      <c r="J1771" s="4">
        <v>0</v>
      </c>
      <c r="K1771" s="4">
        <v>1.1368683772161603E-13</v>
      </c>
      <c r="L1771" s="4">
        <v>0</v>
      </c>
      <c r="M1771" s="4">
        <v>760.14999999999986</v>
      </c>
      <c r="N1771" s="4">
        <v>0</v>
      </c>
      <c r="O1771" s="4">
        <v>0</v>
      </c>
      <c r="P1771" s="4">
        <v>-5.6843418860808015E-14</v>
      </c>
      <c r="Q1771" s="4">
        <v>0</v>
      </c>
      <c r="R1771" s="4">
        <v>0</v>
      </c>
      <c r="S1771" s="8">
        <f t="shared" si="81"/>
        <v>126.69166666666665</v>
      </c>
      <c r="T1771" s="8">
        <f t="shared" si="82"/>
        <v>-126.69166666666665</v>
      </c>
      <c r="U1771" s="9">
        <f t="shared" si="83"/>
        <v>-1</v>
      </c>
    </row>
    <row r="1772" spans="1:21" outlineLevel="2">
      <c r="A1772" t="s">
        <v>518</v>
      </c>
      <c r="B1772" t="s">
        <v>519</v>
      </c>
      <c r="C1772" t="s">
        <v>148</v>
      </c>
      <c r="D1772" t="s">
        <v>149</v>
      </c>
      <c r="E1772" s="4">
        <v>0</v>
      </c>
      <c r="F1772" s="4">
        <v>150</v>
      </c>
      <c r="G1772" s="4">
        <v>691.95</v>
      </c>
      <c r="H1772" s="4">
        <v>118</v>
      </c>
      <c r="I1772" s="4">
        <v>0</v>
      </c>
      <c r="J1772" s="4">
        <v>571.95000000000005</v>
      </c>
      <c r="K1772" s="4">
        <v>0</v>
      </c>
      <c r="L1772" s="4">
        <v>0</v>
      </c>
      <c r="M1772" s="4">
        <v>0</v>
      </c>
      <c r="N1772" s="4">
        <v>0</v>
      </c>
      <c r="O1772" s="4">
        <v>0</v>
      </c>
      <c r="P1772" s="4">
        <v>75</v>
      </c>
      <c r="Q1772" s="4">
        <v>0</v>
      </c>
      <c r="R1772" s="4">
        <v>225</v>
      </c>
      <c r="S1772" s="8">
        <f t="shared" si="81"/>
        <v>12.5</v>
      </c>
      <c r="T1772" s="8">
        <f t="shared" si="82"/>
        <v>212.5</v>
      </c>
      <c r="U1772" s="9">
        <f t="shared" si="83"/>
        <v>17</v>
      </c>
    </row>
    <row r="1773" spans="1:21" outlineLevel="2">
      <c r="A1773" t="s">
        <v>518</v>
      </c>
      <c r="B1773" t="s">
        <v>519</v>
      </c>
      <c r="C1773" t="s">
        <v>150</v>
      </c>
      <c r="D1773" t="s">
        <v>151</v>
      </c>
      <c r="E1773" s="4">
        <v>0</v>
      </c>
      <c r="F1773" s="4">
        <v>0</v>
      </c>
      <c r="G1773" s="4">
        <v>-43584.98</v>
      </c>
      <c r="H1773" s="4">
        <v>44448.4</v>
      </c>
      <c r="I1773" s="4">
        <v>19446.169999999998</v>
      </c>
      <c r="J1773" s="4">
        <v>12890.04</v>
      </c>
      <c r="K1773" s="4">
        <v>2753.27</v>
      </c>
      <c r="L1773" s="4">
        <v>1665.93</v>
      </c>
      <c r="M1773" s="4">
        <v>1665.93</v>
      </c>
      <c r="N1773" s="4">
        <v>487.81</v>
      </c>
      <c r="O1773" s="4">
        <v>0</v>
      </c>
      <c r="P1773" s="4">
        <v>487.81</v>
      </c>
      <c r="Q1773" s="4">
        <v>9047.27</v>
      </c>
      <c r="R1773" s="4">
        <v>-8537.1400000000012</v>
      </c>
      <c r="S1773" s="8">
        <f t="shared" si="81"/>
        <v>2225.7916666666665</v>
      </c>
      <c r="T1773" s="8">
        <f t="shared" si="82"/>
        <v>-10762.931666666667</v>
      </c>
      <c r="U1773" s="9">
        <f t="shared" si="83"/>
        <v>-4.8355521443681093</v>
      </c>
    </row>
    <row r="1774" spans="1:21" outlineLevel="2">
      <c r="A1774" t="s">
        <v>518</v>
      </c>
      <c r="B1774" t="s">
        <v>519</v>
      </c>
      <c r="C1774" t="s">
        <v>152</v>
      </c>
      <c r="D1774" t="s">
        <v>153</v>
      </c>
      <c r="E1774" s="4">
        <v>-2.2737367544323206E-13</v>
      </c>
      <c r="F1774" s="4">
        <v>5.6843418860808015E-14</v>
      </c>
      <c r="G1774" s="4">
        <v>4.5474735088646412E-13</v>
      </c>
      <c r="H1774" s="4">
        <v>0</v>
      </c>
      <c r="I1774" s="4">
        <v>2.2737367544323206E-13</v>
      </c>
      <c r="J1774" s="4">
        <v>4.5474735088646412E-13</v>
      </c>
      <c r="K1774" s="4">
        <v>1.1368683772161603E-13</v>
      </c>
      <c r="L1774" s="4">
        <v>1.1368683772161603E-13</v>
      </c>
      <c r="M1774" s="4">
        <v>2.8421709430404007E-14</v>
      </c>
      <c r="N1774" s="4">
        <v>5.6843418860808015E-14</v>
      </c>
      <c r="O1774" s="4">
        <v>0</v>
      </c>
      <c r="P1774" s="4">
        <v>-2.8421709430404007E-14</v>
      </c>
      <c r="Q1774" s="4">
        <v>0</v>
      </c>
      <c r="R1774" s="4">
        <v>-2.8421709430404007E-14</v>
      </c>
      <c r="S1774" s="8">
        <f t="shared" si="81"/>
        <v>2.8421709430404007E-14</v>
      </c>
      <c r="T1774" s="8">
        <f t="shared" si="82"/>
        <v>-5.6843418860808015E-14</v>
      </c>
      <c r="U1774" s="9">
        <f t="shared" si="83"/>
        <v>-2</v>
      </c>
    </row>
    <row r="1775" spans="1:21" outlineLevel="2">
      <c r="A1775" t="s">
        <v>518</v>
      </c>
      <c r="B1775" t="s">
        <v>519</v>
      </c>
      <c r="C1775" t="s">
        <v>154</v>
      </c>
      <c r="D1775" t="s">
        <v>155</v>
      </c>
      <c r="E1775" s="4">
        <v>-7.1054273576010019E-15</v>
      </c>
      <c r="F1775" s="4">
        <v>0</v>
      </c>
      <c r="G1775" s="4">
        <v>0</v>
      </c>
      <c r="H1775" s="4">
        <v>0</v>
      </c>
      <c r="I1775" s="4">
        <v>0</v>
      </c>
      <c r="J1775" s="4">
        <v>0</v>
      </c>
      <c r="K1775" s="4">
        <v>0</v>
      </c>
      <c r="L1775" s="4">
        <v>0</v>
      </c>
      <c r="M1775" s="4">
        <v>0</v>
      </c>
      <c r="N1775" s="4">
        <v>0</v>
      </c>
      <c r="O1775" s="4">
        <v>0</v>
      </c>
      <c r="P1775" s="4">
        <v>0</v>
      </c>
      <c r="Q1775" s="4">
        <v>5.3290705182007514E-15</v>
      </c>
      <c r="S1775" s="8">
        <f t="shared" si="81"/>
        <v>8.8817841970012523E-16</v>
      </c>
      <c r="T1775" s="8">
        <f t="shared" si="82"/>
        <v>-8.8817841970012523E-16</v>
      </c>
      <c r="U1775" s="9">
        <f t="shared" si="83"/>
        <v>-1</v>
      </c>
    </row>
    <row r="1776" spans="1:21" outlineLevel="2">
      <c r="A1776" t="s">
        <v>518</v>
      </c>
      <c r="B1776" t="s">
        <v>519</v>
      </c>
      <c r="C1776" t="s">
        <v>156</v>
      </c>
      <c r="D1776" t="s">
        <v>157</v>
      </c>
      <c r="E1776" s="4">
        <v>495.92</v>
      </c>
      <c r="F1776" s="4">
        <v>4085.3799999999978</v>
      </c>
      <c r="G1776" s="4">
        <v>749.38999999999987</v>
      </c>
      <c r="H1776" s="4">
        <v>3434.8999999999996</v>
      </c>
      <c r="I1776" s="4">
        <v>1739.8799999999999</v>
      </c>
      <c r="J1776" s="4">
        <v>2271.54</v>
      </c>
      <c r="K1776" s="4">
        <v>564.89</v>
      </c>
      <c r="L1776" s="4">
        <v>396.73</v>
      </c>
      <c r="M1776" s="4">
        <v>1311.17</v>
      </c>
      <c r="N1776" s="4">
        <v>873.46</v>
      </c>
      <c r="O1776" s="4">
        <v>2154.5499999999997</v>
      </c>
      <c r="P1776" s="4">
        <v>1047.4100000000001</v>
      </c>
      <c r="Q1776" s="4">
        <v>560.43000000000006</v>
      </c>
      <c r="R1776" s="4">
        <v>648.75</v>
      </c>
      <c r="S1776" s="8">
        <f t="shared" si="81"/>
        <v>1057.2916666666667</v>
      </c>
      <c r="T1776" s="8">
        <f t="shared" si="82"/>
        <v>-408.54166666666674</v>
      </c>
      <c r="U1776" s="9">
        <f t="shared" si="83"/>
        <v>-0.38640394088669955</v>
      </c>
    </row>
    <row r="1777" spans="1:22" outlineLevel="2">
      <c r="A1777" t="s">
        <v>518</v>
      </c>
      <c r="B1777" t="s">
        <v>519</v>
      </c>
      <c r="C1777" t="s">
        <v>158</v>
      </c>
      <c r="D1777" t="s">
        <v>159</v>
      </c>
      <c r="E1777" s="4">
        <v>0</v>
      </c>
      <c r="F1777" s="4">
        <v>0</v>
      </c>
      <c r="G1777" s="4">
        <v>40103.11</v>
      </c>
      <c r="H1777" s="4">
        <v>2674.19</v>
      </c>
      <c r="I1777" s="4">
        <v>0</v>
      </c>
      <c r="J1777" s="4">
        <v>42880.22</v>
      </c>
      <c r="K1777" s="4">
        <v>0</v>
      </c>
      <c r="L1777" s="4">
        <v>0</v>
      </c>
      <c r="M1777" s="4">
        <v>38532.39</v>
      </c>
      <c r="N1777" s="4">
        <v>0</v>
      </c>
      <c r="O1777" s="4">
        <v>0</v>
      </c>
      <c r="P1777" s="4">
        <v>44022.7</v>
      </c>
      <c r="Q1777" s="4">
        <v>11666.67</v>
      </c>
      <c r="R1777" s="4">
        <v>0</v>
      </c>
      <c r="S1777" s="8">
        <f t="shared" si="81"/>
        <v>15703.626666666665</v>
      </c>
      <c r="T1777" s="8">
        <f t="shared" si="82"/>
        <v>-15703.626666666665</v>
      </c>
      <c r="U1777" s="9">
        <f t="shared" si="83"/>
        <v>-1</v>
      </c>
    </row>
    <row r="1778" spans="1:22" outlineLevel="2">
      <c r="A1778" t="s">
        <v>518</v>
      </c>
      <c r="B1778" t="s">
        <v>519</v>
      </c>
      <c r="C1778" t="s">
        <v>160</v>
      </c>
      <c r="D1778" t="s">
        <v>161</v>
      </c>
      <c r="E1778" s="4">
        <v>0</v>
      </c>
      <c r="F1778" s="4">
        <v>0</v>
      </c>
      <c r="G1778" s="4">
        <v>0</v>
      </c>
      <c r="H1778" s="4">
        <v>0</v>
      </c>
      <c r="I1778" s="4">
        <v>0</v>
      </c>
      <c r="J1778" s="4">
        <v>0</v>
      </c>
      <c r="K1778" s="4">
        <v>0</v>
      </c>
      <c r="L1778" s="4">
        <v>0</v>
      </c>
      <c r="M1778" s="4">
        <v>3903.34</v>
      </c>
      <c r="N1778" s="4">
        <v>0</v>
      </c>
      <c r="O1778" s="4">
        <v>0</v>
      </c>
      <c r="P1778" s="4">
        <v>0</v>
      </c>
      <c r="Q1778" s="4">
        <v>0</v>
      </c>
      <c r="S1778" s="8">
        <f t="shared" si="81"/>
        <v>650.55666666666673</v>
      </c>
      <c r="T1778" s="8">
        <f t="shared" si="82"/>
        <v>-650.55666666666673</v>
      </c>
      <c r="U1778" s="9">
        <f t="shared" si="83"/>
        <v>-1</v>
      </c>
    </row>
    <row r="1779" spans="1:22" outlineLevel="2">
      <c r="A1779" t="s">
        <v>518</v>
      </c>
      <c r="B1779" t="s">
        <v>519</v>
      </c>
      <c r="C1779" t="s">
        <v>41</v>
      </c>
      <c r="D1779" t="s">
        <v>42</v>
      </c>
      <c r="E1779" s="4">
        <v>2620.7000000000012</v>
      </c>
      <c r="F1779" s="4">
        <v>10750.920000000002</v>
      </c>
      <c r="G1779" s="4">
        <v>5970.130000000001</v>
      </c>
      <c r="H1779" s="4">
        <v>2635.9800000000009</v>
      </c>
      <c r="I1779" s="4">
        <v>2616.3700000000008</v>
      </c>
      <c r="J1779" s="4">
        <v>2849.7200000000003</v>
      </c>
      <c r="K1779" s="4">
        <v>10729.800000000001</v>
      </c>
      <c r="L1779" s="4">
        <v>7973.1900000000005</v>
      </c>
      <c r="M1779" s="4">
        <v>9090.4199999999964</v>
      </c>
      <c r="N1779" s="4">
        <v>6672.56</v>
      </c>
      <c r="O1779" s="4">
        <v>7507.2300000000032</v>
      </c>
      <c r="P1779" s="4">
        <v>5859.84</v>
      </c>
      <c r="Q1779" s="4">
        <v>11455.669999999991</v>
      </c>
      <c r="R1779" s="4">
        <v>29180.999999999996</v>
      </c>
      <c r="S1779" s="8">
        <f t="shared" si="81"/>
        <v>8093.1516666666657</v>
      </c>
      <c r="T1779" s="8">
        <f t="shared" si="82"/>
        <v>21087.848333333332</v>
      </c>
      <c r="U1779" s="9">
        <f t="shared" si="83"/>
        <v>2.6056410656664246</v>
      </c>
      <c r="V1779" t="s">
        <v>896</v>
      </c>
    </row>
    <row r="1780" spans="1:22" outlineLevel="2">
      <c r="A1780" t="s">
        <v>518</v>
      </c>
      <c r="B1780" t="s">
        <v>519</v>
      </c>
      <c r="C1780" t="s">
        <v>47</v>
      </c>
      <c r="D1780" t="s">
        <v>48</v>
      </c>
      <c r="E1780" s="4">
        <v>4440.17</v>
      </c>
      <c r="F1780" s="4">
        <v>4254.34</v>
      </c>
      <c r="G1780" s="4">
        <v>4440.18</v>
      </c>
      <c r="H1780" s="4">
        <v>4801.1499999999996</v>
      </c>
      <c r="I1780" s="4">
        <v>2909.5300000000007</v>
      </c>
      <c r="J1780" s="4">
        <v>-12502.02</v>
      </c>
      <c r="K1780" s="4">
        <v>3821.2200000000003</v>
      </c>
      <c r="L1780" s="4">
        <v>3821.2200000000003</v>
      </c>
      <c r="M1780" s="4">
        <v>3821.2200000000003</v>
      </c>
      <c r="N1780" s="4">
        <v>3821.2200000000003</v>
      </c>
      <c r="O1780" s="4">
        <v>3821.2200000000003</v>
      </c>
      <c r="P1780" s="4">
        <v>3821.2200000000003</v>
      </c>
      <c r="Q1780" s="4">
        <v>2201.73</v>
      </c>
      <c r="R1780" s="4">
        <v>2609.54</v>
      </c>
      <c r="S1780" s="8">
        <f t="shared" si="81"/>
        <v>3551.3050000000003</v>
      </c>
      <c r="T1780" s="8">
        <f t="shared" si="82"/>
        <v>-941.76500000000033</v>
      </c>
      <c r="U1780" s="9">
        <f t="shared" si="83"/>
        <v>-0.26518843073180148</v>
      </c>
    </row>
    <row r="1781" spans="1:22" outlineLevel="2">
      <c r="A1781" t="s">
        <v>518</v>
      </c>
      <c r="B1781" t="s">
        <v>519</v>
      </c>
      <c r="C1781" t="s">
        <v>49</v>
      </c>
      <c r="D1781" t="s">
        <v>50</v>
      </c>
      <c r="E1781" s="4">
        <v>6242.06</v>
      </c>
      <c r="F1781" s="4">
        <v>11717.490000000002</v>
      </c>
      <c r="G1781" s="4">
        <v>37400.470000000008</v>
      </c>
      <c r="H1781" s="4">
        <v>3118.7899999999995</v>
      </c>
      <c r="I1781" s="4">
        <v>10800.21</v>
      </c>
      <c r="J1781" s="4">
        <v>21035.1</v>
      </c>
      <c r="K1781" s="4">
        <v>14744.22</v>
      </c>
      <c r="L1781" s="4">
        <v>15039.199999999999</v>
      </c>
      <c r="M1781" s="4">
        <v>15914.15</v>
      </c>
      <c r="N1781" s="4">
        <v>18330</v>
      </c>
      <c r="O1781" s="4">
        <v>15416.359999999999</v>
      </c>
      <c r="P1781" s="4">
        <v>9697.34</v>
      </c>
      <c r="Q1781" s="4">
        <v>24433.469999999998</v>
      </c>
      <c r="R1781" s="4">
        <v>12715.259999999997</v>
      </c>
      <c r="S1781" s="8">
        <f t="shared" si="81"/>
        <v>16471.753333333334</v>
      </c>
      <c r="T1781" s="8">
        <f t="shared" si="82"/>
        <v>-3756.4933333333374</v>
      </c>
      <c r="U1781" s="9">
        <f t="shared" si="83"/>
        <v>-0.22805667722885625</v>
      </c>
    </row>
    <row r="1782" spans="1:22" outlineLevel="2">
      <c r="A1782" t="s">
        <v>518</v>
      </c>
      <c r="B1782" t="s">
        <v>519</v>
      </c>
      <c r="C1782" t="s">
        <v>51</v>
      </c>
      <c r="D1782" t="s">
        <v>52</v>
      </c>
      <c r="E1782" s="4">
        <v>0</v>
      </c>
      <c r="F1782" s="4">
        <v>0</v>
      </c>
      <c r="G1782" s="4">
        <v>0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0</v>
      </c>
      <c r="O1782" s="4">
        <v>0</v>
      </c>
      <c r="P1782" s="4">
        <v>116</v>
      </c>
      <c r="Q1782" s="4">
        <v>210</v>
      </c>
      <c r="S1782" s="8">
        <f t="shared" si="81"/>
        <v>54.333333333333336</v>
      </c>
      <c r="T1782" s="8">
        <f t="shared" si="82"/>
        <v>-54.333333333333336</v>
      </c>
      <c r="U1782" s="9">
        <f t="shared" si="83"/>
        <v>-1</v>
      </c>
    </row>
    <row r="1783" spans="1:22" outlineLevel="2">
      <c r="A1783" t="s">
        <v>518</v>
      </c>
      <c r="B1783" t="s">
        <v>519</v>
      </c>
      <c r="C1783" t="s">
        <v>164</v>
      </c>
      <c r="D1783" t="s">
        <v>165</v>
      </c>
      <c r="E1783" s="4">
        <v>315</v>
      </c>
      <c r="F1783" s="4">
        <v>210</v>
      </c>
      <c r="G1783" s="4">
        <v>210</v>
      </c>
      <c r="H1783" s="4">
        <v>210</v>
      </c>
      <c r="I1783" s="4">
        <v>210</v>
      </c>
      <c r="J1783" s="4">
        <v>210</v>
      </c>
      <c r="K1783" s="4">
        <v>140</v>
      </c>
      <c r="L1783" s="4">
        <v>210</v>
      </c>
      <c r="M1783" s="4">
        <v>70</v>
      </c>
      <c r="N1783" s="4">
        <v>70</v>
      </c>
      <c r="O1783" s="4">
        <v>70</v>
      </c>
      <c r="P1783" s="4">
        <v>70</v>
      </c>
      <c r="Q1783" s="4">
        <v>105</v>
      </c>
      <c r="R1783" s="4">
        <v>70</v>
      </c>
      <c r="S1783" s="8">
        <f t="shared" si="81"/>
        <v>99.166666666666671</v>
      </c>
      <c r="T1783" s="8">
        <f t="shared" si="82"/>
        <v>-29.166666666666671</v>
      </c>
      <c r="U1783" s="9">
        <f t="shared" si="83"/>
        <v>-0.29411764705882354</v>
      </c>
    </row>
    <row r="1784" spans="1:22" outlineLevel="2">
      <c r="A1784" t="s">
        <v>518</v>
      </c>
      <c r="B1784" t="s">
        <v>519</v>
      </c>
      <c r="C1784" t="s">
        <v>53</v>
      </c>
      <c r="D1784" t="s">
        <v>54</v>
      </c>
      <c r="E1784" s="4">
        <v>0</v>
      </c>
      <c r="F1784" s="4">
        <v>0</v>
      </c>
      <c r="G1784" s="4">
        <v>2140.42</v>
      </c>
      <c r="H1784" s="4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S1784" s="8">
        <f t="shared" si="81"/>
        <v>0</v>
      </c>
      <c r="T1784" s="8">
        <f t="shared" si="82"/>
        <v>0</v>
      </c>
      <c r="U1784" s="9" t="e">
        <f t="shared" si="83"/>
        <v>#DIV/0!</v>
      </c>
    </row>
    <row r="1785" spans="1:22" outlineLevel="2">
      <c r="A1785" t="s">
        <v>518</v>
      </c>
      <c r="B1785" t="s">
        <v>519</v>
      </c>
      <c r="C1785" t="s">
        <v>55</v>
      </c>
      <c r="D1785" t="s">
        <v>56</v>
      </c>
      <c r="E1785" s="4">
        <v>1474.1</v>
      </c>
      <c r="F1785" s="4">
        <v>2313.0300000000002</v>
      </c>
      <c r="G1785" s="4">
        <v>1003.6199999999999</v>
      </c>
      <c r="H1785" s="4">
        <v>525.04</v>
      </c>
      <c r="I1785" s="4">
        <v>0</v>
      </c>
      <c r="J1785" s="4">
        <v>411.09</v>
      </c>
      <c r="K1785" s="4">
        <v>716.97</v>
      </c>
      <c r="L1785" s="4">
        <v>1099.98</v>
      </c>
      <c r="M1785" s="4">
        <v>395.4</v>
      </c>
      <c r="N1785" s="4">
        <v>1159.77</v>
      </c>
      <c r="O1785" s="4">
        <v>0</v>
      </c>
      <c r="P1785" s="4">
        <v>368.37</v>
      </c>
      <c r="Q1785" s="4">
        <v>4729.7700000000004</v>
      </c>
      <c r="R1785" s="4">
        <v>216.93000000000006</v>
      </c>
      <c r="S1785" s="8">
        <f t="shared" si="81"/>
        <v>1292.2150000000001</v>
      </c>
      <c r="T1785" s="8">
        <f t="shared" si="82"/>
        <v>-1075.2850000000001</v>
      </c>
      <c r="U1785" s="9">
        <f t="shared" si="83"/>
        <v>-0.83212545899869605</v>
      </c>
    </row>
    <row r="1786" spans="1:22" outlineLevel="2">
      <c r="A1786" t="s">
        <v>518</v>
      </c>
      <c r="B1786" t="s">
        <v>519</v>
      </c>
      <c r="C1786" t="s">
        <v>59</v>
      </c>
      <c r="D1786" t="s">
        <v>60</v>
      </c>
      <c r="E1786" s="4">
        <v>0</v>
      </c>
      <c r="F1786" s="4">
        <v>0</v>
      </c>
      <c r="G1786" s="4">
        <v>481.64</v>
      </c>
      <c r="H1786" s="4">
        <v>56.57</v>
      </c>
      <c r="I1786" s="4">
        <v>319.70999999999998</v>
      </c>
      <c r="J1786" s="4">
        <v>0</v>
      </c>
      <c r="K1786" s="4">
        <v>0</v>
      </c>
      <c r="L1786" s="4">
        <v>296.35000000000002</v>
      </c>
      <c r="M1786" s="4">
        <v>0</v>
      </c>
      <c r="N1786" s="4">
        <v>0</v>
      </c>
      <c r="O1786" s="4">
        <v>1308.48</v>
      </c>
      <c r="P1786" s="4">
        <v>1425.55</v>
      </c>
      <c r="Q1786" s="4">
        <v>1112.7</v>
      </c>
      <c r="R1786" s="4">
        <v>1017.64</v>
      </c>
      <c r="S1786" s="8">
        <f t="shared" si="81"/>
        <v>690.51333333333332</v>
      </c>
      <c r="T1786" s="8">
        <f t="shared" si="82"/>
        <v>327.12666666666667</v>
      </c>
      <c r="U1786" s="9">
        <f t="shared" si="83"/>
        <v>0.47374417100321503</v>
      </c>
    </row>
    <row r="1787" spans="1:22" outlineLevel="2">
      <c r="A1787" t="s">
        <v>518</v>
      </c>
      <c r="B1787" t="s">
        <v>519</v>
      </c>
      <c r="C1787" t="s">
        <v>196</v>
      </c>
      <c r="D1787" t="s">
        <v>197</v>
      </c>
      <c r="E1787" s="4">
        <v>2553</v>
      </c>
      <c r="F1787" s="4">
        <v>2795.95</v>
      </c>
      <c r="G1787" s="4">
        <v>500</v>
      </c>
      <c r="H1787" s="4">
        <v>700</v>
      </c>
      <c r="I1787" s="4">
        <v>1253.95</v>
      </c>
      <c r="J1787" s="4">
        <v>8693.19</v>
      </c>
      <c r="K1787" s="4">
        <v>2000</v>
      </c>
      <c r="L1787" s="4">
        <v>268</v>
      </c>
      <c r="M1787" s="4">
        <v>1500</v>
      </c>
      <c r="N1787" s="4">
        <v>0</v>
      </c>
      <c r="O1787" s="4">
        <v>1042.4000000000001</v>
      </c>
      <c r="P1787" s="4">
        <v>128</v>
      </c>
      <c r="Q1787" s="4">
        <v>1855</v>
      </c>
      <c r="R1787" s="4">
        <v>505</v>
      </c>
      <c r="S1787" s="8">
        <f t="shared" si="81"/>
        <v>798.9</v>
      </c>
      <c r="T1787" s="8">
        <f t="shared" si="82"/>
        <v>-293.89999999999998</v>
      </c>
      <c r="U1787" s="9">
        <f t="shared" si="83"/>
        <v>-0.36788083614970585</v>
      </c>
    </row>
    <row r="1788" spans="1:22" outlineLevel="2">
      <c r="A1788" t="s">
        <v>518</v>
      </c>
      <c r="B1788" t="s">
        <v>519</v>
      </c>
      <c r="C1788" t="s">
        <v>65</v>
      </c>
      <c r="D1788" t="s">
        <v>66</v>
      </c>
      <c r="E1788" s="4">
        <v>0</v>
      </c>
      <c r="F1788" s="4">
        <v>0</v>
      </c>
      <c r="G1788" s="4">
        <v>0</v>
      </c>
      <c r="H1788" s="4">
        <v>0</v>
      </c>
      <c r="I1788" s="4">
        <v>313.52999999999997</v>
      </c>
      <c r="J1788" s="4">
        <v>0</v>
      </c>
      <c r="K1788" s="4">
        <v>0</v>
      </c>
      <c r="L1788" s="4">
        <v>0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S1788" s="8">
        <f t="shared" si="81"/>
        <v>0</v>
      </c>
      <c r="T1788" s="8">
        <f t="shared" si="82"/>
        <v>0</v>
      </c>
      <c r="U1788" s="9" t="e">
        <f t="shared" si="83"/>
        <v>#DIV/0!</v>
      </c>
    </row>
    <row r="1789" spans="1:22" outlineLevel="2">
      <c r="A1789" t="s">
        <v>518</v>
      </c>
      <c r="B1789" t="s">
        <v>519</v>
      </c>
      <c r="C1789" t="s">
        <v>520</v>
      </c>
      <c r="D1789" t="s">
        <v>521</v>
      </c>
      <c r="E1789" s="4">
        <v>0</v>
      </c>
      <c r="F1789" s="4">
        <v>0</v>
      </c>
      <c r="G1789" s="4">
        <v>0</v>
      </c>
      <c r="H1789" s="4">
        <v>0</v>
      </c>
      <c r="I1789" s="4">
        <v>0</v>
      </c>
      <c r="J1789" s="4">
        <v>0</v>
      </c>
      <c r="K1789" s="4">
        <v>0</v>
      </c>
      <c r="L1789" s="4">
        <v>1495.93</v>
      </c>
      <c r="M1789" s="4">
        <v>-1495.93</v>
      </c>
      <c r="N1789" s="4">
        <v>1495.93</v>
      </c>
      <c r="O1789" s="4">
        <v>0</v>
      </c>
      <c r="P1789" s="4">
        <v>0</v>
      </c>
      <c r="Q1789" s="4">
        <v>0</v>
      </c>
      <c r="S1789" s="8">
        <f t="shared" si="81"/>
        <v>249.32166666666669</v>
      </c>
      <c r="T1789" s="8">
        <f t="shared" si="82"/>
        <v>-249.32166666666669</v>
      </c>
      <c r="U1789" s="9">
        <f t="shared" si="83"/>
        <v>-1</v>
      </c>
    </row>
    <row r="1790" spans="1:22" outlineLevel="2">
      <c r="A1790" t="s">
        <v>518</v>
      </c>
      <c r="B1790" t="s">
        <v>519</v>
      </c>
      <c r="C1790" t="s">
        <v>83</v>
      </c>
      <c r="D1790" t="s">
        <v>84</v>
      </c>
      <c r="E1790" s="4">
        <v>2330.8999999999996</v>
      </c>
      <c r="F1790" s="4">
        <v>2722.12</v>
      </c>
      <c r="G1790" s="4">
        <v>3988.17</v>
      </c>
      <c r="H1790" s="4">
        <v>2966.4</v>
      </c>
      <c r="I1790" s="4">
        <v>2532.2299999999996</v>
      </c>
      <c r="J1790" s="4">
        <v>2430.5600000000004</v>
      </c>
      <c r="K1790" s="4">
        <v>3205.4699999999993</v>
      </c>
      <c r="L1790" s="4">
        <v>2639.9200000000005</v>
      </c>
      <c r="M1790" s="4">
        <v>2175.44</v>
      </c>
      <c r="N1790" s="4">
        <v>3443.639999999999</v>
      </c>
      <c r="O1790" s="4">
        <v>2559.0100000000002</v>
      </c>
      <c r="P1790" s="4">
        <v>805.44999999999993</v>
      </c>
      <c r="Q1790" s="4">
        <v>3563.2100000000005</v>
      </c>
      <c r="R1790" s="4">
        <v>3249.81</v>
      </c>
      <c r="S1790" s="8">
        <f t="shared" si="81"/>
        <v>2531.1116666666671</v>
      </c>
      <c r="T1790" s="8">
        <f t="shared" si="82"/>
        <v>718.69833333333281</v>
      </c>
      <c r="U1790" s="9">
        <f t="shared" si="83"/>
        <v>0.28394572345352842</v>
      </c>
    </row>
    <row r="1791" spans="1:22" outlineLevel="2">
      <c r="A1791" t="s">
        <v>518</v>
      </c>
      <c r="B1791" t="s">
        <v>519</v>
      </c>
      <c r="C1791" t="s">
        <v>87</v>
      </c>
      <c r="D1791" t="s">
        <v>88</v>
      </c>
      <c r="E1791" s="4">
        <v>0</v>
      </c>
      <c r="F1791" s="4">
        <v>0</v>
      </c>
      <c r="G1791" s="4">
        <v>0</v>
      </c>
      <c r="H1791" s="4">
        <v>0</v>
      </c>
      <c r="I1791" s="4">
        <v>0</v>
      </c>
      <c r="J1791" s="4">
        <v>94.88</v>
      </c>
      <c r="K1791" s="4">
        <v>0</v>
      </c>
      <c r="L1791" s="4">
        <v>0</v>
      </c>
      <c r="M1791" s="4">
        <v>0</v>
      </c>
      <c r="N1791" s="4">
        <v>0</v>
      </c>
      <c r="O1791" s="4">
        <v>0</v>
      </c>
      <c r="P1791" s="4">
        <v>0</v>
      </c>
      <c r="Q1791" s="4">
        <v>0</v>
      </c>
      <c r="S1791" s="8">
        <f t="shared" si="81"/>
        <v>0</v>
      </c>
      <c r="T1791" s="8">
        <f t="shared" si="82"/>
        <v>0</v>
      </c>
      <c r="U1791" s="9" t="e">
        <f t="shared" si="83"/>
        <v>#DIV/0!</v>
      </c>
    </row>
    <row r="1792" spans="1:22" outlineLevel="2">
      <c r="A1792" t="s">
        <v>518</v>
      </c>
      <c r="B1792" t="s">
        <v>519</v>
      </c>
      <c r="C1792" t="s">
        <v>166</v>
      </c>
      <c r="D1792" t="s">
        <v>167</v>
      </c>
      <c r="E1792" s="4">
        <v>20000</v>
      </c>
      <c r="F1792" s="4">
        <v>8000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>
        <v>0</v>
      </c>
      <c r="M1792" s="4">
        <v>0</v>
      </c>
      <c r="N1792" s="4">
        <v>0</v>
      </c>
      <c r="O1792" s="4">
        <v>0</v>
      </c>
      <c r="P1792" s="4">
        <v>18582.25</v>
      </c>
      <c r="Q1792" s="4">
        <v>0</v>
      </c>
      <c r="S1792" s="8">
        <f t="shared" si="81"/>
        <v>3097.0416666666665</v>
      </c>
      <c r="T1792" s="8">
        <f t="shared" si="82"/>
        <v>-3097.0416666666665</v>
      </c>
      <c r="U1792" s="9">
        <f t="shared" si="83"/>
        <v>-1</v>
      </c>
    </row>
    <row r="1793" spans="1:21" outlineLevel="2">
      <c r="A1793" t="s">
        <v>518</v>
      </c>
      <c r="B1793" t="s">
        <v>519</v>
      </c>
      <c r="C1793" t="s">
        <v>93</v>
      </c>
      <c r="D1793" t="s">
        <v>94</v>
      </c>
      <c r="E1793" s="4">
        <v>3488.07</v>
      </c>
      <c r="F1793" s="4">
        <v>439.14</v>
      </c>
      <c r="G1793" s="4">
        <v>0</v>
      </c>
      <c r="H1793" s="4">
        <v>0</v>
      </c>
      <c r="I1793" s="4">
        <v>0</v>
      </c>
      <c r="J1793" s="4">
        <v>0</v>
      </c>
      <c r="K1793" s="4">
        <v>0</v>
      </c>
      <c r="L1793" s="4">
        <v>0</v>
      </c>
      <c r="M1793" s="4">
        <v>0</v>
      </c>
      <c r="N1793" s="4">
        <v>0</v>
      </c>
      <c r="O1793" s="4">
        <v>0</v>
      </c>
      <c r="P1793" s="4">
        <v>0</v>
      </c>
      <c r="Q1793" s="4">
        <v>0</v>
      </c>
      <c r="S1793" s="8">
        <f t="shared" si="81"/>
        <v>0</v>
      </c>
      <c r="T1793" s="8">
        <f t="shared" si="82"/>
        <v>0</v>
      </c>
      <c r="U1793" s="9" t="e">
        <f t="shared" si="83"/>
        <v>#DIV/0!</v>
      </c>
    </row>
    <row r="1794" spans="1:21" outlineLevel="2">
      <c r="A1794" t="s">
        <v>518</v>
      </c>
      <c r="B1794" t="s">
        <v>519</v>
      </c>
      <c r="C1794" t="s">
        <v>101</v>
      </c>
      <c r="D1794" t="s">
        <v>102</v>
      </c>
      <c r="E1794" s="4">
        <v>326.47000000000003</v>
      </c>
      <c r="F1794" s="4">
        <v>981.54</v>
      </c>
      <c r="G1794" s="4">
        <v>4313.78</v>
      </c>
      <c r="H1794" s="4">
        <v>1323.1399999999999</v>
      </c>
      <c r="I1794" s="4">
        <v>13229.640000000001</v>
      </c>
      <c r="J1794" s="4">
        <v>15599.310000000001</v>
      </c>
      <c r="K1794" s="4">
        <v>26764.54</v>
      </c>
      <c r="L1794" s="4">
        <v>5449.92</v>
      </c>
      <c r="M1794" s="4">
        <v>8030.1100000000006</v>
      </c>
      <c r="N1794" s="4">
        <v>4998.0999999999995</v>
      </c>
      <c r="O1794" s="4">
        <v>1599.1799999999998</v>
      </c>
      <c r="P1794" s="4">
        <v>3433.7299999999996</v>
      </c>
      <c r="Q1794" s="4">
        <v>1626.8899999999999</v>
      </c>
      <c r="R1794" s="4">
        <v>530</v>
      </c>
      <c r="S1794" s="8">
        <f t="shared" si="81"/>
        <v>4189.6549999999997</v>
      </c>
      <c r="T1794" s="8">
        <f t="shared" si="82"/>
        <v>-3659.6549999999997</v>
      </c>
      <c r="U1794" s="9">
        <f t="shared" si="83"/>
        <v>-0.87349793718098501</v>
      </c>
    </row>
    <row r="1795" spans="1:21" outlineLevel="2">
      <c r="A1795" t="s">
        <v>518</v>
      </c>
      <c r="B1795" t="s">
        <v>519</v>
      </c>
      <c r="C1795" t="s">
        <v>103</v>
      </c>
      <c r="D1795" t="s">
        <v>104</v>
      </c>
      <c r="E1795" s="4">
        <v>0</v>
      </c>
      <c r="F1795" s="4">
        <v>0</v>
      </c>
      <c r="G1795" s="4">
        <v>0</v>
      </c>
      <c r="H1795" s="4">
        <v>0</v>
      </c>
      <c r="I1795" s="4">
        <v>0</v>
      </c>
      <c r="J1795" s="4">
        <v>0</v>
      </c>
      <c r="K1795" s="4">
        <v>0</v>
      </c>
      <c r="L1795" s="4">
        <v>0</v>
      </c>
      <c r="M1795" s="4">
        <v>0</v>
      </c>
      <c r="N1795" s="4">
        <v>1189.29</v>
      </c>
      <c r="O1795" s="4">
        <v>0</v>
      </c>
      <c r="P1795" s="4">
        <v>437.44</v>
      </c>
      <c r="Q1795" s="4">
        <v>0</v>
      </c>
      <c r="S1795" s="8">
        <f t="shared" ref="S1795:S1858" si="84">AVERAGE(L1795:Q1795)</f>
        <v>271.12166666666667</v>
      </c>
      <c r="T1795" s="8">
        <f t="shared" ref="T1795:T1858" si="85">R1795-S1795</f>
        <v>-271.12166666666667</v>
      </c>
      <c r="U1795" s="9">
        <f t="shared" ref="U1795:U1858" si="86">(R1795-S1795)/S1795</f>
        <v>-1</v>
      </c>
    </row>
    <row r="1796" spans="1:21" outlineLevel="2">
      <c r="A1796" t="s">
        <v>518</v>
      </c>
      <c r="B1796" t="s">
        <v>519</v>
      </c>
      <c r="C1796" t="s">
        <v>111</v>
      </c>
      <c r="D1796" t="s">
        <v>112</v>
      </c>
      <c r="E1796" s="4">
        <v>12663</v>
      </c>
      <c r="F1796" s="4">
        <v>10976</v>
      </c>
      <c r="G1796" s="4">
        <v>12033</v>
      </c>
      <c r="H1796" s="4">
        <v>11845</v>
      </c>
      <c r="I1796" s="4">
        <v>12851</v>
      </c>
      <c r="J1796" s="4">
        <v>10976</v>
      </c>
      <c r="K1796" s="4">
        <v>11845</v>
      </c>
      <c r="L1796" s="4">
        <v>13127</v>
      </c>
      <c r="M1796" s="4">
        <v>11276</v>
      </c>
      <c r="N1796" s="4">
        <v>12663</v>
      </c>
      <c r="O1796" s="4">
        <v>12333</v>
      </c>
      <c r="P1796" s="4">
        <v>12145</v>
      </c>
      <c r="Q1796" s="4">
        <v>13239</v>
      </c>
      <c r="R1796" s="4">
        <v>11364</v>
      </c>
      <c r="S1796" s="8">
        <f t="shared" si="84"/>
        <v>12463.833333333334</v>
      </c>
      <c r="T1796" s="8">
        <f t="shared" si="85"/>
        <v>-1099.8333333333339</v>
      </c>
      <c r="U1796" s="9">
        <f t="shared" si="86"/>
        <v>-8.824198012917378E-2</v>
      </c>
    </row>
    <row r="1797" spans="1:21" outlineLevel="2">
      <c r="A1797" t="s">
        <v>518</v>
      </c>
      <c r="B1797" t="s">
        <v>519</v>
      </c>
      <c r="C1797" t="s">
        <v>522</v>
      </c>
      <c r="D1797" t="s">
        <v>523</v>
      </c>
      <c r="E1797" s="4">
        <v>0</v>
      </c>
      <c r="F1797" s="4">
        <v>312.35000000000002</v>
      </c>
      <c r="G1797" s="4">
        <v>0</v>
      </c>
      <c r="H1797" s="4">
        <v>0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S1797" s="8">
        <f t="shared" si="84"/>
        <v>0</v>
      </c>
      <c r="T1797" s="8">
        <f t="shared" si="85"/>
        <v>0</v>
      </c>
      <c r="U1797" s="9" t="e">
        <f t="shared" si="86"/>
        <v>#DIV/0!</v>
      </c>
    </row>
    <row r="1798" spans="1:21" outlineLevel="2">
      <c r="A1798" t="s">
        <v>518</v>
      </c>
      <c r="B1798" t="s">
        <v>519</v>
      </c>
      <c r="C1798" t="s">
        <v>127</v>
      </c>
      <c r="D1798" t="s">
        <v>120</v>
      </c>
      <c r="E1798" s="4">
        <v>0</v>
      </c>
      <c r="F1798" s="4">
        <v>0</v>
      </c>
      <c r="G1798" s="4">
        <v>1055</v>
      </c>
      <c r="H1798" s="4">
        <v>2238.81</v>
      </c>
      <c r="I1798" s="4">
        <v>2181.67</v>
      </c>
      <c r="J1798" s="4">
        <v>6385.62</v>
      </c>
      <c r="K1798" s="4">
        <v>795.8599999999999</v>
      </c>
      <c r="L1798" s="4">
        <v>791.25</v>
      </c>
      <c r="M1798" s="4">
        <v>2654.59</v>
      </c>
      <c r="N1798" s="4">
        <v>19682.060000000001</v>
      </c>
      <c r="O1798" s="4">
        <v>10746.59</v>
      </c>
      <c r="P1798" s="4">
        <v>15710.79</v>
      </c>
      <c r="Q1798" s="4">
        <v>7699.6100000000006</v>
      </c>
      <c r="R1798" s="4">
        <v>952.88000000000011</v>
      </c>
      <c r="S1798" s="8">
        <f t="shared" si="84"/>
        <v>9547.4816666666684</v>
      </c>
      <c r="T1798" s="8">
        <f t="shared" si="85"/>
        <v>-8594.6016666666692</v>
      </c>
      <c r="U1798" s="9">
        <f t="shared" si="86"/>
        <v>-0.90019567114469468</v>
      </c>
    </row>
    <row r="1799" spans="1:21" outlineLevel="2">
      <c r="A1799" t="s">
        <v>518</v>
      </c>
      <c r="B1799" t="s">
        <v>519</v>
      </c>
      <c r="C1799" t="s">
        <v>132</v>
      </c>
      <c r="D1799" t="s">
        <v>133</v>
      </c>
      <c r="E1799" s="4">
        <v>0</v>
      </c>
      <c r="F1799" s="4">
        <v>470</v>
      </c>
      <c r="G1799" s="4">
        <v>47.059999999999995</v>
      </c>
      <c r="H1799" s="4">
        <v>564.04999999999995</v>
      </c>
      <c r="I1799" s="4">
        <v>188.02</v>
      </c>
      <c r="J1799" s="4">
        <v>0.03</v>
      </c>
      <c r="K1799" s="4">
        <v>376.1</v>
      </c>
      <c r="L1799" s="4">
        <v>0.03</v>
      </c>
      <c r="M1799" s="4">
        <v>0</v>
      </c>
      <c r="N1799" s="4">
        <v>141.02000000000001</v>
      </c>
      <c r="O1799" s="4">
        <v>0</v>
      </c>
      <c r="P1799" s="4">
        <v>329</v>
      </c>
      <c r="Q1799" s="4">
        <v>117.54</v>
      </c>
      <c r="R1799" s="4">
        <v>329</v>
      </c>
      <c r="S1799" s="8">
        <f t="shared" si="84"/>
        <v>97.931666666666672</v>
      </c>
      <c r="T1799" s="8">
        <f t="shared" si="85"/>
        <v>231.06833333333333</v>
      </c>
      <c r="U1799" s="9">
        <f t="shared" si="86"/>
        <v>2.359485355434912</v>
      </c>
    </row>
    <row r="1800" spans="1:21" outlineLevel="1">
      <c r="A1800" s="1" t="s">
        <v>815</v>
      </c>
      <c r="E1800" s="4">
        <f>SUBTOTAL(9,E1763:E1799)</f>
        <v>57016.79</v>
      </c>
      <c r="F1800" s="4">
        <f>SUBTOTAL(9,F1763:F1799)</f>
        <v>60288.89</v>
      </c>
      <c r="G1800" s="4">
        <f>SUBTOTAL(9,G1763:G1799)</f>
        <v>72075.739999999991</v>
      </c>
      <c r="H1800" s="4">
        <f>SUBTOTAL(9,H1763:H1799)</f>
        <v>86663.61</v>
      </c>
      <c r="I1800" s="4">
        <f>SUBTOTAL(9,I1763:I1799)</f>
        <v>72106.489999999991</v>
      </c>
      <c r="J1800" s="4">
        <f>SUBTOTAL(9,J1763:J1799)</f>
        <v>118340.51999999999</v>
      </c>
      <c r="K1800" s="4">
        <f>SUBTOTAL(9,K1763:K1799)</f>
        <v>86356.220000000016</v>
      </c>
      <c r="L1800" s="4">
        <f>SUBTOTAL(9,L1763:L1799)</f>
        <v>55018.969999999994</v>
      </c>
      <c r="M1800" s="4">
        <f>SUBTOTAL(9,M1763:M1799)</f>
        <v>102492.43</v>
      </c>
      <c r="N1800" s="4">
        <f>SUBTOTAL(9,N1763:N1799)</f>
        <v>75027.86</v>
      </c>
      <c r="O1800" s="4">
        <f>SUBTOTAL(9,O1763:O1799)</f>
        <v>112151.93999999997</v>
      </c>
      <c r="P1800" s="4">
        <f>SUBTOTAL(9,P1763:P1799)</f>
        <v>146589.96999999997</v>
      </c>
      <c r="Q1800" s="4">
        <f>SUBTOTAL(9,Q1763:Q1799)</f>
        <v>98715.099999999991</v>
      </c>
      <c r="R1800" s="4">
        <f>SUBTOTAL(9,R1763:R1799)</f>
        <v>55412.899999999987</v>
      </c>
      <c r="S1800" s="8">
        <f t="shared" si="84"/>
        <v>98332.711666666655</v>
      </c>
      <c r="T1800" s="8">
        <f t="shared" si="85"/>
        <v>-42919.811666666668</v>
      </c>
      <c r="U1800" s="9">
        <f t="shared" si="86"/>
        <v>-0.43647542042935294</v>
      </c>
    </row>
    <row r="1801" spans="1:21" outlineLevel="2">
      <c r="A1801" t="s">
        <v>524</v>
      </c>
      <c r="B1801" t="s">
        <v>448</v>
      </c>
      <c r="C1801" t="s">
        <v>59</v>
      </c>
      <c r="D1801" t="s">
        <v>60</v>
      </c>
      <c r="E1801" s="4">
        <v>0</v>
      </c>
      <c r="F1801" s="4">
        <v>0</v>
      </c>
      <c r="G1801" s="4">
        <v>0</v>
      </c>
      <c r="H1801" s="4">
        <v>0</v>
      </c>
      <c r="I1801" s="4">
        <v>0</v>
      </c>
      <c r="J1801" s="4">
        <v>3529.8199999999997</v>
      </c>
      <c r="K1801" s="4">
        <v>981.26</v>
      </c>
      <c r="L1801" s="4">
        <v>1152.99</v>
      </c>
      <c r="M1801" s="4">
        <v>947.79000000000019</v>
      </c>
      <c r="N1801" s="4">
        <v>11836.330000000002</v>
      </c>
      <c r="O1801" s="4">
        <v>2098.7400000000002</v>
      </c>
      <c r="P1801" s="4">
        <v>4497.88</v>
      </c>
      <c r="Q1801" s="4">
        <v>11886.179999999997</v>
      </c>
      <c r="R1801" s="4">
        <v>3552.2599999999998</v>
      </c>
      <c r="S1801" s="8">
        <f t="shared" si="84"/>
        <v>5403.3183333333336</v>
      </c>
      <c r="T1801" s="8">
        <f t="shared" si="85"/>
        <v>-1851.0583333333338</v>
      </c>
      <c r="U1801" s="9">
        <f t="shared" si="86"/>
        <v>-0.34257806391196033</v>
      </c>
    </row>
    <row r="1802" spans="1:21" outlineLevel="2">
      <c r="A1802" t="s">
        <v>524</v>
      </c>
      <c r="B1802" t="s">
        <v>448</v>
      </c>
      <c r="C1802" t="s">
        <v>238</v>
      </c>
      <c r="D1802" t="s">
        <v>239</v>
      </c>
      <c r="E1802" s="4">
        <v>0</v>
      </c>
      <c r="F1802" s="4">
        <v>0</v>
      </c>
      <c r="G1802" s="4">
        <v>418.43</v>
      </c>
      <c r="H1802" s="4">
        <v>0</v>
      </c>
      <c r="I1802" s="4">
        <v>0</v>
      </c>
      <c r="J1802" s="4">
        <v>0</v>
      </c>
      <c r="K1802" s="4">
        <v>0</v>
      </c>
      <c r="L1802" s="4">
        <v>0</v>
      </c>
      <c r="M1802" s="4">
        <v>214.29</v>
      </c>
      <c r="N1802" s="4">
        <v>0</v>
      </c>
      <c r="O1802" s="4">
        <v>0</v>
      </c>
      <c r="P1802" s="4">
        <v>0</v>
      </c>
      <c r="Q1802" s="4">
        <v>0</v>
      </c>
      <c r="S1802" s="8">
        <f t="shared" si="84"/>
        <v>35.714999999999996</v>
      </c>
      <c r="T1802" s="8">
        <f t="shared" si="85"/>
        <v>-35.714999999999996</v>
      </c>
      <c r="U1802" s="9">
        <f t="shared" si="86"/>
        <v>-1</v>
      </c>
    </row>
    <row r="1803" spans="1:21" outlineLevel="1">
      <c r="A1803" s="1" t="s">
        <v>816</v>
      </c>
      <c r="E1803" s="4">
        <f>SUBTOTAL(9,E1801:E1802)</f>
        <v>0</v>
      </c>
      <c r="F1803" s="4">
        <f>SUBTOTAL(9,F1801:F1802)</f>
        <v>0</v>
      </c>
      <c r="G1803" s="4">
        <f>SUBTOTAL(9,G1801:G1802)</f>
        <v>418.43</v>
      </c>
      <c r="H1803" s="4">
        <f>SUBTOTAL(9,H1801:H1802)</f>
        <v>0</v>
      </c>
      <c r="I1803" s="4">
        <f>SUBTOTAL(9,I1801:I1802)</f>
        <v>0</v>
      </c>
      <c r="J1803" s="4">
        <f>SUBTOTAL(9,J1801:J1802)</f>
        <v>3529.8199999999997</v>
      </c>
      <c r="K1803" s="4">
        <f>SUBTOTAL(9,K1801:K1802)</f>
        <v>981.26</v>
      </c>
      <c r="L1803" s="4">
        <f>SUBTOTAL(9,L1801:L1802)</f>
        <v>1152.99</v>
      </c>
      <c r="M1803" s="4">
        <f>SUBTOTAL(9,M1801:M1802)</f>
        <v>1162.0800000000002</v>
      </c>
      <c r="N1803" s="4">
        <f>SUBTOTAL(9,N1801:N1802)</f>
        <v>11836.330000000002</v>
      </c>
      <c r="O1803" s="4">
        <f>SUBTOTAL(9,O1801:O1802)</f>
        <v>2098.7400000000002</v>
      </c>
      <c r="P1803" s="4">
        <f>SUBTOTAL(9,P1801:P1802)</f>
        <v>4497.88</v>
      </c>
      <c r="Q1803" s="4">
        <f>SUBTOTAL(9,Q1801:Q1802)</f>
        <v>11886.179999999997</v>
      </c>
      <c r="R1803" s="4">
        <f>SUBTOTAL(9,R1801:R1802)</f>
        <v>3552.2599999999998</v>
      </c>
      <c r="S1803" s="8">
        <f t="shared" si="84"/>
        <v>5439.0333333333328</v>
      </c>
      <c r="T1803" s="8">
        <f t="shared" si="85"/>
        <v>-1886.7733333333331</v>
      </c>
      <c r="U1803" s="9">
        <f t="shared" si="86"/>
        <v>-0.34689497521005569</v>
      </c>
    </row>
    <row r="1804" spans="1:21" outlineLevel="2">
      <c r="A1804" t="s">
        <v>525</v>
      </c>
      <c r="B1804" t="s">
        <v>446</v>
      </c>
      <c r="C1804" t="s">
        <v>59</v>
      </c>
      <c r="D1804" t="s">
        <v>60</v>
      </c>
      <c r="E1804" s="4">
        <v>77274.85000000002</v>
      </c>
      <c r="F1804" s="4">
        <v>23046.21000000001</v>
      </c>
      <c r="G1804" s="4">
        <v>19562.13</v>
      </c>
      <c r="H1804" s="4">
        <v>13948.590000000002</v>
      </c>
      <c r="I1804" s="4">
        <v>23086.63</v>
      </c>
      <c r="J1804" s="4">
        <v>15541.530000000004</v>
      </c>
      <c r="K1804" s="4">
        <v>27291.79</v>
      </c>
      <c r="L1804" s="4">
        <v>10297.090000000002</v>
      </c>
      <c r="M1804" s="4">
        <v>19110.03</v>
      </c>
      <c r="N1804" s="4">
        <v>20419.809999999994</v>
      </c>
      <c r="O1804" s="4">
        <v>2688.1</v>
      </c>
      <c r="P1804" s="4">
        <v>5808.9100000000008</v>
      </c>
      <c r="Q1804" s="4">
        <v>39403.269999999997</v>
      </c>
      <c r="R1804" s="4">
        <v>21791.700000000004</v>
      </c>
      <c r="S1804" s="8">
        <f t="shared" si="84"/>
        <v>16287.868333333332</v>
      </c>
      <c r="T1804" s="8">
        <f t="shared" si="85"/>
        <v>5503.8316666666724</v>
      </c>
      <c r="U1804" s="9">
        <f t="shared" si="86"/>
        <v>0.33790988200727345</v>
      </c>
    </row>
    <row r="1805" spans="1:21" outlineLevel="2">
      <c r="A1805" t="s">
        <v>525</v>
      </c>
      <c r="B1805" t="s">
        <v>446</v>
      </c>
      <c r="C1805" t="s">
        <v>83</v>
      </c>
      <c r="D1805" t="s">
        <v>84</v>
      </c>
      <c r="E1805" s="4">
        <v>0</v>
      </c>
      <c r="F1805" s="4">
        <v>0</v>
      </c>
      <c r="G1805" s="4">
        <v>0</v>
      </c>
      <c r="H1805" s="4">
        <v>0</v>
      </c>
      <c r="I1805" s="4">
        <v>0</v>
      </c>
      <c r="J1805" s="4">
        <v>0</v>
      </c>
      <c r="K1805" s="4">
        <v>0</v>
      </c>
      <c r="L1805" s="4">
        <v>0</v>
      </c>
      <c r="M1805" s="4">
        <v>0</v>
      </c>
      <c r="N1805" s="4">
        <v>30.82</v>
      </c>
      <c r="O1805" s="4">
        <v>0</v>
      </c>
      <c r="P1805" s="4">
        <v>0</v>
      </c>
      <c r="Q1805" s="4">
        <v>0</v>
      </c>
      <c r="S1805" s="8">
        <f t="shared" si="84"/>
        <v>5.1366666666666667</v>
      </c>
      <c r="T1805" s="8">
        <f t="shared" si="85"/>
        <v>-5.1366666666666667</v>
      </c>
      <c r="U1805" s="9">
        <f t="shared" si="86"/>
        <v>-1</v>
      </c>
    </row>
    <row r="1806" spans="1:21" outlineLevel="2">
      <c r="A1806" t="s">
        <v>525</v>
      </c>
      <c r="B1806" t="s">
        <v>446</v>
      </c>
      <c r="C1806" t="s">
        <v>101</v>
      </c>
      <c r="D1806" t="s">
        <v>102</v>
      </c>
      <c r="E1806" s="4">
        <v>3441</v>
      </c>
      <c r="F1806" s="4">
        <v>577.45000000000005</v>
      </c>
      <c r="G1806" s="4">
        <v>4615.7299999999996</v>
      </c>
      <c r="H1806" s="4">
        <v>-0.52</v>
      </c>
      <c r="I1806" s="4">
        <v>0</v>
      </c>
      <c r="J1806" s="4">
        <v>0</v>
      </c>
      <c r="K1806" s="4">
        <v>0</v>
      </c>
      <c r="L1806" s="4">
        <v>0</v>
      </c>
      <c r="M1806" s="4">
        <v>0</v>
      </c>
      <c r="N1806" s="4">
        <v>0</v>
      </c>
      <c r="O1806" s="4">
        <v>0</v>
      </c>
      <c r="P1806" s="4">
        <v>0</v>
      </c>
      <c r="Q1806" s="4">
        <v>1326.06</v>
      </c>
      <c r="S1806" s="8">
        <f t="shared" si="84"/>
        <v>221.01</v>
      </c>
      <c r="T1806" s="8">
        <f t="shared" si="85"/>
        <v>-221.01</v>
      </c>
      <c r="U1806" s="9">
        <f t="shared" si="86"/>
        <v>-1</v>
      </c>
    </row>
    <row r="1807" spans="1:21" outlineLevel="2">
      <c r="A1807" t="s">
        <v>525</v>
      </c>
      <c r="B1807" t="s">
        <v>446</v>
      </c>
      <c r="C1807" t="s">
        <v>103</v>
      </c>
      <c r="D1807" t="s">
        <v>104</v>
      </c>
      <c r="E1807" s="4">
        <v>0</v>
      </c>
      <c r="F1807" s="4">
        <v>0</v>
      </c>
      <c r="G1807" s="4">
        <v>0</v>
      </c>
      <c r="H1807" s="4">
        <v>0</v>
      </c>
      <c r="I1807" s="4">
        <v>0</v>
      </c>
      <c r="J1807" s="4">
        <v>0</v>
      </c>
      <c r="K1807" s="4">
        <v>13287.76</v>
      </c>
      <c r="L1807" s="4">
        <v>1096.25</v>
      </c>
      <c r="M1807" s="4">
        <v>0</v>
      </c>
      <c r="N1807" s="4">
        <v>0</v>
      </c>
      <c r="O1807" s="4">
        <v>0</v>
      </c>
      <c r="P1807" s="4">
        <v>0</v>
      </c>
      <c r="Q1807" s="4">
        <v>0</v>
      </c>
      <c r="S1807" s="8">
        <f t="shared" si="84"/>
        <v>182.70833333333334</v>
      </c>
      <c r="T1807" s="8">
        <f t="shared" si="85"/>
        <v>-182.70833333333334</v>
      </c>
      <c r="U1807" s="9">
        <f t="shared" si="86"/>
        <v>-1</v>
      </c>
    </row>
    <row r="1808" spans="1:21" outlineLevel="2">
      <c r="A1808" t="s">
        <v>525</v>
      </c>
      <c r="B1808" t="s">
        <v>446</v>
      </c>
      <c r="C1808" t="s">
        <v>119</v>
      </c>
      <c r="D1808" t="s">
        <v>120</v>
      </c>
      <c r="E1808" s="4">
        <v>0</v>
      </c>
      <c r="F1808" s="4">
        <v>0</v>
      </c>
      <c r="G1808" s="4">
        <v>0</v>
      </c>
      <c r="H1808" s="4">
        <v>-43.17</v>
      </c>
      <c r="I1808" s="4">
        <v>0</v>
      </c>
      <c r="J1808" s="4">
        <v>0</v>
      </c>
      <c r="K1808" s="4">
        <v>0</v>
      </c>
      <c r="L1808" s="4">
        <v>0</v>
      </c>
      <c r="M1808" s="4">
        <v>0</v>
      </c>
      <c r="N1808" s="4">
        <v>0</v>
      </c>
      <c r="O1808" s="4">
        <v>0</v>
      </c>
      <c r="P1808" s="4">
        <v>0</v>
      </c>
      <c r="Q1808" s="4">
        <v>0</v>
      </c>
      <c r="S1808" s="8">
        <f t="shared" si="84"/>
        <v>0</v>
      </c>
      <c r="T1808" s="8">
        <f t="shared" si="85"/>
        <v>0</v>
      </c>
      <c r="U1808" s="9" t="e">
        <f t="shared" si="86"/>
        <v>#DIV/0!</v>
      </c>
    </row>
    <row r="1809" spans="1:21" outlineLevel="2">
      <c r="A1809" t="s">
        <v>525</v>
      </c>
      <c r="B1809" t="s">
        <v>446</v>
      </c>
      <c r="C1809" t="s">
        <v>127</v>
      </c>
      <c r="D1809" t="s">
        <v>120</v>
      </c>
      <c r="E1809" s="4">
        <v>0</v>
      </c>
      <c r="F1809" s="4">
        <v>0</v>
      </c>
      <c r="G1809" s="4">
        <v>0</v>
      </c>
      <c r="H1809" s="4">
        <v>0</v>
      </c>
      <c r="I1809" s="4">
        <v>0</v>
      </c>
      <c r="J1809" s="4">
        <v>0</v>
      </c>
      <c r="K1809" s="4">
        <v>0</v>
      </c>
      <c r="L1809" s="4">
        <v>0</v>
      </c>
      <c r="M1809" s="4">
        <v>0</v>
      </c>
      <c r="N1809" s="4">
        <v>48.93</v>
      </c>
      <c r="O1809" s="4">
        <v>0</v>
      </c>
      <c r="P1809" s="4">
        <v>0</v>
      </c>
      <c r="Q1809" s="4">
        <v>0</v>
      </c>
      <c r="S1809" s="8">
        <f t="shared" si="84"/>
        <v>8.1549999999999994</v>
      </c>
      <c r="T1809" s="8">
        <f t="shared" si="85"/>
        <v>-8.1549999999999994</v>
      </c>
      <c r="U1809" s="9">
        <f t="shared" si="86"/>
        <v>-1</v>
      </c>
    </row>
    <row r="1810" spans="1:21" outlineLevel="2">
      <c r="A1810" t="s">
        <v>525</v>
      </c>
      <c r="B1810" t="s">
        <v>446</v>
      </c>
      <c r="C1810" t="s">
        <v>132</v>
      </c>
      <c r="D1810" t="s">
        <v>133</v>
      </c>
      <c r="E1810" s="4">
        <v>0</v>
      </c>
      <c r="F1810" s="4">
        <v>0</v>
      </c>
      <c r="G1810" s="4">
        <v>0</v>
      </c>
      <c r="H1810" s="4">
        <v>0</v>
      </c>
      <c r="I1810" s="4">
        <v>7614</v>
      </c>
      <c r="J1810" s="4">
        <v>2162</v>
      </c>
      <c r="K1810" s="4">
        <v>0</v>
      </c>
      <c r="L1810" s="4">
        <v>0</v>
      </c>
      <c r="M1810" s="4">
        <v>0</v>
      </c>
      <c r="N1810" s="4">
        <v>0</v>
      </c>
      <c r="O1810" s="4">
        <v>0</v>
      </c>
      <c r="P1810" s="4">
        <v>0</v>
      </c>
      <c r="Q1810" s="4">
        <v>0</v>
      </c>
      <c r="S1810" s="8">
        <f t="shared" si="84"/>
        <v>0</v>
      </c>
      <c r="T1810" s="8">
        <f t="shared" si="85"/>
        <v>0</v>
      </c>
      <c r="U1810" s="9" t="e">
        <f t="shared" si="86"/>
        <v>#DIV/0!</v>
      </c>
    </row>
    <row r="1811" spans="1:21" outlineLevel="1">
      <c r="A1811" s="1" t="s">
        <v>817</v>
      </c>
      <c r="E1811" s="4">
        <f>SUBTOTAL(9,E1804:E1810)</f>
        <v>80715.85000000002</v>
      </c>
      <c r="F1811" s="4">
        <f>SUBTOTAL(9,F1804:F1810)</f>
        <v>23623.660000000011</v>
      </c>
      <c r="G1811" s="4">
        <f>SUBTOTAL(9,G1804:G1810)</f>
        <v>24177.86</v>
      </c>
      <c r="H1811" s="4">
        <f>SUBTOTAL(9,H1804:H1810)</f>
        <v>13904.900000000001</v>
      </c>
      <c r="I1811" s="4">
        <f>SUBTOTAL(9,I1804:I1810)</f>
        <v>30700.63</v>
      </c>
      <c r="J1811" s="4">
        <f>SUBTOTAL(9,J1804:J1810)</f>
        <v>17703.530000000006</v>
      </c>
      <c r="K1811" s="4">
        <f>SUBTOTAL(9,K1804:K1810)</f>
        <v>40579.550000000003</v>
      </c>
      <c r="L1811" s="4">
        <f>SUBTOTAL(9,L1804:L1810)</f>
        <v>11393.340000000002</v>
      </c>
      <c r="M1811" s="4">
        <f>SUBTOTAL(9,M1804:M1810)</f>
        <v>19110.03</v>
      </c>
      <c r="N1811" s="4">
        <f>SUBTOTAL(9,N1804:N1810)</f>
        <v>20499.559999999994</v>
      </c>
      <c r="O1811" s="4">
        <f>SUBTOTAL(9,O1804:O1810)</f>
        <v>2688.1</v>
      </c>
      <c r="P1811" s="4">
        <f>SUBTOTAL(9,P1804:P1810)</f>
        <v>5808.9100000000008</v>
      </c>
      <c r="Q1811" s="4">
        <f>SUBTOTAL(9,Q1804:Q1810)</f>
        <v>40729.329999999994</v>
      </c>
      <c r="R1811" s="4">
        <f>SUBTOTAL(9,R1804:R1810)</f>
        <v>21791.700000000004</v>
      </c>
      <c r="S1811" s="8">
        <f t="shared" si="84"/>
        <v>16704.87833333333</v>
      </c>
      <c r="T1811" s="8">
        <f t="shared" si="85"/>
        <v>5086.821666666674</v>
      </c>
      <c r="U1811" s="9">
        <f t="shared" si="86"/>
        <v>0.30451114729260276</v>
      </c>
    </row>
    <row r="1812" spans="1:21" outlineLevel="2">
      <c r="A1812" t="s">
        <v>526</v>
      </c>
      <c r="B1812" t="s">
        <v>307</v>
      </c>
      <c r="C1812" t="s">
        <v>59</v>
      </c>
      <c r="D1812" t="s">
        <v>60</v>
      </c>
      <c r="E1812" s="4">
        <v>0</v>
      </c>
      <c r="F1812" s="4">
        <v>0</v>
      </c>
      <c r="G1812" s="4">
        <v>0</v>
      </c>
      <c r="H1812" s="4">
        <v>0</v>
      </c>
      <c r="I1812" s="4">
        <v>0</v>
      </c>
      <c r="J1812" s="4">
        <v>349.72</v>
      </c>
      <c r="K1812" s="4">
        <v>0</v>
      </c>
      <c r="L1812" s="4">
        <v>1.0000000000019327E-2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S1812" s="8">
        <f t="shared" si="84"/>
        <v>1.6666666666698877E-3</v>
      </c>
      <c r="T1812" s="8">
        <f t="shared" si="85"/>
        <v>-1.6666666666698877E-3</v>
      </c>
      <c r="U1812" s="9">
        <f t="shared" si="86"/>
        <v>-1</v>
      </c>
    </row>
    <row r="1813" spans="1:21" outlineLevel="2">
      <c r="A1813" t="s">
        <v>526</v>
      </c>
      <c r="B1813" t="s">
        <v>307</v>
      </c>
      <c r="C1813" t="s">
        <v>101</v>
      </c>
      <c r="D1813" t="s">
        <v>102</v>
      </c>
      <c r="E1813" s="4">
        <v>-11509.3</v>
      </c>
      <c r="F1813" s="4">
        <v>0</v>
      </c>
      <c r="G1813" s="4">
        <v>0</v>
      </c>
      <c r="H1813" s="4">
        <v>-614.69000000000005</v>
      </c>
      <c r="I1813" s="4">
        <v>0</v>
      </c>
      <c r="J1813" s="4">
        <v>0</v>
      </c>
      <c r="K1813" s="4">
        <v>0</v>
      </c>
      <c r="L1813" s="4">
        <v>0</v>
      </c>
      <c r="M1813" s="4">
        <v>0</v>
      </c>
      <c r="N1813" s="4">
        <v>0</v>
      </c>
      <c r="O1813" s="4">
        <v>0</v>
      </c>
      <c r="P1813" s="4">
        <v>0</v>
      </c>
      <c r="Q1813" s="4">
        <v>0</v>
      </c>
      <c r="S1813" s="8">
        <f t="shared" si="84"/>
        <v>0</v>
      </c>
      <c r="T1813" s="8">
        <f t="shared" si="85"/>
        <v>0</v>
      </c>
      <c r="U1813" s="9" t="e">
        <f t="shared" si="86"/>
        <v>#DIV/0!</v>
      </c>
    </row>
    <row r="1814" spans="1:21" outlineLevel="1">
      <c r="A1814" s="1" t="s">
        <v>818</v>
      </c>
      <c r="E1814" s="4">
        <f>SUBTOTAL(9,E1812:E1813)</f>
        <v>-11509.3</v>
      </c>
      <c r="F1814" s="4">
        <f>SUBTOTAL(9,F1812:F1813)</f>
        <v>0</v>
      </c>
      <c r="G1814" s="4">
        <f>SUBTOTAL(9,G1812:G1813)</f>
        <v>0</v>
      </c>
      <c r="H1814" s="4">
        <f>SUBTOTAL(9,H1812:H1813)</f>
        <v>-614.69000000000005</v>
      </c>
      <c r="I1814" s="4">
        <f>SUBTOTAL(9,I1812:I1813)</f>
        <v>0</v>
      </c>
      <c r="J1814" s="4">
        <f>SUBTOTAL(9,J1812:J1813)</f>
        <v>349.72</v>
      </c>
      <c r="K1814" s="4">
        <f>SUBTOTAL(9,K1812:K1813)</f>
        <v>0</v>
      </c>
      <c r="L1814" s="4">
        <f>SUBTOTAL(9,L1812:L1813)</f>
        <v>1.0000000000019327E-2</v>
      </c>
      <c r="M1814" s="4">
        <f>SUBTOTAL(9,M1812:M1813)</f>
        <v>0</v>
      </c>
      <c r="N1814" s="4">
        <f>SUBTOTAL(9,N1812:N1813)</f>
        <v>0</v>
      </c>
      <c r="O1814" s="4">
        <f>SUBTOTAL(9,O1812:O1813)</f>
        <v>0</v>
      </c>
      <c r="P1814" s="4">
        <f>SUBTOTAL(9,P1812:P1813)</f>
        <v>0</v>
      </c>
      <c r="Q1814" s="4">
        <f>SUBTOTAL(9,Q1812:Q1813)</f>
        <v>0</v>
      </c>
      <c r="R1814" s="4">
        <f>SUBTOTAL(9,R1812:R1813)</f>
        <v>0</v>
      </c>
      <c r="S1814" s="8">
        <f t="shared" si="84"/>
        <v>1.6666666666698877E-3</v>
      </c>
      <c r="T1814" s="8">
        <f t="shared" si="85"/>
        <v>-1.6666666666698877E-3</v>
      </c>
      <c r="U1814" s="9">
        <f t="shared" si="86"/>
        <v>-1</v>
      </c>
    </row>
    <row r="1815" spans="1:21" outlineLevel="2">
      <c r="A1815" t="s">
        <v>527</v>
      </c>
      <c r="B1815" t="s">
        <v>528</v>
      </c>
      <c r="C1815" t="s">
        <v>19</v>
      </c>
      <c r="D1815" t="s">
        <v>20</v>
      </c>
      <c r="E1815" s="4">
        <v>0</v>
      </c>
      <c r="F1815" s="4">
        <v>0</v>
      </c>
      <c r="G1815" s="4">
        <v>0</v>
      </c>
      <c r="H1815" s="4">
        <v>0</v>
      </c>
      <c r="I1815" s="4">
        <v>1385.6</v>
      </c>
      <c r="J1815" s="4">
        <v>0</v>
      </c>
      <c r="K1815" s="4">
        <v>19.46</v>
      </c>
      <c r="L1815" s="4">
        <v>0</v>
      </c>
      <c r="M1815" s="4">
        <v>0</v>
      </c>
      <c r="N1815" s="4">
        <v>0</v>
      </c>
      <c r="O1815" s="4">
        <v>0</v>
      </c>
      <c r="P1815" s="4">
        <v>294.17</v>
      </c>
      <c r="Q1815" s="4">
        <v>0</v>
      </c>
      <c r="R1815" s="4">
        <v>27.02</v>
      </c>
      <c r="S1815" s="8">
        <f t="shared" si="84"/>
        <v>49.028333333333336</v>
      </c>
      <c r="T1815" s="8">
        <f t="shared" si="85"/>
        <v>-22.008333333333336</v>
      </c>
      <c r="U1815" s="9">
        <f t="shared" si="86"/>
        <v>-0.44889009756263387</v>
      </c>
    </row>
    <row r="1816" spans="1:21" outlineLevel="2">
      <c r="A1816" t="s">
        <v>527</v>
      </c>
      <c r="B1816" t="s">
        <v>528</v>
      </c>
      <c r="C1816" t="s">
        <v>21</v>
      </c>
      <c r="D1816" t="s">
        <v>22</v>
      </c>
      <c r="E1816" s="4">
        <v>2757.77</v>
      </c>
      <c r="F1816" s="4">
        <v>881.71</v>
      </c>
      <c r="G1816" s="4">
        <v>402.83000000000004</v>
      </c>
      <c r="H1816" s="4">
        <v>305.49</v>
      </c>
      <c r="I1816" s="4">
        <v>2297.1</v>
      </c>
      <c r="J1816" s="4">
        <v>1187.6599999999996</v>
      </c>
      <c r="K1816" s="4">
        <v>3774.2699999999995</v>
      </c>
      <c r="L1816" s="4">
        <v>2598.7399999999998</v>
      </c>
      <c r="M1816" s="4">
        <v>1086.0899999999999</v>
      </c>
      <c r="N1816" s="4">
        <v>855.8</v>
      </c>
      <c r="O1816" s="4">
        <v>66.06</v>
      </c>
      <c r="P1816" s="4">
        <v>851</v>
      </c>
      <c r="Q1816" s="4">
        <v>651.75</v>
      </c>
      <c r="R1816" s="4">
        <v>2315.36</v>
      </c>
      <c r="S1816" s="8">
        <f t="shared" si="84"/>
        <v>1018.2400000000001</v>
      </c>
      <c r="T1816" s="8">
        <f t="shared" si="85"/>
        <v>1297.1199999999999</v>
      </c>
      <c r="U1816" s="9">
        <f t="shared" si="86"/>
        <v>1.2738843494657446</v>
      </c>
    </row>
    <row r="1817" spans="1:21" outlineLevel="2">
      <c r="A1817" t="s">
        <v>527</v>
      </c>
      <c r="B1817" t="s">
        <v>528</v>
      </c>
      <c r="C1817" t="s">
        <v>23</v>
      </c>
      <c r="D1817" t="s">
        <v>24</v>
      </c>
      <c r="E1817" s="4">
        <v>1158.17</v>
      </c>
      <c r="F1817" s="4">
        <v>0</v>
      </c>
      <c r="G1817" s="4">
        <v>1980.71</v>
      </c>
      <c r="H1817" s="4">
        <v>4133.1500000000005</v>
      </c>
      <c r="I1817" s="4">
        <v>915.46</v>
      </c>
      <c r="J1817" s="4">
        <v>988.06999999999994</v>
      </c>
      <c r="K1817" s="4">
        <v>1951.78</v>
      </c>
      <c r="L1817" s="4">
        <v>573.45999999999992</v>
      </c>
      <c r="M1817" s="4">
        <v>11.61</v>
      </c>
      <c r="N1817" s="4">
        <v>0</v>
      </c>
      <c r="O1817" s="4">
        <v>828.33999999999992</v>
      </c>
      <c r="P1817" s="4">
        <v>-208.68</v>
      </c>
      <c r="Q1817" s="4">
        <v>0</v>
      </c>
      <c r="S1817" s="8">
        <f t="shared" si="84"/>
        <v>200.7883333333333</v>
      </c>
      <c r="T1817" s="8">
        <f t="shared" si="85"/>
        <v>-200.7883333333333</v>
      </c>
      <c r="U1817" s="9">
        <f t="shared" si="86"/>
        <v>-1</v>
      </c>
    </row>
    <row r="1818" spans="1:21" outlineLevel="2">
      <c r="A1818" t="s">
        <v>527</v>
      </c>
      <c r="B1818" t="s">
        <v>528</v>
      </c>
      <c r="C1818" t="s">
        <v>25</v>
      </c>
      <c r="D1818" t="s">
        <v>26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>
        <v>0</v>
      </c>
      <c r="M1818" s="4">
        <v>175.97000000000003</v>
      </c>
      <c r="N1818" s="4">
        <v>131.1</v>
      </c>
      <c r="O1818" s="4">
        <v>1838.6200000000006</v>
      </c>
      <c r="P1818" s="4">
        <v>826.13999999999987</v>
      </c>
      <c r="Q1818" s="4">
        <v>0</v>
      </c>
      <c r="R1818" s="4">
        <v>6664.2500000000045</v>
      </c>
      <c r="S1818" s="8">
        <f t="shared" si="84"/>
        <v>495.30500000000006</v>
      </c>
      <c r="T1818" s="8">
        <f t="shared" si="85"/>
        <v>6168.9450000000043</v>
      </c>
      <c r="U1818" s="9">
        <f t="shared" si="86"/>
        <v>12.454840956582315</v>
      </c>
    </row>
    <row r="1819" spans="1:21" outlineLevel="2">
      <c r="A1819" t="s">
        <v>527</v>
      </c>
      <c r="B1819" t="s">
        <v>528</v>
      </c>
      <c r="C1819" t="s">
        <v>27</v>
      </c>
      <c r="D1819" t="s">
        <v>28</v>
      </c>
      <c r="E1819" s="4">
        <v>0</v>
      </c>
      <c r="F1819" s="4">
        <v>0</v>
      </c>
      <c r="G1819" s="4">
        <v>0</v>
      </c>
      <c r="H1819" s="4">
        <v>0</v>
      </c>
      <c r="I1819" s="4">
        <v>0</v>
      </c>
      <c r="J1819" s="4">
        <v>131.18</v>
      </c>
      <c r="K1819" s="4">
        <v>174.11</v>
      </c>
      <c r="L1819" s="4">
        <v>0</v>
      </c>
      <c r="M1819" s="4">
        <v>89.29</v>
      </c>
      <c r="N1819" s="4">
        <v>233.79999999999998</v>
      </c>
      <c r="O1819" s="4">
        <v>802.37000000000012</v>
      </c>
      <c r="P1819" s="4">
        <v>908.1</v>
      </c>
      <c r="Q1819" s="4">
        <v>57.03</v>
      </c>
      <c r="S1819" s="8">
        <f t="shared" si="84"/>
        <v>348.43166666666667</v>
      </c>
      <c r="T1819" s="8">
        <f t="shared" si="85"/>
        <v>-348.43166666666667</v>
      </c>
      <c r="U1819" s="9">
        <f t="shared" si="86"/>
        <v>-1</v>
      </c>
    </row>
    <row r="1820" spans="1:21" outlineLevel="2">
      <c r="A1820" t="s">
        <v>527</v>
      </c>
      <c r="B1820" t="s">
        <v>528</v>
      </c>
      <c r="C1820" t="s">
        <v>136</v>
      </c>
      <c r="D1820" t="s">
        <v>137</v>
      </c>
      <c r="E1820" s="4">
        <v>0</v>
      </c>
      <c r="F1820" s="4">
        <v>3.637978807091713E-12</v>
      </c>
      <c r="G1820" s="4">
        <v>0</v>
      </c>
      <c r="H1820" s="4">
        <v>-1.4551915228366852E-11</v>
      </c>
      <c r="I1820" s="4">
        <v>-1.4551915228366852E-11</v>
      </c>
      <c r="J1820" s="4">
        <v>-100000</v>
      </c>
      <c r="K1820" s="4">
        <v>1.4551915228366852E-11</v>
      </c>
      <c r="L1820" s="4">
        <v>-49999.999999999993</v>
      </c>
      <c r="M1820" s="4">
        <v>7.2759576141834259E-12</v>
      </c>
      <c r="N1820" s="4">
        <v>0</v>
      </c>
      <c r="O1820" s="4">
        <v>112848.24</v>
      </c>
      <c r="P1820" s="4">
        <v>7.2759576141834259E-12</v>
      </c>
      <c r="Q1820" s="4">
        <v>7.2759576141834259E-12</v>
      </c>
      <c r="R1820" s="4">
        <v>-349.99999999999272</v>
      </c>
      <c r="S1820" s="8">
        <f t="shared" si="84"/>
        <v>10474.706666666672</v>
      </c>
      <c r="T1820" s="8">
        <f t="shared" si="85"/>
        <v>-10824.706666666665</v>
      </c>
      <c r="U1820" s="9">
        <f t="shared" si="86"/>
        <v>-1.0334138235215489</v>
      </c>
    </row>
    <row r="1821" spans="1:21" outlineLevel="2">
      <c r="A1821" t="s">
        <v>527</v>
      </c>
      <c r="B1821" t="s">
        <v>528</v>
      </c>
      <c r="C1821" t="s">
        <v>142</v>
      </c>
      <c r="D1821" t="s">
        <v>143</v>
      </c>
      <c r="E1821" s="4">
        <v>0</v>
      </c>
      <c r="F1821" s="4">
        <v>0</v>
      </c>
      <c r="G1821" s="4">
        <v>0</v>
      </c>
      <c r="H1821" s="4">
        <v>0</v>
      </c>
      <c r="I1821" s="4">
        <v>0</v>
      </c>
      <c r="J1821" s="4">
        <v>100000</v>
      </c>
      <c r="K1821" s="4">
        <v>0</v>
      </c>
      <c r="L1821" s="4">
        <v>50000</v>
      </c>
      <c r="M1821" s="4">
        <v>0</v>
      </c>
      <c r="N1821" s="4">
        <v>0</v>
      </c>
      <c r="O1821" s="4">
        <v>0</v>
      </c>
      <c r="P1821" s="4">
        <v>0</v>
      </c>
      <c r="Q1821" s="4">
        <v>0</v>
      </c>
      <c r="R1821" s="4">
        <v>350</v>
      </c>
      <c r="S1821" s="8">
        <f t="shared" si="84"/>
        <v>8333.3333333333339</v>
      </c>
      <c r="T1821" s="8">
        <f t="shared" si="85"/>
        <v>-7983.3333333333339</v>
      </c>
      <c r="U1821" s="9">
        <f t="shared" si="86"/>
        <v>-0.95799999999999996</v>
      </c>
    </row>
    <row r="1822" spans="1:21" outlineLevel="2">
      <c r="A1822" t="s">
        <v>527</v>
      </c>
      <c r="B1822" t="s">
        <v>528</v>
      </c>
      <c r="C1822" t="s">
        <v>144</v>
      </c>
      <c r="D1822" t="s">
        <v>145</v>
      </c>
      <c r="E1822" s="4">
        <v>-1.8189894035458565E-12</v>
      </c>
      <c r="F1822" s="4">
        <v>0</v>
      </c>
      <c r="G1822" s="4">
        <v>0</v>
      </c>
      <c r="H1822" s="4">
        <v>0</v>
      </c>
      <c r="I1822" s="4">
        <v>0</v>
      </c>
      <c r="J1822" s="4">
        <v>0</v>
      </c>
      <c r="K1822" s="4">
        <v>0</v>
      </c>
      <c r="L1822" s="4">
        <v>-2.2737367544323206E-13</v>
      </c>
      <c r="M1822" s="4">
        <v>0</v>
      </c>
      <c r="N1822" s="4">
        <v>0</v>
      </c>
      <c r="O1822" s="4">
        <v>-32140.29</v>
      </c>
      <c r="P1822" s="4">
        <v>-1.1368683772161603E-13</v>
      </c>
      <c r="Q1822" s="4">
        <v>10913.55</v>
      </c>
      <c r="R1822" s="4">
        <v>21503.1</v>
      </c>
      <c r="S1822" s="8">
        <f t="shared" si="84"/>
        <v>-3537.7900000000004</v>
      </c>
      <c r="T1822" s="8">
        <f t="shared" si="85"/>
        <v>25040.89</v>
      </c>
      <c r="U1822" s="9">
        <f t="shared" si="86"/>
        <v>-7.0781165642957884</v>
      </c>
    </row>
    <row r="1823" spans="1:21" outlineLevel="2">
      <c r="A1823" t="s">
        <v>527</v>
      </c>
      <c r="B1823" t="s">
        <v>528</v>
      </c>
      <c r="C1823" t="s">
        <v>146</v>
      </c>
      <c r="D1823" t="s">
        <v>147</v>
      </c>
      <c r="E1823" s="4">
        <v>1.8189894035458565E-12</v>
      </c>
      <c r="F1823" s="4">
        <v>2.2737367544323206E-13</v>
      </c>
      <c r="G1823" s="4">
        <v>-1.8189894035458565E-12</v>
      </c>
      <c r="H1823" s="4">
        <v>0</v>
      </c>
      <c r="I1823" s="4">
        <v>0</v>
      </c>
      <c r="J1823" s="4">
        <v>0</v>
      </c>
      <c r="K1823" s="4">
        <v>-1.8189894035458565E-12</v>
      </c>
      <c r="L1823" s="4">
        <v>1.3642420526593924E-12</v>
      </c>
      <c r="M1823" s="4">
        <v>38570.39</v>
      </c>
      <c r="N1823" s="4">
        <v>9.0949470177292824E-13</v>
      </c>
      <c r="O1823" s="4">
        <v>-9.0949470177292824E-13</v>
      </c>
      <c r="P1823" s="4">
        <v>0</v>
      </c>
      <c r="Q1823" s="4">
        <v>9.0949470177292824E-13</v>
      </c>
      <c r="R1823" s="4">
        <v>0</v>
      </c>
      <c r="S1823" s="8">
        <f t="shared" si="84"/>
        <v>6428.3983333333335</v>
      </c>
      <c r="T1823" s="8">
        <f t="shared" si="85"/>
        <v>-6428.3983333333335</v>
      </c>
      <c r="U1823" s="9">
        <f t="shared" si="86"/>
        <v>-1</v>
      </c>
    </row>
    <row r="1824" spans="1:21" outlineLevel="2">
      <c r="A1824" t="s">
        <v>527</v>
      </c>
      <c r="B1824" t="s">
        <v>528</v>
      </c>
      <c r="C1824" t="s">
        <v>148</v>
      </c>
      <c r="D1824" t="s">
        <v>149</v>
      </c>
      <c r="E1824" s="4">
        <v>0</v>
      </c>
      <c r="F1824" s="4">
        <v>16.41</v>
      </c>
      <c r="G1824" s="4">
        <v>750</v>
      </c>
      <c r="H1824" s="4">
        <v>0</v>
      </c>
      <c r="I1824" s="4">
        <v>0</v>
      </c>
      <c r="J1824" s="4">
        <v>0</v>
      </c>
      <c r="K1824" s="4">
        <v>0</v>
      </c>
      <c r="L1824" s="4">
        <v>0</v>
      </c>
      <c r="M1824" s="4">
        <v>0</v>
      </c>
      <c r="N1824" s="4">
        <v>0</v>
      </c>
      <c r="O1824" s="4">
        <v>0</v>
      </c>
      <c r="P1824" s="4">
        <v>0</v>
      </c>
      <c r="Q1824" s="4">
        <v>0</v>
      </c>
      <c r="S1824" s="8">
        <f t="shared" si="84"/>
        <v>0</v>
      </c>
      <c r="T1824" s="8">
        <f t="shared" si="85"/>
        <v>0</v>
      </c>
      <c r="U1824" s="9" t="e">
        <f t="shared" si="86"/>
        <v>#DIV/0!</v>
      </c>
    </row>
    <row r="1825" spans="1:22" outlineLevel="2">
      <c r="A1825" t="s">
        <v>527</v>
      </c>
      <c r="B1825" t="s">
        <v>528</v>
      </c>
      <c r="C1825" t="s">
        <v>150</v>
      </c>
      <c r="D1825" t="s">
        <v>151</v>
      </c>
      <c r="E1825" s="4">
        <v>0</v>
      </c>
      <c r="F1825" s="4">
        <v>0</v>
      </c>
      <c r="G1825" s="4">
        <v>-120032.01</v>
      </c>
      <c r="H1825" s="4">
        <v>126745.60000000001</v>
      </c>
      <c r="I1825" s="4">
        <v>55451.199999999997</v>
      </c>
      <c r="J1825" s="4">
        <v>36756.22</v>
      </c>
      <c r="K1825" s="4">
        <v>37468.92</v>
      </c>
      <c r="L1825" s="4">
        <v>37468.92</v>
      </c>
      <c r="M1825" s="4">
        <v>37468.92</v>
      </c>
      <c r="N1825" s="4">
        <v>32140.29</v>
      </c>
      <c r="O1825" s="4">
        <v>32140.29</v>
      </c>
      <c r="P1825" s="4">
        <v>32140.29</v>
      </c>
      <c r="Q1825" s="4">
        <v>26009.48</v>
      </c>
      <c r="R1825" s="4">
        <v>24604.930000000004</v>
      </c>
      <c r="S1825" s="8">
        <f t="shared" si="84"/>
        <v>32894.698333333341</v>
      </c>
      <c r="T1825" s="8">
        <f t="shared" si="85"/>
        <v>-8289.7683333333371</v>
      </c>
      <c r="U1825" s="9">
        <f t="shared" si="86"/>
        <v>-0.25200925235216481</v>
      </c>
    </row>
    <row r="1826" spans="1:22" outlineLevel="2">
      <c r="A1826" t="s">
        <v>527</v>
      </c>
      <c r="B1826" t="s">
        <v>528</v>
      </c>
      <c r="C1826" t="s">
        <v>152</v>
      </c>
      <c r="D1826" t="s">
        <v>153</v>
      </c>
      <c r="E1826" s="4">
        <v>9.0949470177292824E-13</v>
      </c>
      <c r="F1826" s="4">
        <v>0</v>
      </c>
      <c r="G1826" s="4">
        <v>-4.5474735088646412E-13</v>
      </c>
      <c r="H1826" s="4">
        <v>0</v>
      </c>
      <c r="I1826" s="4">
        <v>0</v>
      </c>
      <c r="J1826" s="4">
        <v>0</v>
      </c>
      <c r="K1826" s="4">
        <v>0</v>
      </c>
      <c r="L1826" s="4">
        <v>-1.3642420526593924E-12</v>
      </c>
      <c r="M1826" s="4">
        <v>0</v>
      </c>
      <c r="N1826" s="4">
        <v>0</v>
      </c>
      <c r="O1826" s="4">
        <v>-112848.23999999999</v>
      </c>
      <c r="P1826" s="4">
        <v>-9.0949470177292824E-13</v>
      </c>
      <c r="Q1826" s="4">
        <v>4.5474735088646412E-13</v>
      </c>
      <c r="R1826" s="4">
        <v>59983.48</v>
      </c>
      <c r="S1826" s="8">
        <f t="shared" si="84"/>
        <v>-18808.039999999997</v>
      </c>
      <c r="T1826" s="8">
        <f t="shared" si="85"/>
        <v>78791.520000000004</v>
      </c>
      <c r="U1826" s="9">
        <f t="shared" si="86"/>
        <v>-4.1892467263999871</v>
      </c>
      <c r="V1826" t="s">
        <v>896</v>
      </c>
    </row>
    <row r="1827" spans="1:22" outlineLevel="2">
      <c r="A1827" t="s">
        <v>527</v>
      </c>
      <c r="B1827" t="s">
        <v>528</v>
      </c>
      <c r="C1827" t="s">
        <v>154</v>
      </c>
      <c r="D1827" t="s">
        <v>155</v>
      </c>
      <c r="E1827" s="4">
        <v>0</v>
      </c>
      <c r="F1827" s="4">
        <v>0</v>
      </c>
      <c r="G1827" s="4">
        <v>0</v>
      </c>
      <c r="H1827" s="4">
        <v>0</v>
      </c>
      <c r="I1827" s="4">
        <v>-302.39999999999998</v>
      </c>
      <c r="J1827" s="4">
        <v>0</v>
      </c>
      <c r="K1827" s="4">
        <v>0</v>
      </c>
      <c r="L1827" s="4">
        <v>0</v>
      </c>
      <c r="M1827" s="4">
        <v>0</v>
      </c>
      <c r="N1827" s="4">
        <v>0</v>
      </c>
      <c r="O1827" s="4">
        <v>0</v>
      </c>
      <c r="P1827" s="4">
        <v>0</v>
      </c>
      <c r="Q1827" s="4">
        <v>-4.9737991503207013E-14</v>
      </c>
      <c r="R1827" s="4">
        <v>0</v>
      </c>
      <c r="S1827" s="8">
        <f t="shared" si="84"/>
        <v>-8.2896652505345027E-15</v>
      </c>
      <c r="T1827" s="8">
        <f t="shared" si="85"/>
        <v>8.2896652505345027E-15</v>
      </c>
      <c r="U1827" s="9">
        <f t="shared" si="86"/>
        <v>-1</v>
      </c>
    </row>
    <row r="1828" spans="1:22" outlineLevel="2">
      <c r="A1828" t="s">
        <v>527</v>
      </c>
      <c r="B1828" t="s">
        <v>528</v>
      </c>
      <c r="C1828" t="s">
        <v>33</v>
      </c>
      <c r="D1828" t="s">
        <v>34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>
        <v>0</v>
      </c>
      <c r="K1828" s="4">
        <v>2500</v>
      </c>
      <c r="L1828" s="4">
        <v>0</v>
      </c>
      <c r="M1828" s="4">
        <v>0</v>
      </c>
      <c r="N1828" s="4">
        <v>100</v>
      </c>
      <c r="O1828" s="4">
        <v>0</v>
      </c>
      <c r="P1828" s="4">
        <v>49.87</v>
      </c>
      <c r="Q1828" s="4">
        <v>0</v>
      </c>
      <c r="S1828" s="8">
        <f t="shared" si="84"/>
        <v>24.978333333333335</v>
      </c>
      <c r="T1828" s="8">
        <f t="shared" si="85"/>
        <v>-24.978333333333335</v>
      </c>
      <c r="U1828" s="9">
        <f t="shared" si="86"/>
        <v>-1</v>
      </c>
    </row>
    <row r="1829" spans="1:22" outlineLevel="2">
      <c r="A1829" t="s">
        <v>527</v>
      </c>
      <c r="B1829" t="s">
        <v>528</v>
      </c>
      <c r="C1829" t="s">
        <v>180</v>
      </c>
      <c r="D1829" t="s">
        <v>181</v>
      </c>
      <c r="E1829" s="4">
        <v>175</v>
      </c>
      <c r="F1829" s="4">
        <v>0</v>
      </c>
      <c r="G1829" s="4">
        <v>0</v>
      </c>
      <c r="H1829" s="4">
        <v>0</v>
      </c>
      <c r="I1829" s="4">
        <v>0</v>
      </c>
      <c r="J1829" s="4">
        <v>0</v>
      </c>
      <c r="K1829" s="4">
        <v>0</v>
      </c>
      <c r="L1829" s="4">
        <v>0</v>
      </c>
      <c r="M1829" s="4">
        <v>0</v>
      </c>
      <c r="N1829" s="4">
        <v>0</v>
      </c>
      <c r="O1829" s="4">
        <v>0</v>
      </c>
      <c r="P1829" s="4">
        <v>0</v>
      </c>
      <c r="Q1829" s="4">
        <v>0</v>
      </c>
      <c r="R1829" s="4">
        <v>175</v>
      </c>
      <c r="S1829" s="8">
        <f t="shared" si="84"/>
        <v>0</v>
      </c>
      <c r="T1829" s="8">
        <f t="shared" si="85"/>
        <v>175</v>
      </c>
      <c r="U1829" s="9" t="e">
        <f t="shared" si="86"/>
        <v>#DIV/0!</v>
      </c>
      <c r="V1829" t="s">
        <v>895</v>
      </c>
    </row>
    <row r="1830" spans="1:22" outlineLevel="2">
      <c r="A1830" t="s">
        <v>527</v>
      </c>
      <c r="B1830" t="s">
        <v>528</v>
      </c>
      <c r="C1830" t="s">
        <v>216</v>
      </c>
      <c r="D1830" t="s">
        <v>217</v>
      </c>
      <c r="E1830" s="4">
        <v>0</v>
      </c>
      <c r="F1830" s="4">
        <v>6488.7</v>
      </c>
      <c r="G1830" s="4">
        <v>-6488.7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S1830" s="8">
        <f t="shared" si="84"/>
        <v>0</v>
      </c>
      <c r="T1830" s="8">
        <f t="shared" si="85"/>
        <v>0</v>
      </c>
      <c r="U1830" s="9" t="e">
        <f t="shared" si="86"/>
        <v>#DIV/0!</v>
      </c>
    </row>
    <row r="1831" spans="1:22" outlineLevel="2">
      <c r="A1831" t="s">
        <v>527</v>
      </c>
      <c r="B1831" t="s">
        <v>528</v>
      </c>
      <c r="C1831" t="s">
        <v>158</v>
      </c>
      <c r="D1831" t="s">
        <v>159</v>
      </c>
      <c r="E1831" s="4">
        <v>0</v>
      </c>
      <c r="F1831" s="4">
        <v>0</v>
      </c>
      <c r="G1831" s="4">
        <v>0</v>
      </c>
      <c r="H1831" s="4">
        <v>-1.2789769243681803E-13</v>
      </c>
      <c r="I1831" s="4">
        <v>0</v>
      </c>
      <c r="J1831" s="4">
        <v>1.4551915228366852E-11</v>
      </c>
      <c r="K1831" s="4">
        <v>0</v>
      </c>
      <c r="L1831" s="4">
        <v>0</v>
      </c>
      <c r="M1831" s="4">
        <v>0</v>
      </c>
      <c r="N1831" s="4">
        <v>0</v>
      </c>
      <c r="O1831" s="4">
        <v>0</v>
      </c>
      <c r="P1831" s="4">
        <v>0</v>
      </c>
      <c r="Q1831" s="4">
        <v>0</v>
      </c>
      <c r="R1831" s="4">
        <v>0</v>
      </c>
      <c r="S1831" s="8">
        <f t="shared" si="84"/>
        <v>0</v>
      </c>
      <c r="T1831" s="8">
        <f t="shared" si="85"/>
        <v>0</v>
      </c>
      <c r="U1831" s="9" t="e">
        <f t="shared" si="86"/>
        <v>#DIV/0!</v>
      </c>
    </row>
    <row r="1832" spans="1:22" outlineLevel="2">
      <c r="A1832" t="s">
        <v>527</v>
      </c>
      <c r="B1832" t="s">
        <v>528</v>
      </c>
      <c r="C1832" t="s">
        <v>160</v>
      </c>
      <c r="D1832" t="s">
        <v>161</v>
      </c>
      <c r="E1832" s="4">
        <v>0</v>
      </c>
      <c r="F1832" s="4">
        <v>0</v>
      </c>
      <c r="G1832" s="4">
        <v>0</v>
      </c>
      <c r="H1832" s="4">
        <v>0</v>
      </c>
      <c r="I1832" s="4">
        <v>0</v>
      </c>
      <c r="J1832" s="4">
        <v>0</v>
      </c>
      <c r="K1832" s="4">
        <v>0</v>
      </c>
      <c r="L1832" s="4">
        <v>0</v>
      </c>
      <c r="M1832" s="4">
        <v>8145.2599999999993</v>
      </c>
      <c r="N1832" s="4">
        <v>0</v>
      </c>
      <c r="O1832" s="4">
        <v>0</v>
      </c>
      <c r="P1832" s="4">
        <v>1721.54</v>
      </c>
      <c r="Q1832" s="4">
        <v>0</v>
      </c>
      <c r="S1832" s="8">
        <f t="shared" si="84"/>
        <v>1644.4666666666665</v>
      </c>
      <c r="T1832" s="8">
        <f t="shared" si="85"/>
        <v>-1644.4666666666665</v>
      </c>
      <c r="U1832" s="9">
        <f t="shared" si="86"/>
        <v>-1</v>
      </c>
    </row>
    <row r="1833" spans="1:22" outlineLevel="2">
      <c r="A1833" t="s">
        <v>527</v>
      </c>
      <c r="B1833" t="s">
        <v>528</v>
      </c>
      <c r="C1833" t="s">
        <v>441</v>
      </c>
      <c r="D1833" t="s">
        <v>442</v>
      </c>
      <c r="E1833" s="4">
        <v>0</v>
      </c>
      <c r="F1833" s="4">
        <v>0</v>
      </c>
      <c r="G1833" s="4">
        <v>19437.91</v>
      </c>
      <c r="H1833" s="4">
        <v>0</v>
      </c>
      <c r="I1833" s="4">
        <v>0</v>
      </c>
      <c r="J1833" s="4">
        <v>25316.42</v>
      </c>
      <c r="K1833" s="4">
        <v>0</v>
      </c>
      <c r="L1833" s="4">
        <v>0</v>
      </c>
      <c r="M1833" s="4">
        <v>-48999.25</v>
      </c>
      <c r="N1833" s="4">
        <v>0</v>
      </c>
      <c r="O1833" s="4">
        <v>0</v>
      </c>
      <c r="P1833" s="4">
        <v>13809.57</v>
      </c>
      <c r="Q1833" s="4">
        <v>0</v>
      </c>
      <c r="S1833" s="8">
        <f t="shared" si="84"/>
        <v>-5864.9466666666667</v>
      </c>
      <c r="T1833" s="8">
        <f t="shared" si="85"/>
        <v>5864.9466666666667</v>
      </c>
      <c r="U1833" s="9">
        <f t="shared" si="86"/>
        <v>-1</v>
      </c>
    </row>
    <row r="1834" spans="1:22" outlineLevel="2">
      <c r="A1834" t="s">
        <v>527</v>
      </c>
      <c r="B1834" t="s">
        <v>528</v>
      </c>
      <c r="C1834" t="s">
        <v>230</v>
      </c>
      <c r="D1834" t="s">
        <v>231</v>
      </c>
      <c r="E1834" s="4">
        <v>0</v>
      </c>
      <c r="F1834" s="4">
        <v>34055.9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S1834" s="8">
        <f t="shared" si="84"/>
        <v>0</v>
      </c>
      <c r="T1834" s="8">
        <f t="shared" si="85"/>
        <v>0</v>
      </c>
      <c r="U1834" s="9" t="e">
        <f t="shared" si="86"/>
        <v>#DIV/0!</v>
      </c>
    </row>
    <row r="1835" spans="1:22" outlineLevel="2">
      <c r="A1835" t="s">
        <v>527</v>
      </c>
      <c r="B1835" t="s">
        <v>528</v>
      </c>
      <c r="C1835" t="s">
        <v>218</v>
      </c>
      <c r="D1835" t="s">
        <v>219</v>
      </c>
      <c r="E1835" s="4">
        <v>0</v>
      </c>
      <c r="F1835" s="4">
        <v>0</v>
      </c>
      <c r="G1835" s="4">
        <v>-846.55</v>
      </c>
      <c r="H1835" s="4">
        <v>0</v>
      </c>
      <c r="I1835" s="4">
        <v>0</v>
      </c>
      <c r="J1835" s="4">
        <v>0</v>
      </c>
      <c r="K1835" s="4">
        <v>0</v>
      </c>
      <c r="L1835" s="4">
        <v>0</v>
      </c>
      <c r="M1835" s="4">
        <v>0</v>
      </c>
      <c r="N1835" s="4">
        <v>0</v>
      </c>
      <c r="O1835" s="4">
        <v>0</v>
      </c>
      <c r="P1835" s="4">
        <v>0</v>
      </c>
      <c r="Q1835" s="4">
        <v>0</v>
      </c>
      <c r="S1835" s="8">
        <f t="shared" si="84"/>
        <v>0</v>
      </c>
      <c r="T1835" s="8">
        <f t="shared" si="85"/>
        <v>0</v>
      </c>
      <c r="U1835" s="9" t="e">
        <f t="shared" si="86"/>
        <v>#DIV/0!</v>
      </c>
    </row>
    <row r="1836" spans="1:22" outlineLevel="2">
      <c r="A1836" t="s">
        <v>527</v>
      </c>
      <c r="B1836" t="s">
        <v>528</v>
      </c>
      <c r="C1836" t="s">
        <v>234</v>
      </c>
      <c r="D1836" t="s">
        <v>235</v>
      </c>
      <c r="E1836" s="4">
        <v>0</v>
      </c>
      <c r="F1836" s="4">
        <v>5531.24</v>
      </c>
      <c r="G1836" s="4">
        <v>5531.24</v>
      </c>
      <c r="H1836" s="4">
        <v>5531.24</v>
      </c>
      <c r="I1836" s="4">
        <v>5531.24</v>
      </c>
      <c r="J1836" s="4">
        <v>-174.01000000000022</v>
      </c>
      <c r="K1836" s="4">
        <v>8.5265128291212022E-14</v>
      </c>
      <c r="L1836" s="4">
        <v>0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S1836" s="8">
        <f t="shared" si="84"/>
        <v>0</v>
      </c>
      <c r="T1836" s="8">
        <f t="shared" si="85"/>
        <v>0</v>
      </c>
      <c r="U1836" s="9" t="e">
        <f t="shared" si="86"/>
        <v>#DIV/0!</v>
      </c>
    </row>
    <row r="1837" spans="1:22" outlineLevel="2">
      <c r="A1837" t="s">
        <v>527</v>
      </c>
      <c r="B1837" t="s">
        <v>528</v>
      </c>
      <c r="C1837" t="s">
        <v>47</v>
      </c>
      <c r="D1837" t="s">
        <v>48</v>
      </c>
      <c r="E1837" s="4">
        <v>-30518.950000000004</v>
      </c>
      <c r="F1837" s="4">
        <v>23627.98</v>
      </c>
      <c r="G1837" s="4">
        <v>-13871.33</v>
      </c>
      <c r="H1837" s="4">
        <v>142.25</v>
      </c>
      <c r="I1837" s="4">
        <v>9506.4500000000044</v>
      </c>
      <c r="J1837" s="4">
        <v>1413.7099999999864</v>
      </c>
      <c r="K1837" s="4">
        <v>2685.17</v>
      </c>
      <c r="L1837" s="4">
        <v>-22558.78</v>
      </c>
      <c r="M1837" s="4">
        <v>1413.7099999999991</v>
      </c>
      <c r="N1837" s="4">
        <v>1413.7099999999991</v>
      </c>
      <c r="O1837" s="4">
        <v>1824.6399999999999</v>
      </c>
      <c r="P1837" s="4">
        <v>1413.71</v>
      </c>
      <c r="Q1837" s="4">
        <v>0</v>
      </c>
      <c r="R1837" s="4">
        <v>8377.06</v>
      </c>
      <c r="S1837" s="8">
        <f t="shared" si="84"/>
        <v>-2748.8350000000005</v>
      </c>
      <c r="T1837" s="8">
        <f t="shared" si="85"/>
        <v>11125.895</v>
      </c>
      <c r="U1837" s="9">
        <f t="shared" si="86"/>
        <v>-4.047494665922108</v>
      </c>
    </row>
    <row r="1838" spans="1:22" outlineLevel="2">
      <c r="A1838" t="s">
        <v>527</v>
      </c>
      <c r="B1838" t="s">
        <v>528</v>
      </c>
      <c r="C1838" t="s">
        <v>49</v>
      </c>
      <c r="D1838" t="s">
        <v>50</v>
      </c>
      <c r="E1838" s="4">
        <v>50942.5</v>
      </c>
      <c r="F1838" s="4">
        <v>8652.15</v>
      </c>
      <c r="G1838" s="4">
        <v>-7848.9899999999989</v>
      </c>
      <c r="H1838" s="4">
        <v>7226.3300000000008</v>
      </c>
      <c r="I1838" s="4">
        <v>71722.69</v>
      </c>
      <c r="J1838" s="4">
        <v>-7572.1799999999894</v>
      </c>
      <c r="K1838" s="4">
        <v>2576.3499999999926</v>
      </c>
      <c r="L1838" s="4">
        <v>-17292.649999999991</v>
      </c>
      <c r="M1838" s="4">
        <v>-55799.87999999999</v>
      </c>
      <c r="N1838" s="4">
        <v>2576.35</v>
      </c>
      <c r="O1838" s="4">
        <v>2576.35</v>
      </c>
      <c r="P1838" s="4">
        <v>4956.3500000000004</v>
      </c>
      <c r="Q1838" s="4">
        <v>5472.35</v>
      </c>
      <c r="R1838" s="4">
        <v>24404.239999999998</v>
      </c>
      <c r="S1838" s="8">
        <f t="shared" si="84"/>
        <v>-9585.1883333333299</v>
      </c>
      <c r="T1838" s="8">
        <f t="shared" si="85"/>
        <v>33989.42833333333</v>
      </c>
      <c r="U1838" s="9">
        <f t="shared" si="86"/>
        <v>-3.5460365671827359</v>
      </c>
    </row>
    <row r="1839" spans="1:22" outlineLevel="2">
      <c r="A1839" t="s">
        <v>527</v>
      </c>
      <c r="B1839" t="s">
        <v>528</v>
      </c>
      <c r="C1839" t="s">
        <v>344</v>
      </c>
      <c r="D1839" t="s">
        <v>345</v>
      </c>
      <c r="E1839" s="4">
        <v>0</v>
      </c>
      <c r="F1839" s="4">
        <v>0</v>
      </c>
      <c r="G1839" s="4">
        <v>0</v>
      </c>
      <c r="H1839" s="4">
        <v>0</v>
      </c>
      <c r="I1839" s="4">
        <v>548.39</v>
      </c>
      <c r="J1839" s="4">
        <v>0</v>
      </c>
      <c r="K1839" s="4">
        <v>0</v>
      </c>
      <c r="L1839" s="4">
        <v>471.96</v>
      </c>
      <c r="M1839" s="4">
        <v>0</v>
      </c>
      <c r="N1839" s="4">
        <v>0</v>
      </c>
      <c r="O1839" s="4">
        <v>0</v>
      </c>
      <c r="P1839" s="4">
        <v>0</v>
      </c>
      <c r="Q1839" s="4">
        <v>0</v>
      </c>
      <c r="S1839" s="8">
        <f t="shared" si="84"/>
        <v>78.66</v>
      </c>
      <c r="T1839" s="8">
        <f t="shared" si="85"/>
        <v>-78.66</v>
      </c>
      <c r="U1839" s="9">
        <f t="shared" si="86"/>
        <v>-1</v>
      </c>
    </row>
    <row r="1840" spans="1:22" outlineLevel="2">
      <c r="A1840" t="s">
        <v>527</v>
      </c>
      <c r="B1840" t="s">
        <v>528</v>
      </c>
      <c r="C1840" t="s">
        <v>164</v>
      </c>
      <c r="D1840" t="s">
        <v>165</v>
      </c>
      <c r="E1840" s="4">
        <v>630</v>
      </c>
      <c r="F1840" s="4">
        <v>420</v>
      </c>
      <c r="G1840" s="4">
        <v>420</v>
      </c>
      <c r="H1840" s="4">
        <v>420</v>
      </c>
      <c r="I1840" s="4">
        <v>420</v>
      </c>
      <c r="J1840" s="4">
        <v>420</v>
      </c>
      <c r="K1840" s="4">
        <v>455</v>
      </c>
      <c r="L1840" s="4">
        <v>630</v>
      </c>
      <c r="M1840" s="4">
        <v>420</v>
      </c>
      <c r="N1840" s="4">
        <v>420</v>
      </c>
      <c r="O1840" s="4">
        <v>420</v>
      </c>
      <c r="P1840" s="4">
        <v>420</v>
      </c>
      <c r="Q1840" s="4">
        <v>630</v>
      </c>
      <c r="R1840" s="4">
        <v>420</v>
      </c>
      <c r="S1840" s="8">
        <f t="shared" si="84"/>
        <v>490</v>
      </c>
      <c r="T1840" s="8">
        <f t="shared" si="85"/>
        <v>-70</v>
      </c>
      <c r="U1840" s="9">
        <f t="shared" si="86"/>
        <v>-0.14285714285714285</v>
      </c>
    </row>
    <row r="1841" spans="1:21" outlineLevel="2">
      <c r="A1841" t="s">
        <v>527</v>
      </c>
      <c r="B1841" t="s">
        <v>528</v>
      </c>
      <c r="C1841" t="s">
        <v>53</v>
      </c>
      <c r="D1841" t="s">
        <v>54</v>
      </c>
      <c r="E1841" s="4">
        <v>0</v>
      </c>
      <c r="F1841" s="4">
        <v>0</v>
      </c>
      <c r="G1841" s="4">
        <v>16.010000000000002</v>
      </c>
      <c r="H1841" s="4">
        <v>0</v>
      </c>
      <c r="I1841" s="4">
        <v>0</v>
      </c>
      <c r="J1841" s="4">
        <v>0</v>
      </c>
      <c r="K1841" s="4">
        <v>0</v>
      </c>
      <c r="L1841" s="4">
        <v>0</v>
      </c>
      <c r="M1841" s="4">
        <v>0</v>
      </c>
      <c r="N1841" s="4">
        <v>0</v>
      </c>
      <c r="O1841" s="4">
        <v>0</v>
      </c>
      <c r="P1841" s="4">
        <v>0</v>
      </c>
      <c r="Q1841" s="4">
        <v>0</v>
      </c>
      <c r="S1841" s="8">
        <f t="shared" si="84"/>
        <v>0</v>
      </c>
      <c r="T1841" s="8">
        <f t="shared" si="85"/>
        <v>0</v>
      </c>
      <c r="U1841" s="9" t="e">
        <f t="shared" si="86"/>
        <v>#DIV/0!</v>
      </c>
    </row>
    <row r="1842" spans="1:21" outlineLevel="2">
      <c r="A1842" t="s">
        <v>527</v>
      </c>
      <c r="B1842" t="s">
        <v>528</v>
      </c>
      <c r="C1842" t="s">
        <v>55</v>
      </c>
      <c r="D1842" t="s">
        <v>56</v>
      </c>
      <c r="E1842" s="4">
        <v>1053.1199999999999</v>
      </c>
      <c r="F1842" s="4">
        <v>466.60999999999996</v>
      </c>
      <c r="G1842" s="4">
        <v>814.2700000000001</v>
      </c>
      <c r="H1842" s="4">
        <v>1532.3899999999999</v>
      </c>
      <c r="I1842" s="4">
        <v>417.49</v>
      </c>
      <c r="J1842" s="4">
        <v>743.27</v>
      </c>
      <c r="K1842" s="4">
        <v>642.44999999999993</v>
      </c>
      <c r="L1842" s="4">
        <v>990.58999999999992</v>
      </c>
      <c r="M1842" s="4">
        <v>4199.79</v>
      </c>
      <c r="N1842" s="4">
        <v>1069.1500000000001</v>
      </c>
      <c r="O1842" s="4">
        <v>380.89</v>
      </c>
      <c r="P1842" s="4">
        <v>426.69</v>
      </c>
      <c r="Q1842" s="4">
        <v>268.84000000000003</v>
      </c>
      <c r="R1842" s="4">
        <v>627.42000000000007</v>
      </c>
      <c r="S1842" s="8">
        <f t="shared" si="84"/>
        <v>1222.6583333333335</v>
      </c>
      <c r="T1842" s="8">
        <f t="shared" si="85"/>
        <v>-595.23833333333346</v>
      </c>
      <c r="U1842" s="9">
        <f t="shared" si="86"/>
        <v>-0.4868394686441429</v>
      </c>
    </row>
    <row r="1843" spans="1:21" outlineLevel="2">
      <c r="A1843" t="s">
        <v>527</v>
      </c>
      <c r="B1843" t="s">
        <v>528</v>
      </c>
      <c r="C1843" t="s">
        <v>59</v>
      </c>
      <c r="D1843" t="s">
        <v>60</v>
      </c>
      <c r="E1843" s="4">
        <v>308.89</v>
      </c>
      <c r="F1843" s="4">
        <v>343.1</v>
      </c>
      <c r="G1843" s="4">
        <v>1665.5900000000001</v>
      </c>
      <c r="H1843" s="4">
        <v>129.26</v>
      </c>
      <c r="I1843" s="4">
        <v>95.54</v>
      </c>
      <c r="J1843" s="4">
        <v>546.69000000000005</v>
      </c>
      <c r="K1843" s="4">
        <v>235.41</v>
      </c>
      <c r="L1843" s="4">
        <v>126.12</v>
      </c>
      <c r="M1843" s="4">
        <v>78.61</v>
      </c>
      <c r="N1843" s="4">
        <v>8144.17</v>
      </c>
      <c r="O1843" s="4">
        <v>12384.96</v>
      </c>
      <c r="P1843" s="4">
        <v>302.46000000000004</v>
      </c>
      <c r="Q1843" s="4">
        <v>843.18000000000006</v>
      </c>
      <c r="R1843" s="4">
        <v>784.36</v>
      </c>
      <c r="S1843" s="8">
        <f t="shared" si="84"/>
        <v>3646.5833333333335</v>
      </c>
      <c r="T1843" s="8">
        <f t="shared" si="85"/>
        <v>-2862.2233333333334</v>
      </c>
      <c r="U1843" s="9">
        <f t="shared" si="86"/>
        <v>-0.78490550515322555</v>
      </c>
    </row>
    <row r="1844" spans="1:21" outlineLevel="2">
      <c r="A1844" t="s">
        <v>527</v>
      </c>
      <c r="B1844" t="s">
        <v>528</v>
      </c>
      <c r="C1844" t="s">
        <v>274</v>
      </c>
      <c r="D1844" t="s">
        <v>275</v>
      </c>
      <c r="E1844" s="4">
        <v>0</v>
      </c>
      <c r="F1844" s="4">
        <v>0</v>
      </c>
      <c r="G1844" s="4">
        <v>4850</v>
      </c>
      <c r="H1844" s="4">
        <v>2676.99</v>
      </c>
      <c r="I1844" s="4">
        <v>1000</v>
      </c>
      <c r="J1844" s="4">
        <v>0</v>
      </c>
      <c r="K1844" s="4">
        <v>5119.1899999999996</v>
      </c>
      <c r="L1844" s="4">
        <v>2121.69</v>
      </c>
      <c r="M1844" s="4">
        <v>0</v>
      </c>
      <c r="N1844" s="4">
        <v>5300</v>
      </c>
      <c r="O1844" s="4">
        <v>1200</v>
      </c>
      <c r="P1844" s="4">
        <v>0</v>
      </c>
      <c r="Q1844" s="4">
        <v>0</v>
      </c>
      <c r="R1844" s="4">
        <v>5000</v>
      </c>
      <c r="S1844" s="8">
        <f t="shared" si="84"/>
        <v>1436.9483333333335</v>
      </c>
      <c r="T1844" s="8">
        <f t="shared" si="85"/>
        <v>3563.0516666666663</v>
      </c>
      <c r="U1844" s="9">
        <f t="shared" si="86"/>
        <v>2.4795962276537424</v>
      </c>
    </row>
    <row r="1845" spans="1:21" outlineLevel="2">
      <c r="A1845" t="s">
        <v>527</v>
      </c>
      <c r="B1845" t="s">
        <v>528</v>
      </c>
      <c r="C1845" t="s">
        <v>196</v>
      </c>
      <c r="D1845" t="s">
        <v>197</v>
      </c>
      <c r="E1845" s="4">
        <v>10000</v>
      </c>
      <c r="F1845" s="4">
        <v>460</v>
      </c>
      <c r="G1845" s="4">
        <v>0</v>
      </c>
      <c r="H1845" s="4">
        <v>0</v>
      </c>
      <c r="I1845" s="4">
        <v>0</v>
      </c>
      <c r="J1845" s="4">
        <v>0</v>
      </c>
      <c r="K1845" s="4">
        <v>0</v>
      </c>
      <c r="L1845" s="4">
        <v>0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S1845" s="8">
        <f t="shared" si="84"/>
        <v>0</v>
      </c>
      <c r="T1845" s="8">
        <f t="shared" si="85"/>
        <v>0</v>
      </c>
      <c r="U1845" s="9" t="e">
        <f t="shared" si="86"/>
        <v>#DIV/0!</v>
      </c>
    </row>
    <row r="1846" spans="1:21" outlineLevel="2">
      <c r="A1846" t="s">
        <v>527</v>
      </c>
      <c r="B1846" t="s">
        <v>528</v>
      </c>
      <c r="C1846" t="s">
        <v>63</v>
      </c>
      <c r="D1846" t="s">
        <v>64</v>
      </c>
      <c r="E1846" s="4">
        <v>-7688.11</v>
      </c>
      <c r="F1846" s="4">
        <v>20</v>
      </c>
      <c r="G1846" s="4">
        <v>0</v>
      </c>
      <c r="H1846" s="4">
        <v>3409.93</v>
      </c>
      <c r="I1846" s="4">
        <v>-785.18</v>
      </c>
      <c r="J1846" s="4">
        <v>0</v>
      </c>
      <c r="K1846" s="4">
        <v>0</v>
      </c>
      <c r="L1846" s="4">
        <v>0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S1846" s="8">
        <f t="shared" si="84"/>
        <v>0</v>
      </c>
      <c r="T1846" s="8">
        <f t="shared" si="85"/>
        <v>0</v>
      </c>
      <c r="U1846" s="9" t="e">
        <f t="shared" si="86"/>
        <v>#DIV/0!</v>
      </c>
    </row>
    <row r="1847" spans="1:21" outlineLevel="2">
      <c r="A1847" t="s">
        <v>527</v>
      </c>
      <c r="B1847" t="s">
        <v>528</v>
      </c>
      <c r="C1847" t="s">
        <v>75</v>
      </c>
      <c r="D1847" t="s">
        <v>76</v>
      </c>
      <c r="E1847" s="4">
        <v>2700</v>
      </c>
      <c r="F1847" s="4">
        <v>0</v>
      </c>
      <c r="G1847" s="4">
        <v>0</v>
      </c>
      <c r="H1847" s="4">
        <v>0</v>
      </c>
      <c r="I1847" s="4">
        <v>0</v>
      </c>
      <c r="J1847" s="4">
        <v>0</v>
      </c>
      <c r="K1847" s="4">
        <v>0</v>
      </c>
      <c r="L1847" s="4">
        <v>0</v>
      </c>
      <c r="M1847" s="4">
        <v>0</v>
      </c>
      <c r="N1847" s="4">
        <v>0</v>
      </c>
      <c r="O1847" s="4">
        <v>0</v>
      </c>
      <c r="P1847" s="4">
        <v>0</v>
      </c>
      <c r="Q1847" s="4">
        <v>0</v>
      </c>
      <c r="S1847" s="8">
        <f t="shared" si="84"/>
        <v>0</v>
      </c>
      <c r="T1847" s="8">
        <f t="shared" si="85"/>
        <v>0</v>
      </c>
      <c r="U1847" s="9" t="e">
        <f t="shared" si="86"/>
        <v>#DIV/0!</v>
      </c>
    </row>
    <row r="1848" spans="1:21" outlineLevel="2">
      <c r="A1848" t="s">
        <v>527</v>
      </c>
      <c r="B1848" t="s">
        <v>528</v>
      </c>
      <c r="C1848" t="s">
        <v>83</v>
      </c>
      <c r="D1848" t="s">
        <v>84</v>
      </c>
      <c r="E1848" s="4">
        <v>435.62</v>
      </c>
      <c r="F1848" s="4">
        <v>54</v>
      </c>
      <c r="G1848" s="4">
        <v>814.51</v>
      </c>
      <c r="H1848" s="4">
        <v>285.92</v>
      </c>
      <c r="I1848" s="4">
        <v>1720.4699999999998</v>
      </c>
      <c r="J1848" s="4">
        <v>3355.91</v>
      </c>
      <c r="K1848" s="4">
        <v>826.93999999999994</v>
      </c>
      <c r="L1848" s="4">
        <v>888.11</v>
      </c>
      <c r="M1848" s="4">
        <v>858.15999999999985</v>
      </c>
      <c r="N1848" s="4">
        <v>1992.6299999999999</v>
      </c>
      <c r="O1848" s="4">
        <v>342.79999999999995</v>
      </c>
      <c r="P1848" s="4">
        <v>456.15</v>
      </c>
      <c r="Q1848" s="4">
        <v>6132.41</v>
      </c>
      <c r="R1848" s="4">
        <v>221.37</v>
      </c>
      <c r="S1848" s="8">
        <f t="shared" si="84"/>
        <v>1778.3766666666663</v>
      </c>
      <c r="T1848" s="8">
        <f t="shared" si="85"/>
        <v>-1557.0066666666662</v>
      </c>
      <c r="U1848" s="9">
        <f t="shared" si="86"/>
        <v>-0.87552130875911172</v>
      </c>
    </row>
    <row r="1849" spans="1:21" outlineLevel="2">
      <c r="A1849" t="s">
        <v>527</v>
      </c>
      <c r="B1849" t="s">
        <v>528</v>
      </c>
      <c r="C1849" t="s">
        <v>85</v>
      </c>
      <c r="D1849" t="s">
        <v>86</v>
      </c>
      <c r="E1849" s="4">
        <v>0</v>
      </c>
      <c r="F1849" s="4">
        <v>0</v>
      </c>
      <c r="G1849" s="4">
        <v>0</v>
      </c>
      <c r="H1849" s="4">
        <v>0</v>
      </c>
      <c r="I1849" s="4">
        <v>0</v>
      </c>
      <c r="J1849" s="4">
        <v>0</v>
      </c>
      <c r="K1849" s="4">
        <v>0</v>
      </c>
      <c r="L1849" s="4">
        <v>0</v>
      </c>
      <c r="M1849" s="4">
        <v>403.5</v>
      </c>
      <c r="N1849" s="4">
        <v>0</v>
      </c>
      <c r="O1849" s="4">
        <v>0</v>
      </c>
      <c r="P1849" s="4">
        <v>0</v>
      </c>
      <c r="Q1849" s="4">
        <v>0</v>
      </c>
      <c r="S1849" s="8">
        <f t="shared" si="84"/>
        <v>67.25</v>
      </c>
      <c r="T1849" s="8">
        <f t="shared" si="85"/>
        <v>-67.25</v>
      </c>
      <c r="U1849" s="9">
        <f t="shared" si="86"/>
        <v>-1</v>
      </c>
    </row>
    <row r="1850" spans="1:21" outlineLevel="2">
      <c r="A1850" t="s">
        <v>527</v>
      </c>
      <c r="B1850" t="s">
        <v>528</v>
      </c>
      <c r="C1850" t="s">
        <v>87</v>
      </c>
      <c r="D1850" t="s">
        <v>88</v>
      </c>
      <c r="E1850" s="4">
        <v>0.57000000000000028</v>
      </c>
      <c r="F1850" s="4">
        <v>0</v>
      </c>
      <c r="G1850" s="4">
        <v>0</v>
      </c>
      <c r="H1850" s="4">
        <v>-1725.5700000000002</v>
      </c>
      <c r="I1850" s="4">
        <v>0</v>
      </c>
      <c r="J1850" s="4">
        <v>0</v>
      </c>
      <c r="K1850" s="4">
        <v>49.19</v>
      </c>
      <c r="L1850" s="4">
        <v>0</v>
      </c>
      <c r="M1850" s="4">
        <v>0</v>
      </c>
      <c r="N1850" s="4">
        <v>0</v>
      </c>
      <c r="O1850" s="4">
        <v>358.8</v>
      </c>
      <c r="P1850" s="4">
        <v>0</v>
      </c>
      <c r="Q1850" s="4">
        <v>0</v>
      </c>
      <c r="S1850" s="8">
        <f t="shared" si="84"/>
        <v>59.800000000000004</v>
      </c>
      <c r="T1850" s="8">
        <f t="shared" si="85"/>
        <v>-59.800000000000004</v>
      </c>
      <c r="U1850" s="9">
        <f t="shared" si="86"/>
        <v>-1</v>
      </c>
    </row>
    <row r="1851" spans="1:21" outlineLevel="2">
      <c r="A1851" t="s">
        <v>527</v>
      </c>
      <c r="B1851" t="s">
        <v>528</v>
      </c>
      <c r="C1851" t="s">
        <v>89</v>
      </c>
      <c r="D1851" t="s">
        <v>90</v>
      </c>
      <c r="E1851" s="4">
        <v>79.8</v>
      </c>
      <c r="F1851" s="4">
        <v>0</v>
      </c>
      <c r="G1851" s="4">
        <v>0</v>
      </c>
      <c r="H1851" s="4">
        <v>0</v>
      </c>
      <c r="I1851" s="4">
        <v>0</v>
      </c>
      <c r="J1851" s="4">
        <v>0</v>
      </c>
      <c r="K1851" s="4">
        <v>0</v>
      </c>
      <c r="L1851" s="4">
        <v>0</v>
      </c>
      <c r="M1851" s="4">
        <v>0</v>
      </c>
      <c r="N1851" s="4">
        <v>0</v>
      </c>
      <c r="O1851" s="4">
        <v>0</v>
      </c>
      <c r="P1851" s="4">
        <v>0</v>
      </c>
      <c r="Q1851" s="4">
        <v>0</v>
      </c>
      <c r="S1851" s="8">
        <f t="shared" si="84"/>
        <v>0</v>
      </c>
      <c r="T1851" s="8">
        <f t="shared" si="85"/>
        <v>0</v>
      </c>
      <c r="U1851" s="9" t="e">
        <f t="shared" si="86"/>
        <v>#DIV/0!</v>
      </c>
    </row>
    <row r="1852" spans="1:21" outlineLevel="2">
      <c r="A1852" t="s">
        <v>527</v>
      </c>
      <c r="B1852" t="s">
        <v>528</v>
      </c>
      <c r="C1852" t="s">
        <v>166</v>
      </c>
      <c r="D1852" t="s">
        <v>167</v>
      </c>
      <c r="E1852" s="4">
        <v>21.87</v>
      </c>
      <c r="F1852" s="4">
        <v>0</v>
      </c>
      <c r="G1852" s="4">
        <v>1200</v>
      </c>
      <c r="H1852" s="4">
        <v>16.41</v>
      </c>
      <c r="I1852" s="4">
        <v>16.41</v>
      </c>
      <c r="J1852" s="4">
        <v>1000</v>
      </c>
      <c r="K1852" s="4">
        <v>7832.82</v>
      </c>
      <c r="L1852" s="4">
        <v>16.41</v>
      </c>
      <c r="M1852" s="4">
        <v>16.41</v>
      </c>
      <c r="N1852" s="4">
        <v>16.41</v>
      </c>
      <c r="O1852" s="4">
        <v>0</v>
      </c>
      <c r="P1852" s="4">
        <v>0</v>
      </c>
      <c r="Q1852" s="4">
        <v>431.41</v>
      </c>
      <c r="R1852" s="4">
        <v>431.41</v>
      </c>
      <c r="S1852" s="8">
        <f t="shared" si="84"/>
        <v>80.106666666666669</v>
      </c>
      <c r="T1852" s="8">
        <f t="shared" si="85"/>
        <v>351.30333333333334</v>
      </c>
      <c r="U1852" s="9">
        <f t="shared" si="86"/>
        <v>4.385444407456724</v>
      </c>
    </row>
    <row r="1853" spans="1:21" outlineLevel="2">
      <c r="A1853" t="s">
        <v>527</v>
      </c>
      <c r="B1853" t="s">
        <v>528</v>
      </c>
      <c r="C1853" t="s">
        <v>93</v>
      </c>
      <c r="D1853" t="s">
        <v>94</v>
      </c>
      <c r="E1853" s="4">
        <v>0</v>
      </c>
      <c r="F1853" s="4">
        <v>0</v>
      </c>
      <c r="G1853" s="4">
        <v>0</v>
      </c>
      <c r="H1853" s="4">
        <v>0</v>
      </c>
      <c r="I1853" s="4">
        <v>0</v>
      </c>
      <c r="J1853" s="4">
        <v>0</v>
      </c>
      <c r="K1853" s="4">
        <v>0</v>
      </c>
      <c r="L1853" s="4">
        <v>0</v>
      </c>
      <c r="M1853" s="4">
        <v>0</v>
      </c>
      <c r="N1853" s="4">
        <v>0</v>
      </c>
      <c r="O1853" s="4">
        <v>0</v>
      </c>
      <c r="P1853" s="4">
        <v>0</v>
      </c>
      <c r="Q1853" s="4">
        <v>185.22000000000003</v>
      </c>
      <c r="R1853" s="4">
        <v>432.83</v>
      </c>
      <c r="S1853" s="8">
        <f t="shared" si="84"/>
        <v>30.870000000000005</v>
      </c>
      <c r="T1853" s="8">
        <f t="shared" si="85"/>
        <v>401.96</v>
      </c>
      <c r="U1853" s="9">
        <f t="shared" si="86"/>
        <v>13.021056041464202</v>
      </c>
    </row>
    <row r="1854" spans="1:21" outlineLevel="2">
      <c r="A1854" t="s">
        <v>527</v>
      </c>
      <c r="B1854" t="s">
        <v>528</v>
      </c>
      <c r="C1854" t="s">
        <v>184</v>
      </c>
      <c r="D1854" t="s">
        <v>185</v>
      </c>
      <c r="E1854" s="4">
        <v>9125</v>
      </c>
      <c r="F1854" s="4">
        <v>3400</v>
      </c>
      <c r="G1854" s="4">
        <v>1250</v>
      </c>
      <c r="H1854" s="4">
        <v>3090</v>
      </c>
      <c r="I1854" s="4">
        <v>11000</v>
      </c>
      <c r="J1854" s="4">
        <v>0</v>
      </c>
      <c r="K1854" s="4">
        <v>6119.06</v>
      </c>
      <c r="L1854" s="4">
        <v>7500</v>
      </c>
      <c r="M1854" s="4">
        <v>5000</v>
      </c>
      <c r="N1854" s="4">
        <v>6545</v>
      </c>
      <c r="O1854" s="4">
        <v>0</v>
      </c>
      <c r="P1854" s="4">
        <v>3000</v>
      </c>
      <c r="Q1854" s="4">
        <v>6500</v>
      </c>
      <c r="R1854" s="4">
        <v>12779.109999999999</v>
      </c>
      <c r="S1854" s="8">
        <f t="shared" si="84"/>
        <v>4757.5</v>
      </c>
      <c r="T1854" s="8">
        <f t="shared" si="85"/>
        <v>8021.6099999999988</v>
      </c>
      <c r="U1854" s="9">
        <f t="shared" si="86"/>
        <v>1.6860977404098789</v>
      </c>
    </row>
    <row r="1855" spans="1:21" outlineLevel="2">
      <c r="A1855" t="s">
        <v>527</v>
      </c>
      <c r="B1855" t="s">
        <v>528</v>
      </c>
      <c r="C1855" t="s">
        <v>224</v>
      </c>
      <c r="D1855" t="s">
        <v>225</v>
      </c>
      <c r="E1855" s="4">
        <v>11000</v>
      </c>
      <c r="F1855" s="4">
        <v>4323.13</v>
      </c>
      <c r="G1855" s="4">
        <v>0</v>
      </c>
      <c r="H1855" s="4">
        <v>0</v>
      </c>
      <c r="I1855" s="4">
        <v>0</v>
      </c>
      <c r="J1855" s="4">
        <v>0</v>
      </c>
      <c r="K1855" s="4">
        <v>0</v>
      </c>
      <c r="L1855" s="4">
        <v>0</v>
      </c>
      <c r="M1855" s="4">
        <v>0</v>
      </c>
      <c r="N1855" s="4">
        <v>0</v>
      </c>
      <c r="O1855" s="4">
        <v>0</v>
      </c>
      <c r="P1855" s="4">
        <v>0</v>
      </c>
      <c r="Q1855" s="4">
        <v>0</v>
      </c>
      <c r="S1855" s="8">
        <f t="shared" si="84"/>
        <v>0</v>
      </c>
      <c r="T1855" s="8">
        <f t="shared" si="85"/>
        <v>0</v>
      </c>
      <c r="U1855" s="9" t="e">
        <f t="shared" si="86"/>
        <v>#DIV/0!</v>
      </c>
    </row>
    <row r="1856" spans="1:21" outlineLevel="2">
      <c r="A1856" t="s">
        <v>527</v>
      </c>
      <c r="B1856" t="s">
        <v>528</v>
      </c>
      <c r="C1856" t="s">
        <v>168</v>
      </c>
      <c r="D1856" t="s">
        <v>169</v>
      </c>
      <c r="E1856" s="4">
        <v>0</v>
      </c>
      <c r="F1856" s="4">
        <v>0</v>
      </c>
      <c r="G1856" s="4">
        <v>0</v>
      </c>
      <c r="H1856" s="4">
        <v>0</v>
      </c>
      <c r="I1856" s="4">
        <v>0</v>
      </c>
      <c r="J1856" s="4">
        <v>825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S1856" s="8">
        <f t="shared" si="84"/>
        <v>0</v>
      </c>
      <c r="T1856" s="8">
        <f t="shared" si="85"/>
        <v>0</v>
      </c>
      <c r="U1856" s="9" t="e">
        <f t="shared" si="86"/>
        <v>#DIV/0!</v>
      </c>
    </row>
    <row r="1857" spans="1:22" outlineLevel="2">
      <c r="A1857" t="s">
        <v>527</v>
      </c>
      <c r="B1857" t="s">
        <v>528</v>
      </c>
      <c r="C1857" t="s">
        <v>99</v>
      </c>
      <c r="D1857" t="s">
        <v>100</v>
      </c>
      <c r="E1857" s="4">
        <v>18072.590000000004</v>
      </c>
      <c r="F1857" s="4">
        <v>-19606.400000000001</v>
      </c>
      <c r="G1857" s="4">
        <v>0</v>
      </c>
      <c r="H1857" s="4">
        <v>3087.5</v>
      </c>
      <c r="I1857" s="4">
        <v>812.5</v>
      </c>
      <c r="J1857" s="4">
        <v>4387.5</v>
      </c>
      <c r="K1857" s="4">
        <v>0</v>
      </c>
      <c r="L1857" s="4">
        <v>2600</v>
      </c>
      <c r="M1857" s="4">
        <v>2925</v>
      </c>
      <c r="N1857" s="4">
        <v>0</v>
      </c>
      <c r="O1857" s="4">
        <v>0</v>
      </c>
      <c r="P1857" s="4">
        <v>0</v>
      </c>
      <c r="Q1857" s="4">
        <v>0</v>
      </c>
      <c r="S1857" s="8">
        <f t="shared" si="84"/>
        <v>920.83333333333337</v>
      </c>
      <c r="T1857" s="8">
        <f t="shared" si="85"/>
        <v>-920.83333333333337</v>
      </c>
      <c r="U1857" s="9">
        <f t="shared" si="86"/>
        <v>-1</v>
      </c>
    </row>
    <row r="1858" spans="1:22" outlineLevel="2">
      <c r="A1858" t="s">
        <v>527</v>
      </c>
      <c r="B1858" t="s">
        <v>528</v>
      </c>
      <c r="C1858" t="s">
        <v>101</v>
      </c>
      <c r="D1858" t="s">
        <v>102</v>
      </c>
      <c r="E1858" s="4">
        <v>50638.479999999996</v>
      </c>
      <c r="F1858" s="4">
        <v>31133.329999999991</v>
      </c>
      <c r="G1858" s="4">
        <v>83641.079999999987</v>
      </c>
      <c r="H1858" s="4">
        <v>9091.7399999999761</v>
      </c>
      <c r="I1858" s="4">
        <v>43413.679999999993</v>
      </c>
      <c r="J1858" s="4">
        <v>50534.559999999998</v>
      </c>
      <c r="K1858" s="4">
        <v>141240.39000000001</v>
      </c>
      <c r="L1858" s="4">
        <v>66645.73000000001</v>
      </c>
      <c r="M1858" s="4">
        <v>110237.94999999998</v>
      </c>
      <c r="N1858" s="4">
        <v>105131.60000000003</v>
      </c>
      <c r="O1858" s="4">
        <v>57584.549999999996</v>
      </c>
      <c r="P1858" s="4">
        <v>67205.8</v>
      </c>
      <c r="Q1858" s="4">
        <v>121789.34999999998</v>
      </c>
      <c r="R1858" s="4">
        <v>8268.3300000000017</v>
      </c>
      <c r="S1858" s="8">
        <f t="shared" si="84"/>
        <v>88099.16333333333</v>
      </c>
      <c r="T1858" s="8">
        <f t="shared" si="85"/>
        <v>-79830.833333333328</v>
      </c>
      <c r="U1858" s="9">
        <f t="shared" si="86"/>
        <v>-0.9061474628457501</v>
      </c>
    </row>
    <row r="1859" spans="1:22" outlineLevel="2">
      <c r="A1859" t="s">
        <v>527</v>
      </c>
      <c r="B1859" t="s">
        <v>528</v>
      </c>
      <c r="C1859" t="s">
        <v>103</v>
      </c>
      <c r="D1859" t="s">
        <v>104</v>
      </c>
      <c r="E1859" s="4">
        <v>0</v>
      </c>
      <c r="F1859" s="4">
        <v>0</v>
      </c>
      <c r="G1859" s="4">
        <v>161.61000000000001</v>
      </c>
      <c r="H1859" s="4">
        <v>12993.949999999999</v>
      </c>
      <c r="I1859" s="4">
        <v>0</v>
      </c>
      <c r="J1859" s="4">
        <v>0</v>
      </c>
      <c r="K1859" s="4">
        <v>0</v>
      </c>
      <c r="L1859" s="4">
        <v>0</v>
      </c>
      <c r="M1859" s="4">
        <v>-1975.61</v>
      </c>
      <c r="N1859" s="4">
        <v>0</v>
      </c>
      <c r="O1859" s="4">
        <v>0</v>
      </c>
      <c r="P1859" s="4">
        <v>0</v>
      </c>
      <c r="Q1859" s="4">
        <v>0</v>
      </c>
      <c r="S1859" s="8">
        <f t="shared" ref="S1859:S1922" si="87">AVERAGE(L1859:Q1859)</f>
        <v>-329.26833333333332</v>
      </c>
      <c r="T1859" s="8">
        <f t="shared" ref="T1859:T1922" si="88">R1859-S1859</f>
        <v>329.26833333333332</v>
      </c>
      <c r="U1859" s="9">
        <f t="shared" ref="U1859:U1922" si="89">(R1859-S1859)/S1859</f>
        <v>-1</v>
      </c>
    </row>
    <row r="1860" spans="1:22" outlineLevel="2">
      <c r="A1860" t="s">
        <v>527</v>
      </c>
      <c r="B1860" t="s">
        <v>528</v>
      </c>
      <c r="C1860" t="s">
        <v>236</v>
      </c>
      <c r="D1860" t="s">
        <v>237</v>
      </c>
      <c r="E1860" s="4">
        <v>-37126.54</v>
      </c>
      <c r="F1860" s="4">
        <v>-17194</v>
      </c>
      <c r="G1860" s="4">
        <v>-17194</v>
      </c>
      <c r="H1860" s="4">
        <v>-17194</v>
      </c>
      <c r="I1860" s="4">
        <v>-17194</v>
      </c>
      <c r="J1860" s="4">
        <v>-17194</v>
      </c>
      <c r="K1860" s="4">
        <v>3.637978807091713E-12</v>
      </c>
      <c r="L1860" s="4">
        <v>-326.08</v>
      </c>
      <c r="M1860" s="4">
        <v>0</v>
      </c>
      <c r="N1860" s="4">
        <v>0</v>
      </c>
      <c r="O1860" s="4">
        <v>0</v>
      </c>
      <c r="P1860" s="4">
        <v>0</v>
      </c>
      <c r="Q1860" s="4">
        <v>-20373.3</v>
      </c>
      <c r="R1860" s="4">
        <v>-20373.3</v>
      </c>
      <c r="S1860" s="8">
        <f t="shared" si="87"/>
        <v>-3449.896666666667</v>
      </c>
      <c r="T1860" s="8">
        <f t="shared" si="88"/>
        <v>-16923.403333333332</v>
      </c>
      <c r="U1860" s="9">
        <f t="shared" si="89"/>
        <v>4.9054812269739472</v>
      </c>
      <c r="V1860" t="s">
        <v>897</v>
      </c>
    </row>
    <row r="1861" spans="1:22" outlineLevel="2">
      <c r="A1861" t="s">
        <v>527</v>
      </c>
      <c r="B1861" t="s">
        <v>528</v>
      </c>
      <c r="C1861" t="s">
        <v>127</v>
      </c>
      <c r="D1861" t="s">
        <v>120</v>
      </c>
      <c r="E1861" s="4">
        <v>-1062.54</v>
      </c>
      <c r="F1861" s="4">
        <v>-1512.64</v>
      </c>
      <c r="G1861" s="4">
        <v>963</v>
      </c>
      <c r="H1861" s="4">
        <v>413</v>
      </c>
      <c r="I1861" s="4">
        <v>671.66000000000008</v>
      </c>
      <c r="J1861" s="4">
        <v>-4628.53</v>
      </c>
      <c r="K1861" s="4">
        <v>2005.1599999999996</v>
      </c>
      <c r="L1861" s="4">
        <v>-2517.25</v>
      </c>
      <c r="M1861" s="4">
        <v>483.22</v>
      </c>
      <c r="N1861" s="4">
        <v>-10709.039999999999</v>
      </c>
      <c r="O1861" s="4">
        <v>6479.42</v>
      </c>
      <c r="P1861" s="4">
        <v>16559.650000000001</v>
      </c>
      <c r="Q1861" s="4">
        <v>18550.320000000003</v>
      </c>
      <c r="R1861" s="4">
        <v>10699.99</v>
      </c>
      <c r="S1861" s="8">
        <f t="shared" si="87"/>
        <v>4807.7200000000012</v>
      </c>
      <c r="T1861" s="8">
        <f t="shared" si="88"/>
        <v>5892.2699999999986</v>
      </c>
      <c r="U1861" s="9">
        <f t="shared" si="89"/>
        <v>1.2255851006298197</v>
      </c>
    </row>
    <row r="1862" spans="1:22" outlineLevel="2">
      <c r="A1862" t="s">
        <v>527</v>
      </c>
      <c r="B1862" t="s">
        <v>528</v>
      </c>
      <c r="C1862" t="s">
        <v>300</v>
      </c>
      <c r="D1862" t="s">
        <v>301</v>
      </c>
      <c r="E1862" s="4">
        <v>0</v>
      </c>
      <c r="F1862" s="4">
        <v>-19932.54</v>
      </c>
      <c r="G1862" s="4">
        <v>-19932.54</v>
      </c>
      <c r="H1862" s="4">
        <v>-19932.54</v>
      </c>
      <c r="I1862" s="4">
        <v>-19932.54</v>
      </c>
      <c r="J1862" s="4">
        <v>-19932.54</v>
      </c>
      <c r="K1862" s="4">
        <v>-20047.22</v>
      </c>
      <c r="L1862" s="4">
        <v>-20373.3</v>
      </c>
      <c r="M1862" s="4">
        <v>-20373.3</v>
      </c>
      <c r="N1862" s="4">
        <v>-20373.3</v>
      </c>
      <c r="O1862" s="4">
        <v>-20373.3</v>
      </c>
      <c r="P1862" s="4">
        <v>-20373.3</v>
      </c>
      <c r="Q1862" s="4">
        <v>0</v>
      </c>
      <c r="S1862" s="8">
        <f t="shared" si="87"/>
        <v>-16977.75</v>
      </c>
      <c r="T1862" s="8">
        <f t="shared" si="88"/>
        <v>16977.75</v>
      </c>
      <c r="U1862" s="9">
        <f t="shared" si="89"/>
        <v>-1</v>
      </c>
    </row>
    <row r="1863" spans="1:22" outlineLevel="2">
      <c r="A1863" t="s">
        <v>527</v>
      </c>
      <c r="B1863" t="s">
        <v>528</v>
      </c>
      <c r="C1863" t="s">
        <v>172</v>
      </c>
      <c r="D1863" t="s">
        <v>173</v>
      </c>
      <c r="E1863" s="4">
        <v>0</v>
      </c>
      <c r="F1863" s="4">
        <v>0</v>
      </c>
      <c r="G1863" s="4">
        <v>25</v>
      </c>
      <c r="H1863" s="4">
        <v>8.33</v>
      </c>
      <c r="I1863" s="4">
        <v>8.33</v>
      </c>
      <c r="J1863" s="4">
        <v>8.33</v>
      </c>
      <c r="K1863" s="4">
        <v>8.33</v>
      </c>
      <c r="L1863" s="4">
        <v>8.33</v>
      </c>
      <c r="M1863" s="4">
        <v>8.33</v>
      </c>
      <c r="N1863" s="4">
        <v>8.33</v>
      </c>
      <c r="O1863" s="4">
        <v>-8.33</v>
      </c>
      <c r="P1863" s="4">
        <v>0</v>
      </c>
      <c r="Q1863" s="4">
        <v>8.33</v>
      </c>
      <c r="S1863" s="8">
        <f t="shared" si="87"/>
        <v>4.165</v>
      </c>
      <c r="T1863" s="8">
        <f t="shared" si="88"/>
        <v>-4.165</v>
      </c>
      <c r="U1863" s="9">
        <f t="shared" si="89"/>
        <v>-1</v>
      </c>
    </row>
    <row r="1864" spans="1:22" outlineLevel="2">
      <c r="A1864" t="s">
        <v>527</v>
      </c>
      <c r="B1864" t="s">
        <v>528</v>
      </c>
      <c r="C1864" t="s">
        <v>132</v>
      </c>
      <c r="D1864" t="s">
        <v>133</v>
      </c>
      <c r="E1864" s="4">
        <v>0</v>
      </c>
      <c r="F1864" s="4">
        <v>0</v>
      </c>
      <c r="G1864" s="4">
        <v>0</v>
      </c>
      <c r="H1864" s="4">
        <v>0</v>
      </c>
      <c r="I1864" s="4">
        <v>0</v>
      </c>
      <c r="J1864" s="4">
        <v>658</v>
      </c>
      <c r="K1864" s="4">
        <v>0</v>
      </c>
      <c r="L1864" s="4">
        <v>0</v>
      </c>
      <c r="M1864" s="4">
        <v>0</v>
      </c>
      <c r="N1864" s="4">
        <v>141</v>
      </c>
      <c r="O1864" s="4">
        <v>0</v>
      </c>
      <c r="P1864" s="4">
        <v>188</v>
      </c>
      <c r="Q1864" s="4">
        <v>0</v>
      </c>
      <c r="S1864" s="8">
        <f t="shared" si="87"/>
        <v>54.833333333333336</v>
      </c>
      <c r="T1864" s="8">
        <f t="shared" si="88"/>
        <v>-54.833333333333336</v>
      </c>
      <c r="U1864" s="9">
        <f t="shared" si="89"/>
        <v>-1</v>
      </c>
    </row>
    <row r="1865" spans="1:22" outlineLevel="1">
      <c r="A1865" s="1" t="s">
        <v>819</v>
      </c>
      <c r="E1865" s="4">
        <f>SUBTOTAL(9,E1815:E1864)</f>
        <v>82703.240000000005</v>
      </c>
      <c r="F1865" s="4">
        <f>SUBTOTAL(9,F1815:F1864)</f>
        <v>61628.679999999986</v>
      </c>
      <c r="G1865" s="4">
        <f>SUBTOTAL(9,G1815:G1864)</f>
        <v>-62290.360000000022</v>
      </c>
      <c r="H1865" s="4">
        <f>SUBTOTAL(9,H1815:H1864)</f>
        <v>142387.36999999994</v>
      </c>
      <c r="I1865" s="4">
        <f>SUBTOTAL(9,I1815:I1864)</f>
        <v>168720.09</v>
      </c>
      <c r="J1865" s="4">
        <f>SUBTOTAL(9,J1815:J1864)</f>
        <v>78771.259999999995</v>
      </c>
      <c r="K1865" s="4">
        <f>SUBTOTAL(9,K1815:K1864)</f>
        <v>195636.78</v>
      </c>
      <c r="L1865" s="4">
        <f>SUBTOTAL(9,L1815:L1864)</f>
        <v>59572.000000000015</v>
      </c>
      <c r="M1865" s="4">
        <f>SUBTOTAL(9,M1815:M1864)</f>
        <v>84444.17</v>
      </c>
      <c r="N1865" s="4">
        <f>SUBTOTAL(9,N1815:N1864)</f>
        <v>135137.00000000003</v>
      </c>
      <c r="O1865" s="4">
        <f>SUBTOTAL(9,O1815:O1864)</f>
        <v>66706.17</v>
      </c>
      <c r="P1865" s="4">
        <f>SUBTOTAL(9,P1815:P1864)</f>
        <v>124947.51000000002</v>
      </c>
      <c r="Q1865" s="4">
        <f>SUBTOTAL(9,Q1815:Q1864)</f>
        <v>178069.92</v>
      </c>
      <c r="R1865" s="4">
        <f>SUBTOTAL(9,R1815:R1864)</f>
        <v>167345.95999999996</v>
      </c>
      <c r="S1865" s="8">
        <f t="shared" si="87"/>
        <v>108146.12833333334</v>
      </c>
      <c r="T1865" s="8">
        <f t="shared" si="88"/>
        <v>59199.831666666621</v>
      </c>
      <c r="U1865" s="9">
        <f t="shared" si="89"/>
        <v>0.54740592732268667</v>
      </c>
      <c r="V1865" t="s">
        <v>897</v>
      </c>
    </row>
    <row r="1866" spans="1:22" outlineLevel="2">
      <c r="A1866" t="s">
        <v>529</v>
      </c>
      <c r="B1866" t="s">
        <v>530</v>
      </c>
      <c r="C1866" t="s">
        <v>19</v>
      </c>
      <c r="D1866" t="s">
        <v>20</v>
      </c>
      <c r="E1866" s="4">
        <v>0</v>
      </c>
      <c r="F1866" s="4">
        <v>0</v>
      </c>
      <c r="G1866" s="4">
        <v>0</v>
      </c>
      <c r="H1866" s="4">
        <v>-29.69000000000824</v>
      </c>
      <c r="I1866" s="4">
        <v>0</v>
      </c>
      <c r="J1866" s="4">
        <v>0</v>
      </c>
      <c r="K1866" s="4">
        <v>0</v>
      </c>
      <c r="L1866" s="4">
        <v>0</v>
      </c>
      <c r="M1866" s="4">
        <v>0</v>
      </c>
      <c r="N1866" s="4">
        <v>0</v>
      </c>
      <c r="O1866" s="4">
        <v>0</v>
      </c>
      <c r="P1866" s="4">
        <v>0</v>
      </c>
      <c r="Q1866" s="4">
        <v>0</v>
      </c>
      <c r="S1866" s="8">
        <f t="shared" si="87"/>
        <v>0</v>
      </c>
      <c r="T1866" s="8">
        <f t="shared" si="88"/>
        <v>0</v>
      </c>
      <c r="U1866" s="9" t="e">
        <f t="shared" si="89"/>
        <v>#DIV/0!</v>
      </c>
    </row>
    <row r="1867" spans="1:22" outlineLevel="1">
      <c r="A1867" s="1" t="s">
        <v>820</v>
      </c>
      <c r="E1867" s="4">
        <f>SUBTOTAL(9,E1866:E1866)</f>
        <v>0</v>
      </c>
      <c r="F1867" s="4">
        <f>SUBTOTAL(9,F1866:F1866)</f>
        <v>0</v>
      </c>
      <c r="G1867" s="4">
        <f>SUBTOTAL(9,G1866:G1866)</f>
        <v>0</v>
      </c>
      <c r="H1867" s="4">
        <f>SUBTOTAL(9,H1866:H1866)</f>
        <v>-29.69000000000824</v>
      </c>
      <c r="I1867" s="4">
        <f>SUBTOTAL(9,I1866:I1866)</f>
        <v>0</v>
      </c>
      <c r="J1867" s="4">
        <f>SUBTOTAL(9,J1866:J1866)</f>
        <v>0</v>
      </c>
      <c r="K1867" s="4">
        <f>SUBTOTAL(9,K1866:K1866)</f>
        <v>0</v>
      </c>
      <c r="L1867" s="4">
        <f>SUBTOTAL(9,L1866:L1866)</f>
        <v>0</v>
      </c>
      <c r="M1867" s="4">
        <f>SUBTOTAL(9,M1866:M1866)</f>
        <v>0</v>
      </c>
      <c r="N1867" s="4">
        <f>SUBTOTAL(9,N1866:N1866)</f>
        <v>0</v>
      </c>
      <c r="O1867" s="4">
        <f>SUBTOTAL(9,O1866:O1866)</f>
        <v>0</v>
      </c>
      <c r="P1867" s="4">
        <f>SUBTOTAL(9,P1866:P1866)</f>
        <v>0</v>
      </c>
      <c r="Q1867" s="4">
        <f>SUBTOTAL(9,Q1866:Q1866)</f>
        <v>0</v>
      </c>
      <c r="R1867" s="4">
        <f>SUBTOTAL(9,R1866:R1866)</f>
        <v>0</v>
      </c>
      <c r="S1867" s="8">
        <f t="shared" si="87"/>
        <v>0</v>
      </c>
      <c r="T1867" s="8">
        <f t="shared" si="88"/>
        <v>0</v>
      </c>
      <c r="U1867" s="9" t="e">
        <f t="shared" si="89"/>
        <v>#DIV/0!</v>
      </c>
    </row>
    <row r="1868" spans="1:22" outlineLevel="2">
      <c r="A1868" t="s">
        <v>531</v>
      </c>
      <c r="B1868" t="s">
        <v>532</v>
      </c>
      <c r="C1868" t="s">
        <v>21</v>
      </c>
      <c r="D1868" t="s">
        <v>22</v>
      </c>
      <c r="E1868" s="4">
        <v>0</v>
      </c>
      <c r="F1868" s="4">
        <v>0</v>
      </c>
      <c r="G1868" s="4">
        <v>0</v>
      </c>
      <c r="H1868" s="4">
        <v>0</v>
      </c>
      <c r="I1868" s="4">
        <v>0</v>
      </c>
      <c r="J1868" s="4">
        <v>0</v>
      </c>
      <c r="K1868" s="4">
        <v>50.26</v>
      </c>
      <c r="L1868" s="4">
        <v>0</v>
      </c>
      <c r="M1868" s="4">
        <v>0</v>
      </c>
      <c r="N1868" s="4">
        <v>0</v>
      </c>
      <c r="O1868" s="4">
        <v>0</v>
      </c>
      <c r="P1868" s="4">
        <v>0</v>
      </c>
      <c r="Q1868" s="4">
        <v>0</v>
      </c>
      <c r="S1868" s="8">
        <f t="shared" si="87"/>
        <v>0</v>
      </c>
      <c r="T1868" s="8">
        <f t="shared" si="88"/>
        <v>0</v>
      </c>
      <c r="U1868" s="9" t="e">
        <f t="shared" si="89"/>
        <v>#DIV/0!</v>
      </c>
    </row>
    <row r="1869" spans="1:22" outlineLevel="2">
      <c r="A1869" t="s">
        <v>531</v>
      </c>
      <c r="B1869" t="s">
        <v>532</v>
      </c>
      <c r="C1869" t="s">
        <v>23</v>
      </c>
      <c r="D1869" t="s">
        <v>24</v>
      </c>
      <c r="E1869" s="4">
        <v>0</v>
      </c>
      <c r="F1869" s="4">
        <v>0</v>
      </c>
      <c r="G1869" s="4">
        <v>0</v>
      </c>
      <c r="H1869" s="4">
        <v>0</v>
      </c>
      <c r="I1869" s="4">
        <v>0</v>
      </c>
      <c r="J1869" s="4">
        <v>0</v>
      </c>
      <c r="K1869" s="4">
        <v>1020.2600000000002</v>
      </c>
      <c r="L1869" s="4">
        <v>0</v>
      </c>
      <c r="M1869" s="4">
        <v>0</v>
      </c>
      <c r="N1869" s="4">
        <v>0</v>
      </c>
      <c r="O1869" s="4">
        <v>0</v>
      </c>
      <c r="P1869" s="4">
        <v>0</v>
      </c>
      <c r="Q1869" s="4">
        <v>0</v>
      </c>
      <c r="S1869" s="8">
        <f t="shared" si="87"/>
        <v>0</v>
      </c>
      <c r="T1869" s="8">
        <f t="shared" si="88"/>
        <v>0</v>
      </c>
      <c r="U1869" s="9" t="e">
        <f t="shared" si="89"/>
        <v>#DIV/0!</v>
      </c>
    </row>
    <row r="1870" spans="1:22" outlineLevel="1">
      <c r="A1870" s="1" t="s">
        <v>821</v>
      </c>
      <c r="E1870" s="4">
        <f>SUBTOTAL(9,E1868:E1869)</f>
        <v>0</v>
      </c>
      <c r="F1870" s="4">
        <f>SUBTOTAL(9,F1868:F1869)</f>
        <v>0</v>
      </c>
      <c r="G1870" s="4">
        <f>SUBTOTAL(9,G1868:G1869)</f>
        <v>0</v>
      </c>
      <c r="H1870" s="4">
        <f>SUBTOTAL(9,H1868:H1869)</f>
        <v>0</v>
      </c>
      <c r="I1870" s="4">
        <f>SUBTOTAL(9,I1868:I1869)</f>
        <v>0</v>
      </c>
      <c r="J1870" s="4">
        <f>SUBTOTAL(9,J1868:J1869)</f>
        <v>0</v>
      </c>
      <c r="K1870" s="4">
        <f>SUBTOTAL(9,K1868:K1869)</f>
        <v>1070.5200000000002</v>
      </c>
      <c r="L1870" s="4">
        <f>SUBTOTAL(9,L1868:L1869)</f>
        <v>0</v>
      </c>
      <c r="M1870" s="4">
        <f>SUBTOTAL(9,M1868:M1869)</f>
        <v>0</v>
      </c>
      <c r="N1870" s="4">
        <f>SUBTOTAL(9,N1868:N1869)</f>
        <v>0</v>
      </c>
      <c r="O1870" s="4">
        <f>SUBTOTAL(9,O1868:O1869)</f>
        <v>0</v>
      </c>
      <c r="P1870" s="4">
        <f>SUBTOTAL(9,P1868:P1869)</f>
        <v>0</v>
      </c>
      <c r="Q1870" s="4">
        <f>SUBTOTAL(9,Q1868:Q1869)</f>
        <v>0</v>
      </c>
      <c r="R1870" s="4">
        <f>SUBTOTAL(9,R1868:R1869)</f>
        <v>0</v>
      </c>
      <c r="S1870" s="8">
        <f t="shared" si="87"/>
        <v>0</v>
      </c>
      <c r="T1870" s="8">
        <f t="shared" si="88"/>
        <v>0</v>
      </c>
      <c r="U1870" s="9" t="e">
        <f t="shared" si="89"/>
        <v>#DIV/0!</v>
      </c>
    </row>
    <row r="1871" spans="1:22" outlineLevel="2">
      <c r="A1871" t="s">
        <v>533</v>
      </c>
      <c r="B1871" t="s">
        <v>534</v>
      </c>
      <c r="C1871" t="s">
        <v>47</v>
      </c>
      <c r="D1871" t="s">
        <v>48</v>
      </c>
      <c r="E1871" s="4">
        <v>0</v>
      </c>
      <c r="F1871" s="4">
        <v>0</v>
      </c>
      <c r="G1871" s="4">
        <v>0</v>
      </c>
      <c r="H1871" s="4">
        <v>-1557.3500000000001</v>
      </c>
      <c r="I1871" s="4">
        <v>0</v>
      </c>
      <c r="J1871" s="4">
        <v>0</v>
      </c>
      <c r="K1871" s="4">
        <v>0</v>
      </c>
      <c r="L1871" s="4">
        <v>0</v>
      </c>
      <c r="M1871" s="4">
        <v>0</v>
      </c>
      <c r="N1871" s="4">
        <v>0</v>
      </c>
      <c r="O1871" s="4">
        <v>0</v>
      </c>
      <c r="P1871" s="4">
        <v>0</v>
      </c>
      <c r="Q1871" s="4">
        <v>0</v>
      </c>
      <c r="S1871" s="8">
        <f t="shared" si="87"/>
        <v>0</v>
      </c>
      <c r="T1871" s="8">
        <f t="shared" si="88"/>
        <v>0</v>
      </c>
      <c r="U1871" s="9" t="e">
        <f t="shared" si="89"/>
        <v>#DIV/0!</v>
      </c>
    </row>
    <row r="1872" spans="1:22" outlineLevel="1">
      <c r="A1872" s="1" t="s">
        <v>822</v>
      </c>
      <c r="E1872" s="4">
        <f>SUBTOTAL(9,E1871:E1871)</f>
        <v>0</v>
      </c>
      <c r="F1872" s="4">
        <f>SUBTOTAL(9,F1871:F1871)</f>
        <v>0</v>
      </c>
      <c r="G1872" s="4">
        <f>SUBTOTAL(9,G1871:G1871)</f>
        <v>0</v>
      </c>
      <c r="H1872" s="4">
        <f>SUBTOTAL(9,H1871:H1871)</f>
        <v>-1557.3500000000001</v>
      </c>
      <c r="I1872" s="4">
        <f>SUBTOTAL(9,I1871:I1871)</f>
        <v>0</v>
      </c>
      <c r="J1872" s="4">
        <f>SUBTOTAL(9,J1871:J1871)</f>
        <v>0</v>
      </c>
      <c r="K1872" s="4">
        <f>SUBTOTAL(9,K1871:K1871)</f>
        <v>0</v>
      </c>
      <c r="L1872" s="4">
        <f>SUBTOTAL(9,L1871:L1871)</f>
        <v>0</v>
      </c>
      <c r="M1872" s="4">
        <f>SUBTOTAL(9,M1871:M1871)</f>
        <v>0</v>
      </c>
      <c r="N1872" s="4">
        <f>SUBTOTAL(9,N1871:N1871)</f>
        <v>0</v>
      </c>
      <c r="O1872" s="4">
        <f>SUBTOTAL(9,O1871:O1871)</f>
        <v>0</v>
      </c>
      <c r="P1872" s="4">
        <f>SUBTOTAL(9,P1871:P1871)</f>
        <v>0</v>
      </c>
      <c r="Q1872" s="4">
        <f>SUBTOTAL(9,Q1871:Q1871)</f>
        <v>0</v>
      </c>
      <c r="R1872" s="4">
        <f>SUBTOTAL(9,R1871:R1871)</f>
        <v>0</v>
      </c>
      <c r="S1872" s="8">
        <f t="shared" si="87"/>
        <v>0</v>
      </c>
      <c r="T1872" s="8">
        <f t="shared" si="88"/>
        <v>0</v>
      </c>
      <c r="U1872" s="9" t="e">
        <f t="shared" si="89"/>
        <v>#DIV/0!</v>
      </c>
    </row>
    <row r="1873" spans="1:21" outlineLevel="2">
      <c r="A1873" t="s">
        <v>535</v>
      </c>
      <c r="B1873" t="s">
        <v>536</v>
      </c>
      <c r="C1873" t="s">
        <v>21</v>
      </c>
      <c r="D1873" t="s">
        <v>22</v>
      </c>
      <c r="E1873" s="4">
        <v>0</v>
      </c>
      <c r="F1873" s="4">
        <v>0</v>
      </c>
      <c r="G1873" s="4">
        <v>0</v>
      </c>
      <c r="H1873" s="4">
        <v>0</v>
      </c>
      <c r="I1873" s="4">
        <v>0</v>
      </c>
      <c r="J1873" s="4">
        <v>0</v>
      </c>
      <c r="K1873" s="4">
        <v>0</v>
      </c>
      <c r="L1873" s="4">
        <v>0</v>
      </c>
      <c r="M1873" s="4">
        <v>0</v>
      </c>
      <c r="N1873" s="4">
        <v>140.79000000000002</v>
      </c>
      <c r="O1873" s="4">
        <v>0</v>
      </c>
      <c r="P1873" s="4">
        <v>0</v>
      </c>
      <c r="Q1873" s="4">
        <v>0</v>
      </c>
      <c r="S1873" s="8">
        <f t="shared" si="87"/>
        <v>23.465000000000003</v>
      </c>
      <c r="T1873" s="8">
        <f t="shared" si="88"/>
        <v>-23.465000000000003</v>
      </c>
      <c r="U1873" s="9">
        <f t="shared" si="89"/>
        <v>-1</v>
      </c>
    </row>
    <row r="1874" spans="1:21" outlineLevel="2">
      <c r="A1874" t="s">
        <v>535</v>
      </c>
      <c r="B1874" t="s">
        <v>536</v>
      </c>
      <c r="C1874" t="s">
        <v>23</v>
      </c>
      <c r="D1874" t="s">
        <v>24</v>
      </c>
      <c r="E1874" s="4">
        <v>0</v>
      </c>
      <c r="F1874" s="4">
        <v>0</v>
      </c>
      <c r="G1874" s="4">
        <v>0</v>
      </c>
      <c r="H1874" s="4">
        <v>0</v>
      </c>
      <c r="I1874" s="4">
        <v>0</v>
      </c>
      <c r="J1874" s="4">
        <v>0</v>
      </c>
      <c r="K1874" s="4">
        <v>0</v>
      </c>
      <c r="L1874" s="4">
        <v>0</v>
      </c>
      <c r="M1874" s="4">
        <v>0</v>
      </c>
      <c r="N1874" s="4">
        <v>56.63</v>
      </c>
      <c r="O1874" s="4">
        <v>0</v>
      </c>
      <c r="P1874" s="4">
        <v>0</v>
      </c>
      <c r="Q1874" s="4">
        <v>0</v>
      </c>
      <c r="S1874" s="8">
        <f t="shared" si="87"/>
        <v>9.4383333333333344</v>
      </c>
      <c r="T1874" s="8">
        <f t="shared" si="88"/>
        <v>-9.4383333333333344</v>
      </c>
      <c r="U1874" s="9">
        <f t="shared" si="89"/>
        <v>-1</v>
      </c>
    </row>
    <row r="1875" spans="1:21" outlineLevel="2">
      <c r="A1875" t="s">
        <v>535</v>
      </c>
      <c r="B1875" t="s">
        <v>536</v>
      </c>
      <c r="C1875" t="s">
        <v>27</v>
      </c>
      <c r="D1875" t="s">
        <v>28</v>
      </c>
      <c r="E1875" s="4">
        <v>0</v>
      </c>
      <c r="F1875" s="4">
        <v>0</v>
      </c>
      <c r="G1875" s="4">
        <v>0</v>
      </c>
      <c r="H1875" s="4">
        <v>0</v>
      </c>
      <c r="I1875" s="4">
        <v>0</v>
      </c>
      <c r="J1875" s="4">
        <v>0</v>
      </c>
      <c r="K1875" s="4">
        <v>0</v>
      </c>
      <c r="L1875" s="4">
        <v>0</v>
      </c>
      <c r="M1875" s="4">
        <v>0</v>
      </c>
      <c r="N1875" s="4">
        <v>328.96</v>
      </c>
      <c r="O1875" s="4">
        <v>0</v>
      </c>
      <c r="P1875" s="4">
        <v>0</v>
      </c>
      <c r="Q1875" s="4">
        <v>0</v>
      </c>
      <c r="S1875" s="8">
        <f t="shared" si="87"/>
        <v>54.826666666666661</v>
      </c>
      <c r="T1875" s="8">
        <f t="shared" si="88"/>
        <v>-54.826666666666661</v>
      </c>
      <c r="U1875" s="9">
        <f t="shared" si="89"/>
        <v>-1</v>
      </c>
    </row>
    <row r="1876" spans="1:21" outlineLevel="1">
      <c r="A1876" s="1" t="s">
        <v>823</v>
      </c>
      <c r="E1876" s="4">
        <f>SUBTOTAL(9,E1873:E1875)</f>
        <v>0</v>
      </c>
      <c r="F1876" s="4">
        <f>SUBTOTAL(9,F1873:F1875)</f>
        <v>0</v>
      </c>
      <c r="G1876" s="4">
        <f>SUBTOTAL(9,G1873:G1875)</f>
        <v>0</v>
      </c>
      <c r="H1876" s="4">
        <f>SUBTOTAL(9,H1873:H1875)</f>
        <v>0</v>
      </c>
      <c r="I1876" s="4">
        <f>SUBTOTAL(9,I1873:I1875)</f>
        <v>0</v>
      </c>
      <c r="J1876" s="4">
        <f>SUBTOTAL(9,J1873:J1875)</f>
        <v>0</v>
      </c>
      <c r="K1876" s="4">
        <f>SUBTOTAL(9,K1873:K1875)</f>
        <v>0</v>
      </c>
      <c r="L1876" s="4">
        <f>SUBTOTAL(9,L1873:L1875)</f>
        <v>0</v>
      </c>
      <c r="M1876" s="4">
        <f>SUBTOTAL(9,M1873:M1875)</f>
        <v>0</v>
      </c>
      <c r="N1876" s="4">
        <f>SUBTOTAL(9,N1873:N1875)</f>
        <v>526.38</v>
      </c>
      <c r="O1876" s="4">
        <f>SUBTOTAL(9,O1873:O1875)</f>
        <v>0</v>
      </c>
      <c r="P1876" s="4">
        <f>SUBTOTAL(9,P1873:P1875)</f>
        <v>0</v>
      </c>
      <c r="Q1876" s="4">
        <f>SUBTOTAL(9,Q1873:Q1875)</f>
        <v>0</v>
      </c>
      <c r="R1876" s="4">
        <f>SUBTOTAL(9,R1873:R1875)</f>
        <v>0</v>
      </c>
      <c r="S1876" s="8">
        <f t="shared" si="87"/>
        <v>87.73</v>
      </c>
      <c r="T1876" s="8">
        <f t="shared" si="88"/>
        <v>-87.73</v>
      </c>
      <c r="U1876" s="9">
        <f t="shared" si="89"/>
        <v>-1</v>
      </c>
    </row>
    <row r="1877" spans="1:21" outlineLevel="2">
      <c r="A1877" t="s">
        <v>537</v>
      </c>
      <c r="B1877" t="s">
        <v>279</v>
      </c>
      <c r="C1877" t="s">
        <v>168</v>
      </c>
      <c r="D1877" t="s">
        <v>169</v>
      </c>
      <c r="E1877" s="4">
        <v>0</v>
      </c>
      <c r="F1877" s="4">
        <v>0</v>
      </c>
      <c r="G1877" s="4">
        <v>0</v>
      </c>
      <c r="H1877" s="4">
        <v>0</v>
      </c>
      <c r="I1877" s="4">
        <v>0</v>
      </c>
      <c r="J1877" s="4">
        <v>0</v>
      </c>
      <c r="K1877" s="4">
        <v>0</v>
      </c>
      <c r="L1877" s="4">
        <v>0</v>
      </c>
      <c r="M1877" s="4">
        <v>0</v>
      </c>
      <c r="N1877" s="4">
        <v>12330</v>
      </c>
      <c r="O1877" s="4">
        <v>2754</v>
      </c>
      <c r="P1877" s="4">
        <v>28902.05</v>
      </c>
      <c r="Q1877" s="4">
        <v>-28902.05</v>
      </c>
      <c r="S1877" s="8">
        <f t="shared" si="87"/>
        <v>2514.0000000000005</v>
      </c>
      <c r="T1877" s="8">
        <f t="shared" si="88"/>
        <v>-2514.0000000000005</v>
      </c>
      <c r="U1877" s="9">
        <f t="shared" si="89"/>
        <v>-1</v>
      </c>
    </row>
    <row r="1878" spans="1:21" outlineLevel="1">
      <c r="A1878" s="1" t="s">
        <v>824</v>
      </c>
      <c r="E1878" s="4">
        <f>SUBTOTAL(9,E1877:E1877)</f>
        <v>0</v>
      </c>
      <c r="F1878" s="4">
        <f>SUBTOTAL(9,F1877:F1877)</f>
        <v>0</v>
      </c>
      <c r="G1878" s="4">
        <f>SUBTOTAL(9,G1877:G1877)</f>
        <v>0</v>
      </c>
      <c r="H1878" s="4">
        <f>SUBTOTAL(9,H1877:H1877)</f>
        <v>0</v>
      </c>
      <c r="I1878" s="4">
        <f>SUBTOTAL(9,I1877:I1877)</f>
        <v>0</v>
      </c>
      <c r="J1878" s="4">
        <f>SUBTOTAL(9,J1877:J1877)</f>
        <v>0</v>
      </c>
      <c r="K1878" s="4">
        <f>SUBTOTAL(9,K1877:K1877)</f>
        <v>0</v>
      </c>
      <c r="L1878" s="4">
        <f>SUBTOTAL(9,L1877:L1877)</f>
        <v>0</v>
      </c>
      <c r="M1878" s="4">
        <f>SUBTOTAL(9,M1877:M1877)</f>
        <v>0</v>
      </c>
      <c r="N1878" s="4">
        <f>SUBTOTAL(9,N1877:N1877)</f>
        <v>12330</v>
      </c>
      <c r="O1878" s="4">
        <f>SUBTOTAL(9,O1877:O1877)</f>
        <v>2754</v>
      </c>
      <c r="P1878" s="4">
        <f>SUBTOTAL(9,P1877:P1877)</f>
        <v>28902.05</v>
      </c>
      <c r="Q1878" s="4">
        <f>SUBTOTAL(9,Q1877:Q1877)</f>
        <v>-28902.05</v>
      </c>
      <c r="R1878" s="4">
        <f>SUBTOTAL(9,R1877:R1877)</f>
        <v>0</v>
      </c>
      <c r="S1878" s="8">
        <f t="shared" si="87"/>
        <v>2514.0000000000005</v>
      </c>
      <c r="T1878" s="8">
        <f t="shared" si="88"/>
        <v>-2514.0000000000005</v>
      </c>
      <c r="U1878" s="9">
        <f t="shared" si="89"/>
        <v>-1</v>
      </c>
    </row>
    <row r="1879" spans="1:21" outlineLevel="2">
      <c r="A1879" t="s">
        <v>538</v>
      </c>
      <c r="B1879" t="s">
        <v>295</v>
      </c>
      <c r="C1879" t="s">
        <v>296</v>
      </c>
      <c r="D1879" t="s">
        <v>297</v>
      </c>
      <c r="E1879" s="4">
        <v>-10295</v>
      </c>
      <c r="F1879" s="4">
        <v>0</v>
      </c>
      <c r="G1879" s="4">
        <v>0</v>
      </c>
      <c r="H1879" s="4">
        <v>-76.53</v>
      </c>
      <c r="I1879" s="4">
        <v>0</v>
      </c>
      <c r="J1879" s="4">
        <v>0</v>
      </c>
      <c r="K1879" s="4">
        <v>0</v>
      </c>
      <c r="L1879" s="4">
        <v>0</v>
      </c>
      <c r="M1879" s="4">
        <v>0</v>
      </c>
      <c r="N1879" s="4">
        <v>0</v>
      </c>
      <c r="O1879" s="4">
        <v>0</v>
      </c>
      <c r="P1879" s="4">
        <v>0</v>
      </c>
      <c r="Q1879" s="4">
        <v>-2094.5</v>
      </c>
      <c r="S1879" s="8">
        <f t="shared" si="87"/>
        <v>-349.08333333333331</v>
      </c>
      <c r="T1879" s="8">
        <f t="shared" si="88"/>
        <v>349.08333333333331</v>
      </c>
      <c r="U1879" s="9">
        <f t="shared" si="89"/>
        <v>-1</v>
      </c>
    </row>
    <row r="1880" spans="1:21" outlineLevel="1">
      <c r="A1880" s="1" t="s">
        <v>825</v>
      </c>
      <c r="E1880" s="4">
        <f>SUBTOTAL(9,E1879:E1879)</f>
        <v>-10295</v>
      </c>
      <c r="F1880" s="4">
        <f>SUBTOTAL(9,F1879:F1879)</f>
        <v>0</v>
      </c>
      <c r="G1880" s="4">
        <f>SUBTOTAL(9,G1879:G1879)</f>
        <v>0</v>
      </c>
      <c r="H1880" s="4">
        <f>SUBTOTAL(9,H1879:H1879)</f>
        <v>-76.53</v>
      </c>
      <c r="I1880" s="4">
        <f>SUBTOTAL(9,I1879:I1879)</f>
        <v>0</v>
      </c>
      <c r="J1880" s="4">
        <f>SUBTOTAL(9,J1879:J1879)</f>
        <v>0</v>
      </c>
      <c r="K1880" s="4">
        <f>SUBTOTAL(9,K1879:K1879)</f>
        <v>0</v>
      </c>
      <c r="L1880" s="4">
        <f>SUBTOTAL(9,L1879:L1879)</f>
        <v>0</v>
      </c>
      <c r="M1880" s="4">
        <f>SUBTOTAL(9,M1879:M1879)</f>
        <v>0</v>
      </c>
      <c r="N1880" s="4">
        <f>SUBTOTAL(9,N1879:N1879)</f>
        <v>0</v>
      </c>
      <c r="O1880" s="4">
        <f>SUBTOTAL(9,O1879:O1879)</f>
        <v>0</v>
      </c>
      <c r="P1880" s="4">
        <f>SUBTOTAL(9,P1879:P1879)</f>
        <v>0</v>
      </c>
      <c r="Q1880" s="4">
        <f>SUBTOTAL(9,Q1879:Q1879)</f>
        <v>-2094.5</v>
      </c>
      <c r="R1880" s="4">
        <f>SUBTOTAL(9,R1879:R1879)</f>
        <v>0</v>
      </c>
      <c r="S1880" s="8">
        <f t="shared" si="87"/>
        <v>-349.08333333333331</v>
      </c>
      <c r="T1880" s="8">
        <f t="shared" si="88"/>
        <v>349.08333333333331</v>
      </c>
      <c r="U1880" s="9">
        <f t="shared" si="89"/>
        <v>-1</v>
      </c>
    </row>
    <row r="1881" spans="1:21" outlineLevel="2">
      <c r="A1881" t="s">
        <v>539</v>
      </c>
      <c r="B1881" t="s">
        <v>540</v>
      </c>
      <c r="C1881" t="s">
        <v>21</v>
      </c>
      <c r="D1881" t="s">
        <v>22</v>
      </c>
      <c r="E1881" s="4">
        <v>0</v>
      </c>
      <c r="F1881" s="4">
        <v>0</v>
      </c>
      <c r="G1881" s="4">
        <v>0</v>
      </c>
      <c r="H1881" s="4">
        <v>0</v>
      </c>
      <c r="I1881" s="4">
        <v>-1.4210854715202004E-14</v>
      </c>
      <c r="J1881" s="4">
        <v>0</v>
      </c>
      <c r="K1881" s="4">
        <v>0</v>
      </c>
      <c r="L1881" s="4">
        <v>0</v>
      </c>
      <c r="M1881" s="4">
        <v>6.2172489379008766E-15</v>
      </c>
      <c r="N1881" s="4">
        <v>-7.1054273576010019E-15</v>
      </c>
      <c r="O1881" s="4">
        <v>0</v>
      </c>
      <c r="P1881" s="4">
        <v>0</v>
      </c>
      <c r="Q1881" s="4">
        <v>0</v>
      </c>
      <c r="S1881" s="8">
        <f t="shared" si="87"/>
        <v>-1.4802973661668753E-16</v>
      </c>
      <c r="T1881" s="8">
        <f t="shared" si="88"/>
        <v>1.4802973661668753E-16</v>
      </c>
      <c r="U1881" s="9">
        <f t="shared" si="89"/>
        <v>-1</v>
      </c>
    </row>
    <row r="1882" spans="1:21" outlineLevel="2">
      <c r="A1882" t="s">
        <v>539</v>
      </c>
      <c r="B1882" t="s">
        <v>540</v>
      </c>
      <c r="C1882" t="s">
        <v>23</v>
      </c>
      <c r="D1882" t="s">
        <v>24</v>
      </c>
      <c r="E1882" s="4">
        <v>0</v>
      </c>
      <c r="F1882" s="4">
        <v>0</v>
      </c>
      <c r="G1882" s="4">
        <v>0</v>
      </c>
      <c r="H1882" s="4">
        <v>0</v>
      </c>
      <c r="I1882" s="4">
        <v>3.4106051316484809E-13</v>
      </c>
      <c r="J1882" s="4">
        <v>0</v>
      </c>
      <c r="K1882" s="4">
        <v>0</v>
      </c>
      <c r="L1882" s="4">
        <v>0</v>
      </c>
      <c r="M1882" s="4">
        <v>-2.4691360067663481E-13</v>
      </c>
      <c r="N1882" s="4">
        <v>0</v>
      </c>
      <c r="O1882" s="4">
        <v>0</v>
      </c>
      <c r="P1882" s="4">
        <v>0</v>
      </c>
      <c r="Q1882" s="4">
        <v>0</v>
      </c>
      <c r="S1882" s="8">
        <f t="shared" si="87"/>
        <v>-4.1152266779439138E-14</v>
      </c>
      <c r="T1882" s="8">
        <f t="shared" si="88"/>
        <v>4.1152266779439138E-14</v>
      </c>
      <c r="U1882" s="9">
        <f t="shared" si="89"/>
        <v>-1</v>
      </c>
    </row>
    <row r="1883" spans="1:21" outlineLevel="2">
      <c r="A1883" t="s">
        <v>539</v>
      </c>
      <c r="B1883" t="s">
        <v>540</v>
      </c>
      <c r="C1883" t="s">
        <v>25</v>
      </c>
      <c r="D1883" t="s">
        <v>26</v>
      </c>
      <c r="E1883" s="4">
        <v>0</v>
      </c>
      <c r="F1883" s="4">
        <v>0</v>
      </c>
      <c r="G1883" s="4">
        <v>0</v>
      </c>
      <c r="H1883" s="4">
        <v>0</v>
      </c>
      <c r="I1883" s="4">
        <v>0</v>
      </c>
      <c r="J1883" s="4">
        <v>0</v>
      </c>
      <c r="K1883" s="4">
        <v>0</v>
      </c>
      <c r="L1883" s="4">
        <v>0</v>
      </c>
      <c r="M1883" s="4">
        <v>0</v>
      </c>
      <c r="N1883" s="4">
        <v>-1.1368683772161603E-13</v>
      </c>
      <c r="O1883" s="4">
        <v>0</v>
      </c>
      <c r="P1883" s="4">
        <v>0</v>
      </c>
      <c r="Q1883" s="4">
        <v>0</v>
      </c>
      <c r="S1883" s="8">
        <f t="shared" si="87"/>
        <v>-1.8947806286936004E-14</v>
      </c>
      <c r="T1883" s="8">
        <f t="shared" si="88"/>
        <v>1.8947806286936004E-14</v>
      </c>
      <c r="U1883" s="9">
        <f t="shared" si="89"/>
        <v>-1</v>
      </c>
    </row>
    <row r="1884" spans="1:21" outlineLevel="2">
      <c r="A1884" t="s">
        <v>539</v>
      </c>
      <c r="B1884" t="s">
        <v>540</v>
      </c>
      <c r="C1884" t="s">
        <v>27</v>
      </c>
      <c r="D1884" t="s">
        <v>28</v>
      </c>
      <c r="E1884" s="4">
        <v>0</v>
      </c>
      <c r="F1884" s="4">
        <v>0</v>
      </c>
      <c r="G1884" s="4">
        <v>0</v>
      </c>
      <c r="H1884" s="4">
        <v>0</v>
      </c>
      <c r="I1884" s="4">
        <v>0</v>
      </c>
      <c r="J1884" s="4">
        <v>0</v>
      </c>
      <c r="K1884" s="4">
        <v>0</v>
      </c>
      <c r="L1884" s="4">
        <v>0</v>
      </c>
      <c r="M1884" s="4">
        <v>0</v>
      </c>
      <c r="N1884" s="4">
        <v>0</v>
      </c>
      <c r="O1884" s="4">
        <v>0</v>
      </c>
      <c r="P1884" s="4">
        <v>0</v>
      </c>
      <c r="Q1884" s="4">
        <v>0</v>
      </c>
      <c r="S1884" s="8">
        <f t="shared" si="87"/>
        <v>0</v>
      </c>
      <c r="T1884" s="8">
        <f t="shared" si="88"/>
        <v>0</v>
      </c>
      <c r="U1884" s="9" t="e">
        <f t="shared" si="89"/>
        <v>#DIV/0!</v>
      </c>
    </row>
    <row r="1885" spans="1:21" outlineLevel="2">
      <c r="A1885" t="s">
        <v>539</v>
      </c>
      <c r="B1885" t="s">
        <v>540</v>
      </c>
      <c r="C1885" t="s">
        <v>136</v>
      </c>
      <c r="D1885" t="s">
        <v>137</v>
      </c>
      <c r="E1885" s="4">
        <v>3.637978807091713E-12</v>
      </c>
      <c r="F1885" s="4">
        <v>-1.8189894035458565E-12</v>
      </c>
      <c r="G1885" s="4">
        <v>3.637978807091713E-12</v>
      </c>
      <c r="H1885" s="4">
        <v>7.2759576141834259E-12</v>
      </c>
      <c r="I1885" s="4">
        <v>0</v>
      </c>
      <c r="J1885" s="4">
        <v>3.637978807091713E-12</v>
      </c>
      <c r="K1885" s="4">
        <v>18253.490000000005</v>
      </c>
      <c r="L1885" s="4">
        <v>-18253.489999999998</v>
      </c>
      <c r="M1885" s="4">
        <v>0</v>
      </c>
      <c r="N1885" s="4">
        <v>3.637978807091713E-12</v>
      </c>
      <c r="O1885" s="4">
        <v>0</v>
      </c>
      <c r="P1885" s="4">
        <v>-1.8189894035458565E-12</v>
      </c>
      <c r="Q1885" s="4">
        <v>0</v>
      </c>
      <c r="S1885" s="8">
        <f t="shared" si="87"/>
        <v>-3042.248333333333</v>
      </c>
      <c r="T1885" s="8">
        <f t="shared" si="88"/>
        <v>3042.248333333333</v>
      </c>
      <c r="U1885" s="9">
        <f t="shared" si="89"/>
        <v>-1</v>
      </c>
    </row>
    <row r="1886" spans="1:21" outlineLevel="2">
      <c r="A1886" t="s">
        <v>539</v>
      </c>
      <c r="B1886" t="s">
        <v>540</v>
      </c>
      <c r="C1886" t="s">
        <v>144</v>
      </c>
      <c r="D1886" t="s">
        <v>145</v>
      </c>
      <c r="E1886" s="4">
        <v>9927.5400000000009</v>
      </c>
      <c r="F1886" s="4">
        <v>1078.0099999999998</v>
      </c>
      <c r="G1886" s="4">
        <v>-11005.55</v>
      </c>
      <c r="H1886" s="4">
        <v>-2.8421709430404007E-13</v>
      </c>
      <c r="I1886" s="4">
        <v>0</v>
      </c>
      <c r="J1886" s="4">
        <v>0</v>
      </c>
      <c r="K1886" s="4">
        <v>-276.31999999999982</v>
      </c>
      <c r="L1886" s="4">
        <v>276.32000000000016</v>
      </c>
      <c r="M1886" s="4">
        <v>-2.8421709430404007E-13</v>
      </c>
      <c r="N1886" s="4">
        <v>0</v>
      </c>
      <c r="O1886" s="4">
        <v>0</v>
      </c>
      <c r="P1886" s="4">
        <v>1.4210854715202004E-14</v>
      </c>
      <c r="Q1886" s="4">
        <v>0</v>
      </c>
      <c r="S1886" s="8">
        <f t="shared" si="87"/>
        <v>46.053333333333313</v>
      </c>
      <c r="T1886" s="8">
        <f t="shared" si="88"/>
        <v>-46.053333333333313</v>
      </c>
      <c r="U1886" s="9">
        <f t="shared" si="89"/>
        <v>-1</v>
      </c>
    </row>
    <row r="1887" spans="1:21" outlineLevel="2">
      <c r="A1887" t="s">
        <v>539</v>
      </c>
      <c r="B1887" t="s">
        <v>540</v>
      </c>
      <c r="C1887" t="s">
        <v>146</v>
      </c>
      <c r="D1887" t="s">
        <v>147</v>
      </c>
      <c r="E1887" s="4">
        <v>0</v>
      </c>
      <c r="F1887" s="4">
        <v>-2.8421709430404007E-14</v>
      </c>
      <c r="G1887" s="4">
        <v>1.1368683772161603E-13</v>
      </c>
      <c r="H1887" s="4">
        <v>0</v>
      </c>
      <c r="I1887" s="4">
        <v>0</v>
      </c>
      <c r="J1887" s="4">
        <v>4.5474735088646412E-13</v>
      </c>
      <c r="K1887" s="4">
        <v>454.20999999999992</v>
      </c>
      <c r="L1887" s="4">
        <v>-454.21000000000004</v>
      </c>
      <c r="M1887" s="4">
        <v>15.809999999999945</v>
      </c>
      <c r="N1887" s="4">
        <v>-15.809999999999945</v>
      </c>
      <c r="O1887" s="4">
        <v>0</v>
      </c>
      <c r="P1887" s="4">
        <v>2.2737367544323206E-13</v>
      </c>
      <c r="Q1887" s="4">
        <v>0</v>
      </c>
      <c r="S1887" s="8">
        <f t="shared" si="87"/>
        <v>-75.70166666666664</v>
      </c>
      <c r="T1887" s="8">
        <f t="shared" si="88"/>
        <v>75.70166666666664</v>
      </c>
      <c r="U1887" s="9">
        <f t="shared" si="89"/>
        <v>-1</v>
      </c>
    </row>
    <row r="1888" spans="1:21" outlineLevel="2">
      <c r="A1888" t="s">
        <v>539</v>
      </c>
      <c r="B1888" t="s">
        <v>540</v>
      </c>
      <c r="C1888" t="s">
        <v>150</v>
      </c>
      <c r="D1888" t="s">
        <v>151</v>
      </c>
      <c r="E1888" s="4">
        <v>0</v>
      </c>
      <c r="F1888" s="4">
        <v>0</v>
      </c>
      <c r="G1888" s="4">
        <v>0</v>
      </c>
      <c r="H1888" s="4">
        <v>0</v>
      </c>
      <c r="I1888" s="4">
        <v>3330.92</v>
      </c>
      <c r="J1888" s="4">
        <v>5151.82</v>
      </c>
      <c r="K1888" s="4">
        <v>0</v>
      </c>
      <c r="L1888" s="4">
        <v>0</v>
      </c>
      <c r="M1888" s="4">
        <v>-8482.74</v>
      </c>
      <c r="N1888" s="4">
        <v>0</v>
      </c>
      <c r="O1888" s="4">
        <v>0</v>
      </c>
      <c r="P1888" s="4">
        <v>0</v>
      </c>
      <c r="Q1888" s="4">
        <v>0</v>
      </c>
      <c r="S1888" s="8">
        <f t="shared" si="87"/>
        <v>-1413.79</v>
      </c>
      <c r="T1888" s="8">
        <f t="shared" si="88"/>
        <v>1413.79</v>
      </c>
      <c r="U1888" s="9">
        <f t="shared" si="89"/>
        <v>-1</v>
      </c>
    </row>
    <row r="1889" spans="1:21" outlineLevel="2">
      <c r="A1889" t="s">
        <v>539</v>
      </c>
      <c r="B1889" t="s">
        <v>540</v>
      </c>
      <c r="C1889" t="s">
        <v>152</v>
      </c>
      <c r="D1889" t="s">
        <v>153</v>
      </c>
      <c r="E1889" s="4">
        <v>4.5474735088646412E-13</v>
      </c>
      <c r="F1889" s="4">
        <v>-3.4106051316484809E-13</v>
      </c>
      <c r="G1889" s="4">
        <v>-4.5474735088646412E-13</v>
      </c>
      <c r="H1889" s="4">
        <v>0</v>
      </c>
      <c r="I1889" s="4">
        <v>0</v>
      </c>
      <c r="J1889" s="4">
        <v>0</v>
      </c>
      <c r="K1889" s="4">
        <v>1374.0400000000002</v>
      </c>
      <c r="L1889" s="4">
        <v>-1374.04</v>
      </c>
      <c r="M1889" s="4">
        <v>-2.2737367544323206E-13</v>
      </c>
      <c r="N1889" s="4">
        <v>0</v>
      </c>
      <c r="O1889" s="4">
        <v>0</v>
      </c>
      <c r="P1889" s="4">
        <v>-1.1368683772161603E-13</v>
      </c>
      <c r="Q1889" s="4">
        <v>0</v>
      </c>
      <c r="S1889" s="8">
        <f t="shared" si="87"/>
        <v>-229.00666666666675</v>
      </c>
      <c r="T1889" s="8">
        <f t="shared" si="88"/>
        <v>229.00666666666675</v>
      </c>
      <c r="U1889" s="9">
        <f t="shared" si="89"/>
        <v>-1</v>
      </c>
    </row>
    <row r="1890" spans="1:21" outlineLevel="2">
      <c r="A1890" t="s">
        <v>539</v>
      </c>
      <c r="B1890" t="s">
        <v>540</v>
      </c>
      <c r="C1890" t="s">
        <v>154</v>
      </c>
      <c r="D1890" t="s">
        <v>155</v>
      </c>
      <c r="E1890" s="4">
        <v>0</v>
      </c>
      <c r="F1890" s="4">
        <v>0</v>
      </c>
      <c r="G1890" s="4">
        <v>0</v>
      </c>
      <c r="H1890" s="4">
        <v>0</v>
      </c>
      <c r="I1890" s="4">
        <v>0</v>
      </c>
      <c r="J1890" s="4">
        <v>0</v>
      </c>
      <c r="K1890" s="4">
        <v>0</v>
      </c>
      <c r="L1890" s="4">
        <v>0</v>
      </c>
      <c r="M1890" s="4">
        <v>0</v>
      </c>
      <c r="N1890" s="4">
        <v>0</v>
      </c>
      <c r="O1890" s="4">
        <v>0</v>
      </c>
      <c r="P1890" s="4">
        <v>0</v>
      </c>
      <c r="Q1890" s="4">
        <v>0</v>
      </c>
      <c r="S1890" s="8">
        <f t="shared" si="87"/>
        <v>0</v>
      </c>
      <c r="T1890" s="8">
        <f t="shared" si="88"/>
        <v>0</v>
      </c>
      <c r="U1890" s="9" t="e">
        <f t="shared" si="89"/>
        <v>#DIV/0!</v>
      </c>
    </row>
    <row r="1891" spans="1:21" outlineLevel="2">
      <c r="A1891" t="s">
        <v>539</v>
      </c>
      <c r="B1891" t="s">
        <v>540</v>
      </c>
      <c r="C1891" t="s">
        <v>158</v>
      </c>
      <c r="D1891" t="s">
        <v>159</v>
      </c>
      <c r="E1891" s="4">
        <v>0</v>
      </c>
      <c r="F1891" s="4">
        <v>0</v>
      </c>
      <c r="G1891" s="4">
        <v>0</v>
      </c>
      <c r="H1891" s="4">
        <v>5.6843418860808015E-14</v>
      </c>
      <c r="I1891" s="4">
        <v>0</v>
      </c>
      <c r="J1891" s="4">
        <v>0</v>
      </c>
      <c r="K1891" s="4">
        <v>0</v>
      </c>
      <c r="L1891" s="4">
        <v>0</v>
      </c>
      <c r="M1891" s="4">
        <v>0</v>
      </c>
      <c r="N1891" s="4">
        <v>0</v>
      </c>
      <c r="O1891" s="4">
        <v>0</v>
      </c>
      <c r="P1891" s="4">
        <v>0</v>
      </c>
      <c r="Q1891" s="4">
        <v>0</v>
      </c>
      <c r="S1891" s="8">
        <f t="shared" si="87"/>
        <v>0</v>
      </c>
      <c r="T1891" s="8">
        <f t="shared" si="88"/>
        <v>0</v>
      </c>
      <c r="U1891" s="9" t="e">
        <f t="shared" si="89"/>
        <v>#DIV/0!</v>
      </c>
    </row>
    <row r="1892" spans="1:21" outlineLevel="2">
      <c r="A1892" t="s">
        <v>539</v>
      </c>
      <c r="B1892" t="s">
        <v>540</v>
      </c>
      <c r="C1892" t="s">
        <v>160</v>
      </c>
      <c r="D1892" t="s">
        <v>161</v>
      </c>
      <c r="E1892" s="4">
        <v>0</v>
      </c>
      <c r="F1892" s="4">
        <v>0</v>
      </c>
      <c r="G1892" s="4">
        <v>0</v>
      </c>
      <c r="H1892" s="4">
        <v>0</v>
      </c>
      <c r="I1892" s="4">
        <v>0</v>
      </c>
      <c r="J1892" s="4">
        <v>0</v>
      </c>
      <c r="K1892" s="4">
        <v>0</v>
      </c>
      <c r="L1892" s="4">
        <v>0</v>
      </c>
      <c r="M1892" s="4">
        <v>138.91999999999999</v>
      </c>
      <c r="N1892" s="4">
        <v>-138.91999999999999</v>
      </c>
      <c r="O1892" s="4">
        <v>0</v>
      </c>
      <c r="P1892" s="4">
        <v>0</v>
      </c>
      <c r="Q1892" s="4">
        <v>0</v>
      </c>
      <c r="S1892" s="8">
        <f t="shared" si="87"/>
        <v>0</v>
      </c>
      <c r="T1892" s="8">
        <f t="shared" si="88"/>
        <v>0</v>
      </c>
      <c r="U1892" s="9" t="e">
        <f t="shared" si="89"/>
        <v>#DIV/0!</v>
      </c>
    </row>
    <row r="1893" spans="1:21" outlineLevel="2">
      <c r="A1893" t="s">
        <v>539</v>
      </c>
      <c r="B1893" t="s">
        <v>540</v>
      </c>
      <c r="C1893" t="s">
        <v>164</v>
      </c>
      <c r="D1893" t="s">
        <v>165</v>
      </c>
      <c r="E1893" s="4">
        <v>0</v>
      </c>
      <c r="F1893" s="4">
        <v>0</v>
      </c>
      <c r="G1893" s="4">
        <v>0</v>
      </c>
      <c r="H1893" s="4">
        <v>0</v>
      </c>
      <c r="I1893" s="4">
        <v>0</v>
      </c>
      <c r="J1893" s="4">
        <v>0</v>
      </c>
      <c r="K1893" s="4">
        <v>70</v>
      </c>
      <c r="L1893" s="4">
        <v>-70</v>
      </c>
      <c r="M1893" s="4">
        <v>0</v>
      </c>
      <c r="N1893" s="4">
        <v>0</v>
      </c>
      <c r="O1893" s="4">
        <v>0</v>
      </c>
      <c r="P1893" s="4">
        <v>0</v>
      </c>
      <c r="Q1893" s="4">
        <v>0</v>
      </c>
      <c r="S1893" s="8">
        <f t="shared" si="87"/>
        <v>-11.666666666666666</v>
      </c>
      <c r="T1893" s="8">
        <f t="shared" si="88"/>
        <v>11.666666666666666</v>
      </c>
      <c r="U1893" s="9">
        <f t="shared" si="89"/>
        <v>-1</v>
      </c>
    </row>
    <row r="1894" spans="1:21" outlineLevel="2">
      <c r="A1894" t="s">
        <v>539</v>
      </c>
      <c r="B1894" t="s">
        <v>540</v>
      </c>
      <c r="C1894" t="s">
        <v>83</v>
      </c>
      <c r="D1894" t="s">
        <v>84</v>
      </c>
      <c r="E1894" s="4">
        <v>0</v>
      </c>
      <c r="F1894" s="4">
        <v>0</v>
      </c>
      <c r="G1894" s="4">
        <v>0</v>
      </c>
      <c r="H1894" s="4">
        <v>0</v>
      </c>
      <c r="I1894" s="4">
        <v>0</v>
      </c>
      <c r="J1894" s="4">
        <v>0</v>
      </c>
      <c r="K1894" s="4">
        <v>0</v>
      </c>
      <c r="L1894" s="4">
        <v>0</v>
      </c>
      <c r="M1894" s="4">
        <v>0</v>
      </c>
      <c r="N1894" s="4">
        <v>0</v>
      </c>
      <c r="O1894" s="4">
        <v>0</v>
      </c>
      <c r="P1894" s="4">
        <v>0</v>
      </c>
      <c r="Q1894" s="4">
        <v>0</v>
      </c>
      <c r="S1894" s="8">
        <f t="shared" si="87"/>
        <v>0</v>
      </c>
      <c r="T1894" s="8">
        <f t="shared" si="88"/>
        <v>0</v>
      </c>
      <c r="U1894" s="9" t="e">
        <f t="shared" si="89"/>
        <v>#DIV/0!</v>
      </c>
    </row>
    <row r="1895" spans="1:21" outlineLevel="2">
      <c r="A1895" t="s">
        <v>539</v>
      </c>
      <c r="B1895" t="s">
        <v>540</v>
      </c>
      <c r="C1895" t="s">
        <v>93</v>
      </c>
      <c r="D1895" t="s">
        <v>94</v>
      </c>
      <c r="E1895" s="4">
        <v>0</v>
      </c>
      <c r="F1895" s="4">
        <v>0</v>
      </c>
      <c r="G1895" s="4">
        <v>0</v>
      </c>
      <c r="H1895" s="4">
        <v>0</v>
      </c>
      <c r="I1895" s="4">
        <v>0</v>
      </c>
      <c r="J1895" s="4">
        <v>0</v>
      </c>
      <c r="K1895" s="4">
        <v>0</v>
      </c>
      <c r="L1895" s="4">
        <v>0</v>
      </c>
      <c r="M1895" s="4">
        <v>0</v>
      </c>
      <c r="N1895" s="4">
        <v>0</v>
      </c>
      <c r="O1895" s="4">
        <v>0</v>
      </c>
      <c r="P1895" s="4">
        <v>0</v>
      </c>
      <c r="Q1895" s="4">
        <v>0</v>
      </c>
      <c r="S1895" s="8">
        <f t="shared" si="87"/>
        <v>0</v>
      </c>
      <c r="T1895" s="8">
        <f t="shared" si="88"/>
        <v>0</v>
      </c>
      <c r="U1895" s="9" t="e">
        <f t="shared" si="89"/>
        <v>#DIV/0!</v>
      </c>
    </row>
    <row r="1896" spans="1:21" outlineLevel="1">
      <c r="A1896" s="1" t="s">
        <v>826</v>
      </c>
      <c r="E1896" s="4">
        <f>SUBTOTAL(9,E1881:E1895)</f>
        <v>9927.5400000000045</v>
      </c>
      <c r="F1896" s="4">
        <f>SUBTOTAL(9,F1881:F1895)</f>
        <v>1078.0099999999975</v>
      </c>
      <c r="G1896" s="4">
        <f>SUBTOTAL(9,G1881:G1895)</f>
        <v>-11005.549999999996</v>
      </c>
      <c r="H1896" s="4">
        <f>SUBTOTAL(9,H1881:H1895)</f>
        <v>7.0485839387401938E-12</v>
      </c>
      <c r="I1896" s="4">
        <f>SUBTOTAL(9,I1881:I1895)</f>
        <v>3330.9200000000005</v>
      </c>
      <c r="J1896" s="4">
        <f>SUBTOTAL(9,J1881:J1895)</f>
        <v>5151.8200000000033</v>
      </c>
      <c r="K1896" s="4">
        <f>SUBTOTAL(9,K1881:K1895)</f>
        <v>19875.420000000006</v>
      </c>
      <c r="L1896" s="4">
        <f>SUBTOTAL(9,L1881:L1895)</f>
        <v>-19875.419999999998</v>
      </c>
      <c r="M1896" s="4">
        <f>SUBTOTAL(9,M1881:M1895)</f>
        <v>-8328.01</v>
      </c>
      <c r="N1896" s="4">
        <f>SUBTOTAL(9,N1881:N1895)</f>
        <v>-154.72999999999641</v>
      </c>
      <c r="O1896" s="4">
        <f>SUBTOTAL(9,O1881:O1895)</f>
        <v>0</v>
      </c>
      <c r="P1896" s="4">
        <f>SUBTOTAL(9,P1881:P1895)</f>
        <v>-1.6910917111090384E-12</v>
      </c>
      <c r="Q1896" s="4">
        <f>SUBTOTAL(9,Q1881:Q1895)</f>
        <v>0</v>
      </c>
      <c r="R1896" s="4">
        <f>SUBTOTAL(9,R1881:R1895)</f>
        <v>0</v>
      </c>
      <c r="S1896" s="8">
        <f t="shared" si="87"/>
        <v>-4726.3599999999997</v>
      </c>
      <c r="T1896" s="8">
        <f t="shared" si="88"/>
        <v>4726.3599999999997</v>
      </c>
      <c r="U1896" s="9">
        <f t="shared" si="89"/>
        <v>-1</v>
      </c>
    </row>
    <row r="1897" spans="1:21" outlineLevel="2">
      <c r="A1897" t="s">
        <v>541</v>
      </c>
      <c r="B1897" t="s">
        <v>542</v>
      </c>
      <c r="C1897" t="s">
        <v>21</v>
      </c>
      <c r="D1897" t="s">
        <v>22</v>
      </c>
      <c r="E1897" s="4">
        <v>0</v>
      </c>
      <c r="F1897" s="4">
        <v>0</v>
      </c>
      <c r="G1897" s="4">
        <v>0</v>
      </c>
      <c r="H1897" s="4">
        <v>0</v>
      </c>
      <c r="I1897" s="4">
        <v>0</v>
      </c>
      <c r="J1897" s="4">
        <v>0</v>
      </c>
      <c r="K1897" s="4">
        <v>0</v>
      </c>
      <c r="L1897" s="4">
        <v>0</v>
      </c>
      <c r="M1897" s="4">
        <v>0</v>
      </c>
      <c r="N1897" s="4">
        <v>0</v>
      </c>
      <c r="O1897" s="4">
        <v>0</v>
      </c>
      <c r="P1897" s="4">
        <v>0</v>
      </c>
      <c r="Q1897" s="4">
        <v>0</v>
      </c>
      <c r="S1897" s="8">
        <f t="shared" si="87"/>
        <v>0</v>
      </c>
      <c r="T1897" s="8">
        <f t="shared" si="88"/>
        <v>0</v>
      </c>
      <c r="U1897" s="9" t="e">
        <f t="shared" si="89"/>
        <v>#DIV/0!</v>
      </c>
    </row>
    <row r="1898" spans="1:21" outlineLevel="2">
      <c r="A1898" t="s">
        <v>541</v>
      </c>
      <c r="B1898" t="s">
        <v>542</v>
      </c>
      <c r="C1898" t="s">
        <v>136</v>
      </c>
      <c r="D1898" t="s">
        <v>137</v>
      </c>
      <c r="E1898" s="4">
        <v>1.8189894035458565E-12</v>
      </c>
      <c r="F1898" s="4">
        <v>2.2737367544323206E-13</v>
      </c>
      <c r="G1898" s="4">
        <v>4.5474735088646412E-13</v>
      </c>
      <c r="H1898" s="4">
        <v>9.0949470177292824E-13</v>
      </c>
      <c r="I1898" s="4">
        <v>1.8189894035458565E-12</v>
      </c>
      <c r="J1898" s="4">
        <v>0</v>
      </c>
      <c r="K1898" s="4">
        <v>9418.34</v>
      </c>
      <c r="L1898" s="4">
        <v>-9418.34</v>
      </c>
      <c r="M1898" s="4">
        <v>-9.0949470177292824E-13</v>
      </c>
      <c r="N1898" s="4">
        <v>-1.8189894035458565E-12</v>
      </c>
      <c r="O1898" s="4">
        <v>-1.8189894035458565E-12</v>
      </c>
      <c r="P1898" s="4">
        <v>0</v>
      </c>
      <c r="Q1898" s="4">
        <v>0</v>
      </c>
      <c r="S1898" s="8">
        <f t="shared" si="87"/>
        <v>-1569.723333333334</v>
      </c>
      <c r="T1898" s="8">
        <f t="shared" si="88"/>
        <v>1569.723333333334</v>
      </c>
      <c r="U1898" s="9">
        <f t="shared" si="89"/>
        <v>-1</v>
      </c>
    </row>
    <row r="1899" spans="1:21" outlineLevel="2">
      <c r="A1899" t="s">
        <v>541</v>
      </c>
      <c r="B1899" t="s">
        <v>542</v>
      </c>
      <c r="C1899" t="s">
        <v>138</v>
      </c>
      <c r="D1899" t="s">
        <v>139</v>
      </c>
      <c r="E1899" s="4">
        <v>0</v>
      </c>
      <c r="F1899" s="4">
        <v>-4.5474735088646412E-13</v>
      </c>
      <c r="G1899" s="4">
        <v>-9.0949470177292824E-13</v>
      </c>
      <c r="H1899" s="4">
        <v>3.637978807091713E-12</v>
      </c>
      <c r="I1899" s="4">
        <v>0</v>
      </c>
      <c r="J1899" s="4">
        <v>0</v>
      </c>
      <c r="K1899" s="4">
        <v>15015.39</v>
      </c>
      <c r="L1899" s="4">
        <v>-15015.39</v>
      </c>
      <c r="M1899" s="4">
        <v>-9.0949470177292824E-13</v>
      </c>
      <c r="N1899" s="4">
        <v>0</v>
      </c>
      <c r="O1899" s="4">
        <v>0</v>
      </c>
      <c r="P1899" s="4">
        <v>-3.637978807091713E-12</v>
      </c>
      <c r="Q1899" s="4">
        <v>0</v>
      </c>
      <c r="S1899" s="8">
        <f t="shared" si="87"/>
        <v>-2502.5650000000005</v>
      </c>
      <c r="T1899" s="8">
        <f t="shared" si="88"/>
        <v>2502.5650000000005</v>
      </c>
      <c r="U1899" s="9">
        <f t="shared" si="89"/>
        <v>-1</v>
      </c>
    </row>
    <row r="1900" spans="1:21" outlineLevel="2">
      <c r="A1900" t="s">
        <v>541</v>
      </c>
      <c r="B1900" t="s">
        <v>542</v>
      </c>
      <c r="C1900" t="s">
        <v>29</v>
      </c>
      <c r="D1900" t="s">
        <v>30</v>
      </c>
      <c r="E1900" s="4">
        <v>0</v>
      </c>
      <c r="F1900" s="4">
        <v>-9.0949470177292824E-13</v>
      </c>
      <c r="G1900" s="4">
        <v>1.2789769243681803E-12</v>
      </c>
      <c r="H1900" s="4">
        <v>1.8189894035458565E-12</v>
      </c>
      <c r="I1900" s="4">
        <v>0</v>
      </c>
      <c r="J1900" s="4">
        <v>0</v>
      </c>
      <c r="K1900" s="4">
        <v>9801.5</v>
      </c>
      <c r="L1900" s="4">
        <v>-9801.4999999999982</v>
      </c>
      <c r="M1900" s="4">
        <v>-2.2737367544323206E-13</v>
      </c>
      <c r="N1900" s="4">
        <v>0</v>
      </c>
      <c r="O1900" s="4">
        <v>0</v>
      </c>
      <c r="P1900" s="4">
        <v>0</v>
      </c>
      <c r="Q1900" s="4">
        <v>0</v>
      </c>
      <c r="S1900" s="8">
        <f t="shared" si="87"/>
        <v>-1633.583333333333</v>
      </c>
      <c r="T1900" s="8">
        <f t="shared" si="88"/>
        <v>1633.583333333333</v>
      </c>
      <c r="U1900" s="9">
        <f t="shared" si="89"/>
        <v>-1</v>
      </c>
    </row>
    <row r="1901" spans="1:21" outlineLevel="2">
      <c r="A1901" t="s">
        <v>541</v>
      </c>
      <c r="B1901" t="s">
        <v>542</v>
      </c>
      <c r="C1901" t="s">
        <v>31</v>
      </c>
      <c r="D1901" t="s">
        <v>32</v>
      </c>
      <c r="E1901" s="4">
        <v>0</v>
      </c>
      <c r="F1901" s="4">
        <v>0</v>
      </c>
      <c r="G1901" s="4">
        <v>0</v>
      </c>
      <c r="H1901" s="4">
        <v>0</v>
      </c>
      <c r="I1901" s="4">
        <v>0</v>
      </c>
      <c r="J1901" s="4">
        <v>0</v>
      </c>
      <c r="K1901" s="4">
        <v>0</v>
      </c>
      <c r="L1901" s="4">
        <v>0</v>
      </c>
      <c r="M1901" s="4">
        <v>0</v>
      </c>
      <c r="N1901" s="4">
        <v>0</v>
      </c>
      <c r="O1901" s="4">
        <v>0</v>
      </c>
      <c r="P1901" s="4">
        <v>0</v>
      </c>
      <c r="Q1901" s="4">
        <v>0</v>
      </c>
      <c r="S1901" s="8">
        <f t="shared" si="87"/>
        <v>0</v>
      </c>
      <c r="T1901" s="8">
        <f t="shared" si="88"/>
        <v>0</v>
      </c>
      <c r="U1901" s="9" t="e">
        <f t="shared" si="89"/>
        <v>#DIV/0!</v>
      </c>
    </row>
    <row r="1902" spans="1:21" outlineLevel="2">
      <c r="A1902" t="s">
        <v>541</v>
      </c>
      <c r="B1902" t="s">
        <v>542</v>
      </c>
      <c r="C1902" t="s">
        <v>144</v>
      </c>
      <c r="D1902" t="s">
        <v>145</v>
      </c>
      <c r="E1902" s="4">
        <v>5.6843418860808015E-14</v>
      </c>
      <c r="F1902" s="4">
        <v>720.62999999999977</v>
      </c>
      <c r="G1902" s="4">
        <v>-720.62999999999988</v>
      </c>
      <c r="H1902" s="4">
        <v>0</v>
      </c>
      <c r="I1902" s="4">
        <v>0</v>
      </c>
      <c r="J1902" s="4">
        <v>0</v>
      </c>
      <c r="K1902" s="4">
        <v>-1745.64</v>
      </c>
      <c r="L1902" s="4">
        <v>1745.6400000000008</v>
      </c>
      <c r="M1902" s="4">
        <v>-1.1368683772161603E-13</v>
      </c>
      <c r="N1902" s="4">
        <v>0</v>
      </c>
      <c r="O1902" s="4">
        <v>0</v>
      </c>
      <c r="P1902" s="4">
        <v>0</v>
      </c>
      <c r="Q1902" s="4">
        <v>0</v>
      </c>
      <c r="S1902" s="8">
        <f t="shared" si="87"/>
        <v>290.94000000000011</v>
      </c>
      <c r="T1902" s="8">
        <f t="shared" si="88"/>
        <v>-290.94000000000011</v>
      </c>
      <c r="U1902" s="9">
        <f t="shared" si="89"/>
        <v>-1</v>
      </c>
    </row>
    <row r="1903" spans="1:21" outlineLevel="2">
      <c r="A1903" t="s">
        <v>541</v>
      </c>
      <c r="B1903" t="s">
        <v>542</v>
      </c>
      <c r="C1903" t="s">
        <v>146</v>
      </c>
      <c r="D1903" t="s">
        <v>147</v>
      </c>
      <c r="E1903" s="4">
        <v>0</v>
      </c>
      <c r="F1903" s="4">
        <v>1.7053025658242404E-13</v>
      </c>
      <c r="G1903" s="4">
        <v>1.5454304502782179E-13</v>
      </c>
      <c r="H1903" s="4">
        <v>-2.2737367544323206E-13</v>
      </c>
      <c r="I1903" s="4">
        <v>4.5474735088646412E-13</v>
      </c>
      <c r="J1903" s="4">
        <v>-4.5474735088646412E-13</v>
      </c>
      <c r="K1903" s="4">
        <v>3416.12</v>
      </c>
      <c r="L1903" s="4">
        <v>-3416.1199999999994</v>
      </c>
      <c r="M1903" s="4">
        <v>61.350000000000136</v>
      </c>
      <c r="N1903" s="4">
        <v>-61.349999999999909</v>
      </c>
      <c r="O1903" s="4">
        <v>2.2737367544323206E-13</v>
      </c>
      <c r="P1903" s="4">
        <v>-4.5474735088646412E-13</v>
      </c>
      <c r="Q1903" s="4">
        <v>0</v>
      </c>
      <c r="S1903" s="8">
        <f t="shared" si="87"/>
        <v>-569.35333333333324</v>
      </c>
      <c r="T1903" s="8">
        <f t="shared" si="88"/>
        <v>569.35333333333324</v>
      </c>
      <c r="U1903" s="9">
        <f t="shared" si="89"/>
        <v>-1</v>
      </c>
    </row>
    <row r="1904" spans="1:21" outlineLevel="2">
      <c r="A1904" t="s">
        <v>541</v>
      </c>
      <c r="B1904" t="s">
        <v>542</v>
      </c>
      <c r="C1904" t="s">
        <v>150</v>
      </c>
      <c r="D1904" t="s">
        <v>151</v>
      </c>
      <c r="E1904" s="4">
        <v>0</v>
      </c>
      <c r="F1904" s="4">
        <v>0</v>
      </c>
      <c r="G1904" s="4">
        <v>-4.5474735088646412E-13</v>
      </c>
      <c r="H1904" s="4">
        <v>4.5474735088646412E-13</v>
      </c>
      <c r="I1904" s="4">
        <v>921.47</v>
      </c>
      <c r="J1904" s="4">
        <v>1425.21</v>
      </c>
      <c r="K1904" s="4">
        <v>0</v>
      </c>
      <c r="L1904" s="4">
        <v>0</v>
      </c>
      <c r="M1904" s="4">
        <v>-2346.6799999999998</v>
      </c>
      <c r="N1904" s="4">
        <v>0</v>
      </c>
      <c r="O1904" s="4">
        <v>0</v>
      </c>
      <c r="P1904" s="4">
        <v>0</v>
      </c>
      <c r="Q1904" s="4">
        <v>0</v>
      </c>
      <c r="S1904" s="8">
        <f t="shared" si="87"/>
        <v>-391.11333333333329</v>
      </c>
      <c r="T1904" s="8">
        <f t="shared" si="88"/>
        <v>391.11333333333329</v>
      </c>
      <c r="U1904" s="9">
        <f t="shared" si="89"/>
        <v>-1</v>
      </c>
    </row>
    <row r="1905" spans="1:22" outlineLevel="2">
      <c r="A1905" t="s">
        <v>541</v>
      </c>
      <c r="B1905" t="s">
        <v>542</v>
      </c>
      <c r="C1905" t="s">
        <v>152</v>
      </c>
      <c r="D1905" t="s">
        <v>153</v>
      </c>
      <c r="E1905" s="4">
        <v>0</v>
      </c>
      <c r="F1905" s="4">
        <v>0</v>
      </c>
      <c r="G1905" s="4">
        <v>4.0856207306205761E-14</v>
      </c>
      <c r="H1905" s="4">
        <v>-2.2737367544323206E-13</v>
      </c>
      <c r="I1905" s="4">
        <v>0</v>
      </c>
      <c r="J1905" s="4">
        <v>0</v>
      </c>
      <c r="K1905" s="4">
        <v>2739.48</v>
      </c>
      <c r="L1905" s="4">
        <v>-2739.4800000000005</v>
      </c>
      <c r="M1905" s="4">
        <v>1.1368683772161603E-13</v>
      </c>
      <c r="N1905" s="4">
        <v>0</v>
      </c>
      <c r="O1905" s="4">
        <v>2.2737367544323206E-13</v>
      </c>
      <c r="P1905" s="4">
        <v>0</v>
      </c>
      <c r="Q1905" s="4">
        <v>0</v>
      </c>
      <c r="S1905" s="8">
        <f t="shared" si="87"/>
        <v>-456.5800000000001</v>
      </c>
      <c r="T1905" s="8">
        <f t="shared" si="88"/>
        <v>456.5800000000001</v>
      </c>
      <c r="U1905" s="9">
        <f t="shared" si="89"/>
        <v>-1</v>
      </c>
    </row>
    <row r="1906" spans="1:22" outlineLevel="2">
      <c r="A1906" t="s">
        <v>541</v>
      </c>
      <c r="B1906" t="s">
        <v>542</v>
      </c>
      <c r="C1906" t="s">
        <v>154</v>
      </c>
      <c r="D1906" t="s">
        <v>155</v>
      </c>
      <c r="E1906" s="4">
        <v>0</v>
      </c>
      <c r="F1906" s="4">
        <v>0</v>
      </c>
      <c r="G1906" s="4">
        <v>0</v>
      </c>
      <c r="H1906" s="4">
        <v>0</v>
      </c>
      <c r="I1906" s="4">
        <v>0</v>
      </c>
      <c r="J1906" s="4">
        <v>0</v>
      </c>
      <c r="K1906" s="4">
        <v>0</v>
      </c>
      <c r="L1906" s="4">
        <v>0</v>
      </c>
      <c r="M1906" s="4">
        <v>0</v>
      </c>
      <c r="N1906" s="4">
        <v>0</v>
      </c>
      <c r="O1906" s="4">
        <v>0</v>
      </c>
      <c r="P1906" s="4">
        <v>0</v>
      </c>
      <c r="Q1906" s="4">
        <v>0</v>
      </c>
      <c r="S1906" s="8">
        <f t="shared" si="87"/>
        <v>0</v>
      </c>
      <c r="T1906" s="8">
        <f t="shared" si="88"/>
        <v>0</v>
      </c>
      <c r="U1906" s="9" t="e">
        <f t="shared" si="89"/>
        <v>#DIV/0!</v>
      </c>
    </row>
    <row r="1907" spans="1:22" outlineLevel="2">
      <c r="A1907" t="s">
        <v>541</v>
      </c>
      <c r="B1907" t="s">
        <v>542</v>
      </c>
      <c r="C1907" t="s">
        <v>158</v>
      </c>
      <c r="D1907" t="s">
        <v>159</v>
      </c>
      <c r="E1907" s="4">
        <v>0</v>
      </c>
      <c r="F1907" s="4">
        <v>0</v>
      </c>
      <c r="G1907" s="4">
        <v>2.2737367544323206E-13</v>
      </c>
      <c r="H1907" s="4">
        <v>0</v>
      </c>
      <c r="I1907" s="4">
        <v>0</v>
      </c>
      <c r="J1907" s="4">
        <v>0</v>
      </c>
      <c r="K1907" s="4">
        <v>0</v>
      </c>
      <c r="L1907" s="4">
        <v>0</v>
      </c>
      <c r="M1907" s="4">
        <v>0</v>
      </c>
      <c r="N1907" s="4">
        <v>0</v>
      </c>
      <c r="O1907" s="4">
        <v>0</v>
      </c>
      <c r="P1907" s="4">
        <v>0</v>
      </c>
      <c r="Q1907" s="4">
        <v>0</v>
      </c>
      <c r="S1907" s="8">
        <f t="shared" si="87"/>
        <v>0</v>
      </c>
      <c r="T1907" s="8">
        <f t="shared" si="88"/>
        <v>0</v>
      </c>
      <c r="U1907" s="9" t="e">
        <f t="shared" si="89"/>
        <v>#DIV/0!</v>
      </c>
    </row>
    <row r="1908" spans="1:22" outlineLevel="2">
      <c r="A1908" t="s">
        <v>541</v>
      </c>
      <c r="B1908" t="s">
        <v>542</v>
      </c>
      <c r="C1908" t="s">
        <v>47</v>
      </c>
      <c r="D1908" t="s">
        <v>48</v>
      </c>
      <c r="E1908" s="4">
        <v>0</v>
      </c>
      <c r="F1908" s="4">
        <v>0</v>
      </c>
      <c r="G1908" s="4">
        <v>0</v>
      </c>
      <c r="H1908" s="4">
        <v>1.1368683772161603E-13</v>
      </c>
      <c r="I1908" s="4">
        <v>0</v>
      </c>
      <c r="J1908" s="4">
        <v>0</v>
      </c>
      <c r="K1908" s="4">
        <v>0</v>
      </c>
      <c r="L1908" s="4">
        <v>0</v>
      </c>
      <c r="M1908" s="4">
        <v>0</v>
      </c>
      <c r="N1908" s="4">
        <v>0</v>
      </c>
      <c r="O1908" s="4">
        <v>0</v>
      </c>
      <c r="P1908" s="4">
        <v>0</v>
      </c>
      <c r="Q1908" s="4">
        <v>0</v>
      </c>
      <c r="S1908" s="8">
        <f t="shared" si="87"/>
        <v>0</v>
      </c>
      <c r="T1908" s="8">
        <f t="shared" si="88"/>
        <v>0</v>
      </c>
      <c r="U1908" s="9" t="e">
        <f t="shared" si="89"/>
        <v>#DIV/0!</v>
      </c>
    </row>
    <row r="1909" spans="1:22" outlineLevel="2">
      <c r="A1909" t="s">
        <v>541</v>
      </c>
      <c r="B1909" t="s">
        <v>542</v>
      </c>
      <c r="C1909" t="s">
        <v>49</v>
      </c>
      <c r="D1909" t="s">
        <v>50</v>
      </c>
      <c r="E1909" s="4">
        <v>13494.07</v>
      </c>
      <c r="F1909" s="4">
        <v>0</v>
      </c>
      <c r="G1909" s="4">
        <v>-13494.07</v>
      </c>
      <c r="H1909" s="4">
        <v>-1.1368683772161603E-13</v>
      </c>
      <c r="I1909" s="4">
        <v>0</v>
      </c>
      <c r="J1909" s="4">
        <v>0</v>
      </c>
      <c r="K1909" s="4">
        <v>0</v>
      </c>
      <c r="L1909" s="4">
        <v>0</v>
      </c>
      <c r="M1909" s="4">
        <v>3.637978807091713E-12</v>
      </c>
      <c r="N1909" s="4">
        <v>0</v>
      </c>
      <c r="O1909" s="4">
        <v>0</v>
      </c>
      <c r="P1909" s="4">
        <v>0</v>
      </c>
      <c r="Q1909" s="4">
        <v>0</v>
      </c>
      <c r="S1909" s="8">
        <f t="shared" si="87"/>
        <v>6.0632980118195212E-13</v>
      </c>
      <c r="T1909" s="8">
        <f t="shared" si="88"/>
        <v>-6.0632980118195212E-13</v>
      </c>
      <c r="U1909" s="9">
        <f t="shared" si="89"/>
        <v>-1</v>
      </c>
    </row>
    <row r="1910" spans="1:22" outlineLevel="2">
      <c r="A1910" t="s">
        <v>541</v>
      </c>
      <c r="B1910" t="s">
        <v>542</v>
      </c>
      <c r="C1910" t="s">
        <v>164</v>
      </c>
      <c r="D1910" t="s">
        <v>165</v>
      </c>
      <c r="E1910" s="4">
        <v>0</v>
      </c>
      <c r="F1910" s="4">
        <v>0</v>
      </c>
      <c r="G1910" s="4">
        <v>0</v>
      </c>
      <c r="H1910" s="4">
        <v>0</v>
      </c>
      <c r="I1910" s="4">
        <v>0</v>
      </c>
      <c r="J1910" s="4">
        <v>0</v>
      </c>
      <c r="K1910" s="4">
        <v>70</v>
      </c>
      <c r="L1910" s="4">
        <v>-70</v>
      </c>
      <c r="M1910" s="4">
        <v>0</v>
      </c>
      <c r="N1910" s="4">
        <v>0</v>
      </c>
      <c r="O1910" s="4">
        <v>0</v>
      </c>
      <c r="P1910" s="4">
        <v>0</v>
      </c>
      <c r="Q1910" s="4">
        <v>0</v>
      </c>
      <c r="S1910" s="8">
        <f t="shared" si="87"/>
        <v>-11.666666666666666</v>
      </c>
      <c r="T1910" s="8">
        <f t="shared" si="88"/>
        <v>11.666666666666666</v>
      </c>
      <c r="U1910" s="9">
        <f t="shared" si="89"/>
        <v>-1</v>
      </c>
    </row>
    <row r="1911" spans="1:22" outlineLevel="2">
      <c r="A1911" t="s">
        <v>541</v>
      </c>
      <c r="B1911" t="s">
        <v>542</v>
      </c>
      <c r="C1911" t="s">
        <v>59</v>
      </c>
      <c r="D1911" t="s">
        <v>60</v>
      </c>
      <c r="E1911" s="4">
        <v>0</v>
      </c>
      <c r="F1911" s="4">
        <v>0</v>
      </c>
      <c r="G1911" s="4">
        <v>0</v>
      </c>
      <c r="H1911" s="4">
        <v>0</v>
      </c>
      <c r="I1911" s="4">
        <v>0</v>
      </c>
      <c r="J1911" s="4">
        <v>0</v>
      </c>
      <c r="K1911" s="4">
        <v>0</v>
      </c>
      <c r="L1911" s="4">
        <v>0</v>
      </c>
      <c r="M1911" s="4">
        <v>0</v>
      </c>
      <c r="N1911" s="4">
        <v>0</v>
      </c>
      <c r="O1911" s="4">
        <v>0</v>
      </c>
      <c r="P1911" s="4">
        <v>0</v>
      </c>
      <c r="Q1911" s="4">
        <v>0</v>
      </c>
      <c r="S1911" s="8">
        <f t="shared" si="87"/>
        <v>0</v>
      </c>
      <c r="T1911" s="8">
        <f t="shared" si="88"/>
        <v>0</v>
      </c>
      <c r="U1911" s="9" t="e">
        <f t="shared" si="89"/>
        <v>#DIV/0!</v>
      </c>
    </row>
    <row r="1912" spans="1:22" outlineLevel="2">
      <c r="A1912" t="s">
        <v>541</v>
      </c>
      <c r="B1912" t="s">
        <v>542</v>
      </c>
      <c r="C1912" t="s">
        <v>63</v>
      </c>
      <c r="D1912" t="s">
        <v>64</v>
      </c>
      <c r="E1912" s="4">
        <v>0</v>
      </c>
      <c r="F1912" s="4">
        <v>0</v>
      </c>
      <c r="G1912" s="4">
        <v>0</v>
      </c>
      <c r="H1912" s="4">
        <v>0</v>
      </c>
      <c r="I1912" s="4">
        <v>0</v>
      </c>
      <c r="J1912" s="4">
        <v>0</v>
      </c>
      <c r="K1912" s="4">
        <v>0</v>
      </c>
      <c r="L1912" s="4">
        <v>0</v>
      </c>
      <c r="M1912" s="4">
        <v>0</v>
      </c>
      <c r="N1912" s="4">
        <v>0</v>
      </c>
      <c r="O1912" s="4">
        <v>0</v>
      </c>
      <c r="P1912" s="4">
        <v>0</v>
      </c>
      <c r="Q1912" s="4">
        <v>0</v>
      </c>
      <c r="S1912" s="8">
        <f t="shared" si="87"/>
        <v>0</v>
      </c>
      <c r="T1912" s="8">
        <f t="shared" si="88"/>
        <v>0</v>
      </c>
      <c r="U1912" s="9" t="e">
        <f t="shared" si="89"/>
        <v>#DIV/0!</v>
      </c>
    </row>
    <row r="1913" spans="1:22" outlineLevel="2">
      <c r="A1913" t="s">
        <v>541</v>
      </c>
      <c r="B1913" t="s">
        <v>542</v>
      </c>
      <c r="C1913" t="s">
        <v>503</v>
      </c>
      <c r="D1913" t="s">
        <v>504</v>
      </c>
      <c r="E1913" s="4">
        <v>0</v>
      </c>
      <c r="F1913" s="4">
        <v>0</v>
      </c>
      <c r="G1913" s="4">
        <v>0</v>
      </c>
      <c r="H1913" s="4">
        <v>0</v>
      </c>
      <c r="I1913" s="4">
        <v>0</v>
      </c>
      <c r="J1913" s="4">
        <v>0</v>
      </c>
      <c r="K1913" s="4">
        <v>0</v>
      </c>
      <c r="L1913" s="4">
        <v>0</v>
      </c>
      <c r="M1913" s="4">
        <v>0</v>
      </c>
      <c r="N1913" s="4">
        <v>0</v>
      </c>
      <c r="O1913" s="4">
        <v>0</v>
      </c>
      <c r="P1913" s="4">
        <v>0</v>
      </c>
      <c r="Q1913" s="4">
        <v>0</v>
      </c>
      <c r="R1913" s="4">
        <v>160.63999999999999</v>
      </c>
      <c r="S1913" s="8">
        <f t="shared" si="87"/>
        <v>0</v>
      </c>
      <c r="T1913" s="8">
        <f t="shared" si="88"/>
        <v>160.63999999999999</v>
      </c>
      <c r="U1913" s="9" t="e">
        <f t="shared" si="89"/>
        <v>#DIV/0!</v>
      </c>
      <c r="V1913" t="s">
        <v>895</v>
      </c>
    </row>
    <row r="1914" spans="1:22" outlineLevel="2">
      <c r="A1914" t="s">
        <v>541</v>
      </c>
      <c r="B1914" t="s">
        <v>542</v>
      </c>
      <c r="C1914" t="s">
        <v>83</v>
      </c>
      <c r="D1914" t="s">
        <v>84</v>
      </c>
      <c r="E1914" s="4">
        <v>0</v>
      </c>
      <c r="F1914" s="4">
        <v>0</v>
      </c>
      <c r="G1914" s="4">
        <v>0</v>
      </c>
      <c r="H1914" s="4">
        <v>0</v>
      </c>
      <c r="I1914" s="4">
        <v>0</v>
      </c>
      <c r="J1914" s="4">
        <v>0</v>
      </c>
      <c r="K1914" s="4">
        <v>0</v>
      </c>
      <c r="L1914" s="4">
        <v>0</v>
      </c>
      <c r="M1914" s="4">
        <v>-5.3290705182007514E-15</v>
      </c>
      <c r="N1914" s="4">
        <v>0</v>
      </c>
      <c r="O1914" s="4">
        <v>0</v>
      </c>
      <c r="P1914" s="4">
        <v>0</v>
      </c>
      <c r="Q1914" s="4">
        <v>0</v>
      </c>
      <c r="S1914" s="8">
        <f t="shared" si="87"/>
        <v>-8.8817841970012523E-16</v>
      </c>
      <c r="T1914" s="8">
        <f t="shared" si="88"/>
        <v>8.8817841970012523E-16</v>
      </c>
      <c r="U1914" s="9">
        <f t="shared" si="89"/>
        <v>-1</v>
      </c>
    </row>
    <row r="1915" spans="1:22" outlineLevel="2">
      <c r="A1915" t="s">
        <v>541</v>
      </c>
      <c r="B1915" t="s">
        <v>542</v>
      </c>
      <c r="C1915" t="s">
        <v>85</v>
      </c>
      <c r="D1915" t="s">
        <v>86</v>
      </c>
      <c r="E1915" s="4">
        <v>0</v>
      </c>
      <c r="F1915" s="4">
        <v>0</v>
      </c>
      <c r="G1915" s="4">
        <v>0</v>
      </c>
      <c r="H1915" s="4">
        <v>0</v>
      </c>
      <c r="I1915" s="4">
        <v>0</v>
      </c>
      <c r="J1915" s="4">
        <v>0</v>
      </c>
      <c r="K1915" s="4">
        <v>2.2737367544323206E-13</v>
      </c>
      <c r="L1915" s="4">
        <v>0</v>
      </c>
      <c r="M1915" s="4">
        <v>0</v>
      </c>
      <c r="N1915" s="4">
        <v>0</v>
      </c>
      <c r="O1915" s="4">
        <v>0</v>
      </c>
      <c r="P1915" s="4">
        <v>0</v>
      </c>
      <c r="Q1915" s="4">
        <v>0</v>
      </c>
      <c r="S1915" s="8">
        <f t="shared" si="87"/>
        <v>0</v>
      </c>
      <c r="T1915" s="8">
        <f t="shared" si="88"/>
        <v>0</v>
      </c>
      <c r="U1915" s="9" t="e">
        <f t="shared" si="89"/>
        <v>#DIV/0!</v>
      </c>
    </row>
    <row r="1916" spans="1:22" outlineLevel="2">
      <c r="A1916" t="s">
        <v>541</v>
      </c>
      <c r="B1916" t="s">
        <v>542</v>
      </c>
      <c r="C1916" t="s">
        <v>87</v>
      </c>
      <c r="D1916" t="s">
        <v>88</v>
      </c>
      <c r="E1916" s="4">
        <v>0</v>
      </c>
      <c r="F1916" s="4">
        <v>0</v>
      </c>
      <c r="G1916" s="4">
        <v>0</v>
      </c>
      <c r="H1916" s="4">
        <v>-1.4210854715202004E-14</v>
      </c>
      <c r="I1916" s="4">
        <v>0</v>
      </c>
      <c r="J1916" s="4">
        <v>0</v>
      </c>
      <c r="K1916" s="4">
        <v>0</v>
      </c>
      <c r="L1916" s="4">
        <v>0</v>
      </c>
      <c r="M1916" s="4">
        <v>1.9095836023552692E-14</v>
      </c>
      <c r="N1916" s="4">
        <v>0</v>
      </c>
      <c r="O1916" s="4">
        <v>0</v>
      </c>
      <c r="P1916" s="4">
        <v>0</v>
      </c>
      <c r="Q1916" s="4">
        <v>0</v>
      </c>
      <c r="S1916" s="8">
        <f t="shared" si="87"/>
        <v>3.1826393372587822E-15</v>
      </c>
      <c r="T1916" s="8">
        <f t="shared" si="88"/>
        <v>-3.1826393372587822E-15</v>
      </c>
      <c r="U1916" s="9">
        <f t="shared" si="89"/>
        <v>-1</v>
      </c>
    </row>
    <row r="1917" spans="1:22" outlineLevel="2">
      <c r="A1917" t="s">
        <v>541</v>
      </c>
      <c r="B1917" t="s">
        <v>542</v>
      </c>
      <c r="C1917" t="s">
        <v>89</v>
      </c>
      <c r="D1917" t="s">
        <v>90</v>
      </c>
      <c r="E1917" s="4">
        <v>0</v>
      </c>
      <c r="F1917" s="4">
        <v>0</v>
      </c>
      <c r="G1917" s="4">
        <v>0</v>
      </c>
      <c r="H1917" s="4">
        <v>0</v>
      </c>
      <c r="I1917" s="4">
        <v>0</v>
      </c>
      <c r="J1917" s="4">
        <v>0</v>
      </c>
      <c r="K1917" s="4">
        <v>0</v>
      </c>
      <c r="L1917" s="4">
        <v>0</v>
      </c>
      <c r="M1917" s="4">
        <v>0</v>
      </c>
      <c r="N1917" s="4">
        <v>0</v>
      </c>
      <c r="O1917" s="4">
        <v>0</v>
      </c>
      <c r="P1917" s="4">
        <v>0</v>
      </c>
      <c r="Q1917" s="4">
        <v>0</v>
      </c>
      <c r="S1917" s="8">
        <f t="shared" si="87"/>
        <v>0</v>
      </c>
      <c r="T1917" s="8">
        <f t="shared" si="88"/>
        <v>0</v>
      </c>
      <c r="U1917" s="9" t="e">
        <f t="shared" si="89"/>
        <v>#DIV/0!</v>
      </c>
    </row>
    <row r="1918" spans="1:22" outlineLevel="2">
      <c r="A1918" t="s">
        <v>541</v>
      </c>
      <c r="B1918" t="s">
        <v>542</v>
      </c>
      <c r="C1918" t="s">
        <v>93</v>
      </c>
      <c r="D1918" t="s">
        <v>94</v>
      </c>
      <c r="E1918" s="4">
        <v>0</v>
      </c>
      <c r="F1918" s="4">
        <v>0</v>
      </c>
      <c r="G1918" s="4">
        <v>0</v>
      </c>
      <c r="H1918" s="4">
        <v>0</v>
      </c>
      <c r="I1918" s="4">
        <v>0</v>
      </c>
      <c r="J1918" s="4">
        <v>0</v>
      </c>
      <c r="K1918" s="4">
        <v>492.79999999999995</v>
      </c>
      <c r="L1918" s="4">
        <v>-492.80000000000064</v>
      </c>
      <c r="M1918" s="4">
        <v>0</v>
      </c>
      <c r="N1918" s="4">
        <v>0</v>
      </c>
      <c r="O1918" s="4">
        <v>0</v>
      </c>
      <c r="P1918" s="4">
        <v>0</v>
      </c>
      <c r="Q1918" s="4">
        <v>0</v>
      </c>
      <c r="S1918" s="8">
        <f t="shared" si="87"/>
        <v>-82.133333333333439</v>
      </c>
      <c r="T1918" s="8">
        <f t="shared" si="88"/>
        <v>82.133333333333439</v>
      </c>
      <c r="U1918" s="9">
        <f t="shared" si="89"/>
        <v>-1</v>
      </c>
    </row>
    <row r="1919" spans="1:22" outlineLevel="2">
      <c r="A1919" t="s">
        <v>541</v>
      </c>
      <c r="B1919" t="s">
        <v>542</v>
      </c>
      <c r="C1919" t="s">
        <v>101</v>
      </c>
      <c r="D1919" t="s">
        <v>102</v>
      </c>
      <c r="E1919" s="4">
        <v>-1.3642420526593924E-12</v>
      </c>
      <c r="F1919" s="4">
        <v>0</v>
      </c>
      <c r="G1919" s="4">
        <v>0</v>
      </c>
      <c r="H1919" s="4">
        <v>0</v>
      </c>
      <c r="I1919" s="4">
        <v>0</v>
      </c>
      <c r="J1919" s="4">
        <v>0</v>
      </c>
      <c r="K1919" s="4">
        <v>0</v>
      </c>
      <c r="L1919" s="4">
        <v>-4.4053649617126212E-13</v>
      </c>
      <c r="M1919" s="4">
        <v>0</v>
      </c>
      <c r="N1919" s="4">
        <v>0</v>
      </c>
      <c r="O1919" s="4">
        <v>0</v>
      </c>
      <c r="P1919" s="4">
        <v>0</v>
      </c>
      <c r="Q1919" s="4">
        <v>0</v>
      </c>
      <c r="R1919" s="4">
        <v>14771.26</v>
      </c>
      <c r="S1919" s="8">
        <f t="shared" si="87"/>
        <v>-7.3422749361877023E-14</v>
      </c>
      <c r="T1919" s="8">
        <f t="shared" si="88"/>
        <v>14771.26</v>
      </c>
      <c r="U1919" s="9">
        <f t="shared" si="89"/>
        <v>-2.0118097086227635E+17</v>
      </c>
      <c r="V1919" t="s">
        <v>895</v>
      </c>
    </row>
    <row r="1920" spans="1:22" outlineLevel="2">
      <c r="A1920" t="s">
        <v>541</v>
      </c>
      <c r="B1920" t="s">
        <v>542</v>
      </c>
      <c r="C1920" t="s">
        <v>103</v>
      </c>
      <c r="D1920" t="s">
        <v>104</v>
      </c>
      <c r="E1920" s="4">
        <v>0</v>
      </c>
      <c r="F1920" s="4">
        <v>0</v>
      </c>
      <c r="G1920" s="4">
        <v>0</v>
      </c>
      <c r="H1920" s="4">
        <v>0</v>
      </c>
      <c r="I1920" s="4">
        <v>0</v>
      </c>
      <c r="J1920" s="4">
        <v>0</v>
      </c>
      <c r="K1920" s="4">
        <v>0</v>
      </c>
      <c r="L1920" s="4">
        <v>0</v>
      </c>
      <c r="M1920" s="4">
        <v>0</v>
      </c>
      <c r="N1920" s="4">
        <v>0</v>
      </c>
      <c r="O1920" s="4">
        <v>0</v>
      </c>
      <c r="P1920" s="4">
        <v>0</v>
      </c>
      <c r="Q1920" s="4">
        <v>0</v>
      </c>
      <c r="S1920" s="8">
        <f t="shared" si="87"/>
        <v>0</v>
      </c>
      <c r="T1920" s="8">
        <f t="shared" si="88"/>
        <v>0</v>
      </c>
      <c r="U1920" s="9" t="e">
        <f t="shared" si="89"/>
        <v>#DIV/0!</v>
      </c>
    </row>
    <row r="1921" spans="1:22" outlineLevel="2">
      <c r="A1921" t="s">
        <v>541</v>
      </c>
      <c r="B1921" t="s">
        <v>542</v>
      </c>
      <c r="C1921" t="s">
        <v>127</v>
      </c>
      <c r="D1921" t="s">
        <v>120</v>
      </c>
      <c r="E1921" s="4">
        <v>0</v>
      </c>
      <c r="F1921" s="4">
        <v>0</v>
      </c>
      <c r="G1921" s="4">
        <v>0</v>
      </c>
      <c r="H1921" s="4">
        <v>0</v>
      </c>
      <c r="I1921" s="4">
        <v>0</v>
      </c>
      <c r="J1921" s="4">
        <v>0</v>
      </c>
      <c r="K1921" s="4">
        <v>0</v>
      </c>
      <c r="L1921" s="4">
        <v>0</v>
      </c>
      <c r="M1921" s="4">
        <v>0</v>
      </c>
      <c r="N1921" s="4">
        <v>0</v>
      </c>
      <c r="O1921" s="4">
        <v>0</v>
      </c>
      <c r="P1921" s="4">
        <v>0</v>
      </c>
      <c r="Q1921" s="4">
        <v>0</v>
      </c>
      <c r="S1921" s="8">
        <f t="shared" si="87"/>
        <v>0</v>
      </c>
      <c r="T1921" s="8">
        <f t="shared" si="88"/>
        <v>0</v>
      </c>
      <c r="U1921" s="9" t="e">
        <f t="shared" si="89"/>
        <v>#DIV/0!</v>
      </c>
    </row>
    <row r="1922" spans="1:22" outlineLevel="2">
      <c r="A1922" t="s">
        <v>541</v>
      </c>
      <c r="B1922" t="s">
        <v>542</v>
      </c>
      <c r="C1922" t="s">
        <v>132</v>
      </c>
      <c r="D1922" t="s">
        <v>133</v>
      </c>
      <c r="E1922" s="4">
        <v>0</v>
      </c>
      <c r="F1922" s="4">
        <v>0</v>
      </c>
      <c r="G1922" s="4">
        <v>0</v>
      </c>
      <c r="H1922" s="4">
        <v>0</v>
      </c>
      <c r="I1922" s="4">
        <v>47</v>
      </c>
      <c r="J1922" s="4">
        <v>0</v>
      </c>
      <c r="K1922" s="4">
        <v>0</v>
      </c>
      <c r="L1922" s="4">
        <v>0</v>
      </c>
      <c r="M1922" s="4">
        <v>0</v>
      </c>
      <c r="N1922" s="4">
        <v>0</v>
      </c>
      <c r="O1922" s="4">
        <v>0</v>
      </c>
      <c r="P1922" s="4">
        <v>0</v>
      </c>
      <c r="Q1922" s="4">
        <v>0</v>
      </c>
      <c r="S1922" s="8">
        <f t="shared" si="87"/>
        <v>0</v>
      </c>
      <c r="T1922" s="8">
        <f t="shared" si="88"/>
        <v>0</v>
      </c>
      <c r="U1922" s="9" t="e">
        <f t="shared" si="89"/>
        <v>#DIV/0!</v>
      </c>
    </row>
    <row r="1923" spans="1:22" outlineLevel="1">
      <c r="A1923" s="1" t="s">
        <v>827</v>
      </c>
      <c r="E1923" s="4">
        <f>SUBTOTAL(9,E1897:E1922)</f>
        <v>13494.07</v>
      </c>
      <c r="F1923" s="4">
        <f>SUBTOTAL(9,F1897:F1922)</f>
        <v>720.62999999999874</v>
      </c>
      <c r="G1923" s="4">
        <f>SUBTOTAL(9,G1897:G1922)</f>
        <v>-14214.699999999999</v>
      </c>
      <c r="H1923" s="4">
        <f>SUBTOTAL(9,H1897:H1922)</f>
        <v>6.3522520576952957E-12</v>
      </c>
      <c r="I1923" s="4">
        <f>SUBTOTAL(9,I1897:I1922)</f>
        <v>968.4700000000023</v>
      </c>
      <c r="J1923" s="4">
        <f>SUBTOTAL(9,J1897:J1922)</f>
        <v>1425.2099999999996</v>
      </c>
      <c r="K1923" s="4">
        <f>SUBTOTAL(9,K1897:K1922)</f>
        <v>39207.990000000005</v>
      </c>
      <c r="L1923" s="4">
        <f>SUBTOTAL(9,L1897:L1922)</f>
        <v>-39207.990000000005</v>
      </c>
      <c r="M1923" s="4">
        <f>SUBTOTAL(9,M1897:M1922)</f>
        <v>-2285.3299999999981</v>
      </c>
      <c r="N1923" s="4">
        <f>SUBTOTAL(9,N1897:N1922)</f>
        <v>-61.350000000001728</v>
      </c>
      <c r="O1923" s="4">
        <f>SUBTOTAL(9,O1897:O1922)</f>
        <v>-1.3642420526593924E-12</v>
      </c>
      <c r="P1923" s="4">
        <f>SUBTOTAL(9,P1897:P1922)</f>
        <v>-4.0927261579781771E-12</v>
      </c>
      <c r="Q1923" s="4">
        <f>SUBTOTAL(9,Q1897:Q1922)</f>
        <v>0</v>
      </c>
      <c r="R1923" s="4">
        <f>SUBTOTAL(9,R1897:R1922)</f>
        <v>14931.9</v>
      </c>
      <c r="S1923" s="8">
        <f t="shared" ref="S1923:S1986" si="90">AVERAGE(L1923:Q1923)</f>
        <v>-6925.7783333333355</v>
      </c>
      <c r="T1923" s="8">
        <f t="shared" ref="T1923:T1986" si="91">R1923-S1923</f>
        <v>21857.678333333337</v>
      </c>
      <c r="U1923" s="9">
        <f t="shared" ref="U1923:U1986" si="92">(R1923-S1923)/S1923</f>
        <v>-3.1559887252142773</v>
      </c>
    </row>
    <row r="1924" spans="1:22" outlineLevel="2">
      <c r="A1924" t="s">
        <v>543</v>
      </c>
      <c r="B1924" t="s">
        <v>261</v>
      </c>
      <c r="C1924" t="s">
        <v>101</v>
      </c>
      <c r="D1924" t="s">
        <v>102</v>
      </c>
      <c r="E1924" s="4">
        <v>0</v>
      </c>
      <c r="F1924" s="4">
        <v>0</v>
      </c>
      <c r="G1924" s="4">
        <v>0</v>
      </c>
      <c r="H1924" s="4">
        <v>-100.06</v>
      </c>
      <c r="I1924" s="4">
        <v>0</v>
      </c>
      <c r="J1924" s="4">
        <v>0</v>
      </c>
      <c r="K1924" s="4">
        <v>0</v>
      </c>
      <c r="L1924" s="4">
        <v>0</v>
      </c>
      <c r="M1924" s="4">
        <v>0</v>
      </c>
      <c r="N1924" s="4">
        <v>0</v>
      </c>
      <c r="O1924" s="4">
        <v>0</v>
      </c>
      <c r="P1924" s="4">
        <v>0</v>
      </c>
      <c r="Q1924" s="4">
        <v>0</v>
      </c>
      <c r="S1924" s="8">
        <f t="shared" si="90"/>
        <v>0</v>
      </c>
      <c r="T1924" s="8">
        <f t="shared" si="91"/>
        <v>0</v>
      </c>
      <c r="U1924" s="9" t="e">
        <f t="shared" si="92"/>
        <v>#DIV/0!</v>
      </c>
    </row>
    <row r="1925" spans="1:22" outlineLevel="1">
      <c r="A1925" s="1" t="s">
        <v>828</v>
      </c>
      <c r="E1925" s="4">
        <f>SUBTOTAL(9,E1924:E1924)</f>
        <v>0</v>
      </c>
      <c r="F1925" s="4">
        <f>SUBTOTAL(9,F1924:F1924)</f>
        <v>0</v>
      </c>
      <c r="G1925" s="4">
        <f>SUBTOTAL(9,G1924:G1924)</f>
        <v>0</v>
      </c>
      <c r="H1925" s="4">
        <f>SUBTOTAL(9,H1924:H1924)</f>
        <v>-100.06</v>
      </c>
      <c r="I1925" s="4">
        <f>SUBTOTAL(9,I1924:I1924)</f>
        <v>0</v>
      </c>
      <c r="J1925" s="4">
        <f>SUBTOTAL(9,J1924:J1924)</f>
        <v>0</v>
      </c>
      <c r="K1925" s="4">
        <f>SUBTOTAL(9,K1924:K1924)</f>
        <v>0</v>
      </c>
      <c r="L1925" s="4">
        <f>SUBTOTAL(9,L1924:L1924)</f>
        <v>0</v>
      </c>
      <c r="M1925" s="4">
        <f>SUBTOTAL(9,M1924:M1924)</f>
        <v>0</v>
      </c>
      <c r="N1925" s="4">
        <f>SUBTOTAL(9,N1924:N1924)</f>
        <v>0</v>
      </c>
      <c r="O1925" s="4">
        <f>SUBTOTAL(9,O1924:O1924)</f>
        <v>0</v>
      </c>
      <c r="P1925" s="4">
        <f>SUBTOTAL(9,P1924:P1924)</f>
        <v>0</v>
      </c>
      <c r="Q1925" s="4">
        <f>SUBTOTAL(9,Q1924:Q1924)</f>
        <v>0</v>
      </c>
      <c r="R1925" s="4">
        <f>SUBTOTAL(9,R1924:R1924)</f>
        <v>0</v>
      </c>
      <c r="S1925" s="8">
        <f t="shared" si="90"/>
        <v>0</v>
      </c>
      <c r="T1925" s="8">
        <f t="shared" si="91"/>
        <v>0</v>
      </c>
      <c r="U1925" s="9" t="e">
        <f t="shared" si="92"/>
        <v>#DIV/0!</v>
      </c>
    </row>
    <row r="1926" spans="1:22" outlineLevel="2">
      <c r="A1926" t="s">
        <v>544</v>
      </c>
      <c r="B1926" t="s">
        <v>483</v>
      </c>
      <c r="C1926" t="s">
        <v>21</v>
      </c>
      <c r="D1926" t="s">
        <v>22</v>
      </c>
      <c r="E1926" s="4">
        <v>0</v>
      </c>
      <c r="F1926" s="4">
        <v>0</v>
      </c>
      <c r="G1926" s="4">
        <v>0</v>
      </c>
      <c r="H1926" s="4">
        <v>0</v>
      </c>
      <c r="I1926" s="4">
        <v>0</v>
      </c>
      <c r="J1926" s="4">
        <v>441.59</v>
      </c>
      <c r="K1926" s="4">
        <v>0</v>
      </c>
      <c r="L1926" s="4">
        <v>0</v>
      </c>
      <c r="M1926" s="4">
        <v>0</v>
      </c>
      <c r="N1926" s="4">
        <v>0</v>
      </c>
      <c r="O1926" s="4">
        <v>0</v>
      </c>
      <c r="P1926" s="4">
        <v>0</v>
      </c>
      <c r="Q1926" s="4">
        <v>0</v>
      </c>
      <c r="S1926" s="8">
        <f t="shared" si="90"/>
        <v>0</v>
      </c>
      <c r="T1926" s="8">
        <f t="shared" si="91"/>
        <v>0</v>
      </c>
      <c r="U1926" s="9" t="e">
        <f t="shared" si="92"/>
        <v>#DIV/0!</v>
      </c>
    </row>
    <row r="1927" spans="1:22" outlineLevel="2">
      <c r="A1927" t="s">
        <v>544</v>
      </c>
      <c r="B1927" t="s">
        <v>483</v>
      </c>
      <c r="C1927" t="s">
        <v>23</v>
      </c>
      <c r="D1927" t="s">
        <v>24</v>
      </c>
      <c r="E1927" s="4">
        <v>0</v>
      </c>
      <c r="F1927" s="4">
        <v>0</v>
      </c>
      <c r="G1927" s="4">
        <v>0</v>
      </c>
      <c r="H1927" s="4">
        <v>0</v>
      </c>
      <c r="I1927" s="4">
        <v>0</v>
      </c>
      <c r="J1927" s="4">
        <v>1087.6200000000003</v>
      </c>
      <c r="K1927" s="4">
        <v>0</v>
      </c>
      <c r="L1927" s="4">
        <v>0</v>
      </c>
      <c r="M1927" s="4">
        <v>0</v>
      </c>
      <c r="N1927" s="4">
        <v>0</v>
      </c>
      <c r="O1927" s="4">
        <v>0</v>
      </c>
      <c r="P1927" s="4">
        <v>0</v>
      </c>
      <c r="Q1927" s="4">
        <v>0</v>
      </c>
      <c r="S1927" s="8">
        <f t="shared" si="90"/>
        <v>0</v>
      </c>
      <c r="T1927" s="8">
        <f t="shared" si="91"/>
        <v>0</v>
      </c>
      <c r="U1927" s="9" t="e">
        <f t="shared" si="92"/>
        <v>#DIV/0!</v>
      </c>
    </row>
    <row r="1928" spans="1:22" outlineLevel="1">
      <c r="A1928" s="1" t="s">
        <v>829</v>
      </c>
      <c r="E1928" s="4">
        <f>SUBTOTAL(9,E1926:E1927)</f>
        <v>0</v>
      </c>
      <c r="F1928" s="4">
        <f>SUBTOTAL(9,F1926:F1927)</f>
        <v>0</v>
      </c>
      <c r="G1928" s="4">
        <f>SUBTOTAL(9,G1926:G1927)</f>
        <v>0</v>
      </c>
      <c r="H1928" s="4">
        <f>SUBTOTAL(9,H1926:H1927)</f>
        <v>0</v>
      </c>
      <c r="I1928" s="4">
        <f>SUBTOTAL(9,I1926:I1927)</f>
        <v>0</v>
      </c>
      <c r="J1928" s="4">
        <f>SUBTOTAL(9,J1926:J1927)</f>
        <v>1529.2100000000003</v>
      </c>
      <c r="K1928" s="4">
        <f>SUBTOTAL(9,K1926:K1927)</f>
        <v>0</v>
      </c>
      <c r="L1928" s="4">
        <f>SUBTOTAL(9,L1926:L1927)</f>
        <v>0</v>
      </c>
      <c r="M1928" s="4">
        <f>SUBTOTAL(9,M1926:M1927)</f>
        <v>0</v>
      </c>
      <c r="N1928" s="4">
        <f>SUBTOTAL(9,N1926:N1927)</f>
        <v>0</v>
      </c>
      <c r="O1928" s="4">
        <f>SUBTOTAL(9,O1926:O1927)</f>
        <v>0</v>
      </c>
      <c r="P1928" s="4">
        <f>SUBTOTAL(9,P1926:P1927)</f>
        <v>0</v>
      </c>
      <c r="Q1928" s="4">
        <f>SUBTOTAL(9,Q1926:Q1927)</f>
        <v>0</v>
      </c>
      <c r="R1928" s="4">
        <f>SUBTOTAL(9,R1926:R1927)</f>
        <v>0</v>
      </c>
      <c r="S1928" s="8">
        <f t="shared" si="90"/>
        <v>0</v>
      </c>
      <c r="T1928" s="8">
        <f t="shared" si="91"/>
        <v>0</v>
      </c>
      <c r="U1928" s="9" t="e">
        <f t="shared" si="92"/>
        <v>#DIV/0!</v>
      </c>
    </row>
    <row r="1929" spans="1:22" outlineLevel="2">
      <c r="A1929" t="s">
        <v>545</v>
      </c>
      <c r="B1929" t="s">
        <v>546</v>
      </c>
      <c r="C1929" t="s">
        <v>21</v>
      </c>
      <c r="D1929" t="s">
        <v>22</v>
      </c>
      <c r="E1929" s="4">
        <v>0</v>
      </c>
      <c r="F1929" s="4">
        <v>0</v>
      </c>
      <c r="G1929" s="4">
        <v>-5.6843418860808015E-14</v>
      </c>
      <c r="H1929" s="4">
        <v>1.4210854715202004E-14</v>
      </c>
      <c r="I1929" s="4">
        <v>0</v>
      </c>
      <c r="J1929" s="4">
        <v>0</v>
      </c>
      <c r="K1929" s="4">
        <v>1.4210854715202004E-14</v>
      </c>
      <c r="L1929" s="4">
        <v>0</v>
      </c>
      <c r="M1929" s="4">
        <v>-1.5631940186722204E-13</v>
      </c>
      <c r="N1929" s="4">
        <v>0</v>
      </c>
      <c r="O1929" s="4">
        <v>0</v>
      </c>
      <c r="P1929" s="4">
        <v>0</v>
      </c>
      <c r="Q1929" s="4">
        <v>0</v>
      </c>
      <c r="R1929" s="4">
        <v>48.02</v>
      </c>
      <c r="S1929" s="8">
        <f t="shared" si="90"/>
        <v>-2.6053233644537006E-14</v>
      </c>
      <c r="T1929" s="8">
        <f t="shared" si="91"/>
        <v>48.020000000000032</v>
      </c>
      <c r="U1929" s="9">
        <f t="shared" si="92"/>
        <v>-1843149324769869.5</v>
      </c>
      <c r="V1929" t="s">
        <v>895</v>
      </c>
    </row>
    <row r="1930" spans="1:22" outlineLevel="2">
      <c r="A1930" t="s">
        <v>545</v>
      </c>
      <c r="B1930" t="s">
        <v>546</v>
      </c>
      <c r="C1930" t="s">
        <v>23</v>
      </c>
      <c r="D1930" t="s">
        <v>24</v>
      </c>
      <c r="E1930" s="4">
        <v>0</v>
      </c>
      <c r="F1930" s="4">
        <v>0</v>
      </c>
      <c r="G1930" s="4">
        <v>0</v>
      </c>
      <c r="H1930" s="4">
        <v>0</v>
      </c>
      <c r="I1930" s="4">
        <v>0</v>
      </c>
      <c r="J1930" s="4">
        <v>0</v>
      </c>
      <c r="K1930" s="4">
        <v>0</v>
      </c>
      <c r="L1930" s="4">
        <v>0</v>
      </c>
      <c r="M1930" s="4">
        <v>0</v>
      </c>
      <c r="N1930" s="4">
        <v>0</v>
      </c>
      <c r="O1930" s="4">
        <v>0</v>
      </c>
      <c r="P1930" s="4">
        <v>0</v>
      </c>
      <c r="Q1930" s="4">
        <v>0</v>
      </c>
      <c r="S1930" s="8">
        <f t="shared" si="90"/>
        <v>0</v>
      </c>
      <c r="T1930" s="8">
        <f t="shared" si="91"/>
        <v>0</v>
      </c>
      <c r="U1930" s="9" t="e">
        <f t="shared" si="92"/>
        <v>#DIV/0!</v>
      </c>
    </row>
    <row r="1931" spans="1:22" outlineLevel="2">
      <c r="A1931" t="s">
        <v>545</v>
      </c>
      <c r="B1931" t="s">
        <v>546</v>
      </c>
      <c r="C1931" t="s">
        <v>25</v>
      </c>
      <c r="D1931" t="s">
        <v>26</v>
      </c>
      <c r="E1931" s="4">
        <v>0</v>
      </c>
      <c r="F1931" s="4">
        <v>0</v>
      </c>
      <c r="G1931" s="4">
        <v>0</v>
      </c>
      <c r="H1931" s="4">
        <v>0</v>
      </c>
      <c r="I1931" s="4">
        <v>0</v>
      </c>
      <c r="J1931" s="4">
        <v>0</v>
      </c>
      <c r="K1931" s="4">
        <v>0</v>
      </c>
      <c r="L1931" s="4">
        <v>0</v>
      </c>
      <c r="M1931" s="4">
        <v>1.5099033134902129E-14</v>
      </c>
      <c r="N1931" s="4">
        <v>0</v>
      </c>
      <c r="O1931" s="4">
        <v>0</v>
      </c>
      <c r="P1931" s="4">
        <v>0</v>
      </c>
      <c r="Q1931" s="4">
        <v>0</v>
      </c>
      <c r="S1931" s="8">
        <f t="shared" si="90"/>
        <v>2.5165055224836883E-15</v>
      </c>
      <c r="T1931" s="8">
        <f t="shared" si="91"/>
        <v>-2.5165055224836883E-15</v>
      </c>
      <c r="U1931" s="9">
        <f t="shared" si="92"/>
        <v>-1</v>
      </c>
    </row>
    <row r="1932" spans="1:22" outlineLevel="2">
      <c r="A1932" t="s">
        <v>545</v>
      </c>
      <c r="B1932" t="s">
        <v>546</v>
      </c>
      <c r="C1932" t="s">
        <v>27</v>
      </c>
      <c r="D1932" t="s">
        <v>28</v>
      </c>
      <c r="E1932" s="4">
        <v>0</v>
      </c>
      <c r="F1932" s="4">
        <v>0</v>
      </c>
      <c r="G1932" s="4">
        <v>0</v>
      </c>
      <c r="H1932" s="4">
        <v>0</v>
      </c>
      <c r="I1932" s="4">
        <v>0</v>
      </c>
      <c r="J1932" s="4">
        <v>0</v>
      </c>
      <c r="K1932" s="4">
        <v>0</v>
      </c>
      <c r="L1932" s="4">
        <v>0</v>
      </c>
      <c r="M1932" s="4">
        <v>0</v>
      </c>
      <c r="N1932" s="4">
        <v>0</v>
      </c>
      <c r="O1932" s="4">
        <v>0</v>
      </c>
      <c r="P1932" s="4">
        <v>0</v>
      </c>
      <c r="Q1932" s="4">
        <v>0</v>
      </c>
      <c r="S1932" s="8">
        <f t="shared" si="90"/>
        <v>0</v>
      </c>
      <c r="T1932" s="8">
        <f t="shared" si="91"/>
        <v>0</v>
      </c>
      <c r="U1932" s="9" t="e">
        <f t="shared" si="92"/>
        <v>#DIV/0!</v>
      </c>
    </row>
    <row r="1933" spans="1:22" outlineLevel="2">
      <c r="A1933" t="s">
        <v>545</v>
      </c>
      <c r="B1933" t="s">
        <v>546</v>
      </c>
      <c r="C1933" t="s">
        <v>136</v>
      </c>
      <c r="D1933" t="s">
        <v>137</v>
      </c>
      <c r="E1933" s="4">
        <v>0</v>
      </c>
      <c r="F1933" s="4">
        <v>0</v>
      </c>
      <c r="G1933" s="4">
        <v>0</v>
      </c>
      <c r="H1933" s="4">
        <v>7.2759576141834259E-12</v>
      </c>
      <c r="I1933" s="4">
        <v>-2.9103830456733704E-11</v>
      </c>
      <c r="J1933" s="4">
        <v>0</v>
      </c>
      <c r="K1933" s="4">
        <v>-5.4569682106375694E-12</v>
      </c>
      <c r="L1933" s="4">
        <v>2.9103830456733704E-11</v>
      </c>
      <c r="M1933" s="4">
        <v>-2.9558577807620168E-12</v>
      </c>
      <c r="N1933" s="4">
        <v>0</v>
      </c>
      <c r="O1933" s="4">
        <v>0</v>
      </c>
      <c r="P1933" s="4">
        <v>0</v>
      </c>
      <c r="Q1933" s="4">
        <v>0</v>
      </c>
      <c r="R1933" s="4">
        <v>126769.14</v>
      </c>
      <c r="S1933" s="8">
        <f t="shared" si="90"/>
        <v>4.3579954459952814E-12</v>
      </c>
      <c r="T1933" s="8">
        <f t="shared" si="91"/>
        <v>126769.14</v>
      </c>
      <c r="U1933" s="9">
        <f t="shared" si="92"/>
        <v>2.9088864724834148E+16</v>
      </c>
      <c r="V1933" t="s">
        <v>896</v>
      </c>
    </row>
    <row r="1934" spans="1:22" outlineLevel="2">
      <c r="A1934" t="s">
        <v>545</v>
      </c>
      <c r="B1934" t="s">
        <v>546</v>
      </c>
      <c r="C1934" t="s">
        <v>138</v>
      </c>
      <c r="D1934" t="s">
        <v>139</v>
      </c>
      <c r="E1934" s="4">
        <v>-1.4551915228366852E-11</v>
      </c>
      <c r="F1934" s="4">
        <v>0</v>
      </c>
      <c r="G1934" s="4">
        <v>0</v>
      </c>
      <c r="H1934" s="4">
        <v>0</v>
      </c>
      <c r="I1934" s="4">
        <v>0</v>
      </c>
      <c r="J1934" s="4">
        <v>1.4551915228366852E-11</v>
      </c>
      <c r="K1934" s="4">
        <v>1.4551915228366852E-11</v>
      </c>
      <c r="L1934" s="4">
        <v>-1.4551915228366852E-11</v>
      </c>
      <c r="M1934" s="4">
        <v>-7.2759576141834259E-12</v>
      </c>
      <c r="N1934" s="4">
        <v>7.2759576141834259E-12</v>
      </c>
      <c r="O1934" s="4">
        <v>0</v>
      </c>
      <c r="P1934" s="4">
        <v>0</v>
      </c>
      <c r="Q1934" s="4">
        <v>0</v>
      </c>
      <c r="R1934" s="4">
        <v>79288.670000000013</v>
      </c>
      <c r="S1934" s="8">
        <f t="shared" si="90"/>
        <v>-2.4253192047278085E-12</v>
      </c>
      <c r="T1934" s="8">
        <f t="shared" si="91"/>
        <v>79288.670000000013</v>
      </c>
      <c r="U1934" s="9">
        <f t="shared" si="92"/>
        <v>-3.2692055480960292E+16</v>
      </c>
      <c r="V1934" t="s">
        <v>895</v>
      </c>
    </row>
    <row r="1935" spans="1:22" outlineLevel="2">
      <c r="A1935" t="s">
        <v>545</v>
      </c>
      <c r="B1935" t="s">
        <v>546</v>
      </c>
      <c r="C1935" t="s">
        <v>142</v>
      </c>
      <c r="D1935" t="s">
        <v>143</v>
      </c>
      <c r="E1935" s="4">
        <v>0</v>
      </c>
      <c r="F1935" s="4">
        <v>0</v>
      </c>
      <c r="G1935" s="4">
        <v>0</v>
      </c>
      <c r="H1935" s="4">
        <v>0</v>
      </c>
      <c r="I1935" s="4">
        <v>0</v>
      </c>
      <c r="J1935" s="4">
        <v>0</v>
      </c>
      <c r="K1935" s="4">
        <v>0</v>
      </c>
      <c r="L1935" s="4">
        <v>0</v>
      </c>
      <c r="M1935" s="4">
        <v>0</v>
      </c>
      <c r="N1935" s="4">
        <v>0</v>
      </c>
      <c r="O1935" s="4">
        <v>0</v>
      </c>
      <c r="P1935" s="4">
        <v>0</v>
      </c>
      <c r="Q1935" s="4">
        <v>0</v>
      </c>
      <c r="R1935" s="4">
        <v>2000</v>
      </c>
      <c r="S1935" s="8">
        <f t="shared" si="90"/>
        <v>0</v>
      </c>
      <c r="T1935" s="8">
        <f t="shared" si="91"/>
        <v>2000</v>
      </c>
      <c r="U1935" s="9" t="e">
        <f t="shared" si="92"/>
        <v>#DIV/0!</v>
      </c>
      <c r="V1935" t="s">
        <v>895</v>
      </c>
    </row>
    <row r="1936" spans="1:22" outlineLevel="2">
      <c r="A1936" t="s">
        <v>545</v>
      </c>
      <c r="B1936" t="s">
        <v>546</v>
      </c>
      <c r="C1936" t="s">
        <v>144</v>
      </c>
      <c r="D1936" t="s">
        <v>145</v>
      </c>
      <c r="E1936" s="4">
        <v>-3.637978807091713E-12</v>
      </c>
      <c r="F1936" s="4">
        <v>-1.8189894035458565E-12</v>
      </c>
      <c r="G1936" s="4">
        <v>0</v>
      </c>
      <c r="H1936" s="4">
        <v>-9.0949470177292824E-13</v>
      </c>
      <c r="I1936" s="4">
        <v>0</v>
      </c>
      <c r="J1936" s="4">
        <v>-1.8189894035458565E-12</v>
      </c>
      <c r="K1936" s="4">
        <v>3.4106051316484809E-13</v>
      </c>
      <c r="L1936" s="4">
        <v>0</v>
      </c>
      <c r="M1936" s="4">
        <v>-5.6843418860808015E-13</v>
      </c>
      <c r="N1936" s="4">
        <v>0</v>
      </c>
      <c r="O1936" s="4">
        <v>-1.8189894035458565E-12</v>
      </c>
      <c r="P1936" s="4">
        <v>0</v>
      </c>
      <c r="Q1936" s="4">
        <v>1.8189894035458565E-12</v>
      </c>
      <c r="R1936" s="4">
        <v>-12992.15</v>
      </c>
      <c r="S1936" s="8">
        <f t="shared" si="90"/>
        <v>-9.4739031434680029E-14</v>
      </c>
      <c r="T1936" s="8">
        <f t="shared" si="91"/>
        <v>-12992.15</v>
      </c>
      <c r="U1936" s="9">
        <f t="shared" si="92"/>
        <v>1.3713619195017558E+17</v>
      </c>
      <c r="V1936" t="s">
        <v>895</v>
      </c>
    </row>
    <row r="1937" spans="1:22" outlineLevel="2">
      <c r="A1937" t="s">
        <v>545</v>
      </c>
      <c r="B1937" t="s">
        <v>546</v>
      </c>
      <c r="C1937" t="s">
        <v>146</v>
      </c>
      <c r="D1937" t="s">
        <v>147</v>
      </c>
      <c r="E1937" s="4">
        <v>-1.7053025658242404E-12</v>
      </c>
      <c r="F1937" s="4">
        <v>3.637978807091713E-12</v>
      </c>
      <c r="G1937" s="4">
        <v>-1.8189894035458565E-12</v>
      </c>
      <c r="H1937" s="4">
        <v>0</v>
      </c>
      <c r="I1937" s="4">
        <v>0</v>
      </c>
      <c r="J1937" s="4">
        <v>0</v>
      </c>
      <c r="K1937" s="4">
        <v>-3.751665644813329E-12</v>
      </c>
      <c r="L1937" s="4">
        <v>3.637978807091713E-12</v>
      </c>
      <c r="M1937" s="4">
        <v>3825.7800000000007</v>
      </c>
      <c r="N1937" s="4">
        <v>0</v>
      </c>
      <c r="O1937" s="4">
        <v>0</v>
      </c>
      <c r="P1937" s="4">
        <v>0</v>
      </c>
      <c r="Q1937" s="4">
        <v>-3.637978807091713E-12</v>
      </c>
      <c r="R1937" s="4">
        <v>19239.54</v>
      </c>
      <c r="S1937" s="8">
        <f t="shared" si="90"/>
        <v>637.63000000000011</v>
      </c>
      <c r="T1937" s="8">
        <f t="shared" si="91"/>
        <v>18601.91</v>
      </c>
      <c r="U1937" s="9">
        <f t="shared" si="92"/>
        <v>29.173517557204015</v>
      </c>
    </row>
    <row r="1938" spans="1:22" outlineLevel="2">
      <c r="A1938" t="s">
        <v>545</v>
      </c>
      <c r="B1938" t="s">
        <v>546</v>
      </c>
      <c r="C1938" t="s">
        <v>150</v>
      </c>
      <c r="D1938" t="s">
        <v>151</v>
      </c>
      <c r="E1938" s="4">
        <v>0</v>
      </c>
      <c r="F1938" s="4">
        <v>0</v>
      </c>
      <c r="G1938" s="4">
        <v>10615.39</v>
      </c>
      <c r="H1938" s="4">
        <v>23627.03</v>
      </c>
      <c r="I1938" s="4">
        <v>4430.07</v>
      </c>
      <c r="J1938" s="4">
        <v>16698</v>
      </c>
      <c r="K1938" s="4">
        <v>8088.08</v>
      </c>
      <c r="L1938" s="4">
        <v>8088.08</v>
      </c>
      <c r="M1938" s="4">
        <v>17072.7</v>
      </c>
      <c r="N1938" s="4">
        <v>6575.28</v>
      </c>
      <c r="O1938" s="4">
        <v>6575.28</v>
      </c>
      <c r="P1938" s="4">
        <v>24144.51</v>
      </c>
      <c r="Q1938" s="4">
        <v>0</v>
      </c>
      <c r="R1938" s="4">
        <v>10861.13</v>
      </c>
      <c r="S1938" s="8">
        <f t="shared" si="90"/>
        <v>10409.308333333332</v>
      </c>
      <c r="T1938" s="8">
        <f t="shared" si="91"/>
        <v>451.82166666666672</v>
      </c>
      <c r="U1938" s="9">
        <f t="shared" si="92"/>
        <v>4.3405541674638976E-2</v>
      </c>
    </row>
    <row r="1939" spans="1:22" outlineLevel="2">
      <c r="A1939" t="s">
        <v>545</v>
      </c>
      <c r="B1939" t="s">
        <v>546</v>
      </c>
      <c r="C1939" t="s">
        <v>152</v>
      </c>
      <c r="D1939" t="s">
        <v>153</v>
      </c>
      <c r="E1939" s="4">
        <v>-1.8189894035458565E-12</v>
      </c>
      <c r="F1939" s="4">
        <v>0</v>
      </c>
      <c r="G1939" s="4">
        <v>0</v>
      </c>
      <c r="H1939" s="4">
        <v>1.8189894035458565E-12</v>
      </c>
      <c r="I1939" s="4">
        <v>1.8189894035458565E-12</v>
      </c>
      <c r="J1939" s="4">
        <v>3.637978807091713E-12</v>
      </c>
      <c r="K1939" s="4">
        <v>3.4106051316484809E-13</v>
      </c>
      <c r="L1939" s="4">
        <v>0</v>
      </c>
      <c r="M1939" s="4">
        <v>-4.3343106881366111E-13</v>
      </c>
      <c r="N1939" s="4">
        <v>-3.1974423109204508E-12</v>
      </c>
      <c r="O1939" s="4">
        <v>0</v>
      </c>
      <c r="P1939" s="4">
        <v>0</v>
      </c>
      <c r="Q1939" s="4">
        <v>9.0949470177292824E-13</v>
      </c>
      <c r="R1939" s="4">
        <v>15169.35</v>
      </c>
      <c r="S1939" s="8">
        <f t="shared" si="90"/>
        <v>-4.5356311299353064E-13</v>
      </c>
      <c r="T1939" s="8">
        <f t="shared" si="91"/>
        <v>15169.35</v>
      </c>
      <c r="U1939" s="9">
        <f t="shared" si="92"/>
        <v>-3.3444849383544044E+16</v>
      </c>
      <c r="V1939" t="s">
        <v>895</v>
      </c>
    </row>
    <row r="1940" spans="1:22" outlineLevel="2">
      <c r="A1940" t="s">
        <v>545</v>
      </c>
      <c r="B1940" t="s">
        <v>546</v>
      </c>
      <c r="C1940" t="s">
        <v>154</v>
      </c>
      <c r="D1940" t="s">
        <v>155</v>
      </c>
      <c r="E1940" s="4">
        <v>4.2632564145606011E-13</v>
      </c>
      <c r="F1940" s="4">
        <v>0</v>
      </c>
      <c r="G1940" s="4">
        <v>0</v>
      </c>
      <c r="H1940" s="4">
        <v>1.4210854715202004E-14</v>
      </c>
      <c r="I1940" s="4">
        <v>0</v>
      </c>
      <c r="J1940" s="4">
        <v>0</v>
      </c>
      <c r="K1940" s="4">
        <v>-1.7763568394002505E-15</v>
      </c>
      <c r="L1940" s="4">
        <v>0</v>
      </c>
      <c r="M1940" s="4">
        <v>-7.1054273576010019E-15</v>
      </c>
      <c r="N1940" s="4">
        <v>0</v>
      </c>
      <c r="O1940" s="4">
        <v>0</v>
      </c>
      <c r="P1940" s="4">
        <v>2.8421709430404007E-14</v>
      </c>
      <c r="Q1940" s="4">
        <v>-4.5474735088646412E-13</v>
      </c>
      <c r="R1940" s="4">
        <v>95.27</v>
      </c>
      <c r="S1940" s="8">
        <f t="shared" si="90"/>
        <v>-7.2238511468943515E-14</v>
      </c>
      <c r="T1940" s="8">
        <f t="shared" si="91"/>
        <v>95.270000000000067</v>
      </c>
      <c r="U1940" s="9">
        <f t="shared" si="92"/>
        <v>-1318825624486437</v>
      </c>
      <c r="V1940" t="s">
        <v>895</v>
      </c>
    </row>
    <row r="1941" spans="1:22" outlineLevel="2">
      <c r="A1941" t="s">
        <v>545</v>
      </c>
      <c r="B1941" t="s">
        <v>546</v>
      </c>
      <c r="C1941" t="s">
        <v>180</v>
      </c>
      <c r="D1941" t="s">
        <v>181</v>
      </c>
      <c r="E1941" s="4">
        <v>0</v>
      </c>
      <c r="F1941" s="4">
        <v>0</v>
      </c>
      <c r="G1941" s="4">
        <v>0</v>
      </c>
      <c r="H1941" s="4">
        <v>0</v>
      </c>
      <c r="I1941" s="4">
        <v>0</v>
      </c>
      <c r="J1941" s="4">
        <v>0</v>
      </c>
      <c r="K1941" s="4">
        <v>0</v>
      </c>
      <c r="L1941" s="4">
        <v>0</v>
      </c>
      <c r="M1941" s="4">
        <v>0</v>
      </c>
      <c r="N1941" s="4">
        <v>0</v>
      </c>
      <c r="O1941" s="4">
        <v>0</v>
      </c>
      <c r="P1941" s="4">
        <v>0</v>
      </c>
      <c r="Q1941" s="4">
        <v>0</v>
      </c>
      <c r="S1941" s="8">
        <f t="shared" si="90"/>
        <v>0</v>
      </c>
      <c r="T1941" s="8">
        <f t="shared" si="91"/>
        <v>0</v>
      </c>
      <c r="U1941" s="9" t="e">
        <f t="shared" si="92"/>
        <v>#DIV/0!</v>
      </c>
    </row>
    <row r="1942" spans="1:22" outlineLevel="2">
      <c r="A1942" t="s">
        <v>545</v>
      </c>
      <c r="B1942" t="s">
        <v>546</v>
      </c>
      <c r="C1942" t="s">
        <v>158</v>
      </c>
      <c r="D1942" t="s">
        <v>159</v>
      </c>
      <c r="E1942" s="4">
        <v>0</v>
      </c>
      <c r="F1942" s="4">
        <v>0</v>
      </c>
      <c r="G1942" s="4">
        <v>4219.7</v>
      </c>
      <c r="H1942" s="4">
        <v>-161.76999999999998</v>
      </c>
      <c r="I1942" s="4">
        <v>0</v>
      </c>
      <c r="J1942" s="4">
        <v>4609.76</v>
      </c>
      <c r="K1942" s="4">
        <v>0</v>
      </c>
      <c r="L1942" s="4">
        <v>0</v>
      </c>
      <c r="M1942" s="4">
        <v>2600.8199999999997</v>
      </c>
      <c r="N1942" s="4">
        <v>0</v>
      </c>
      <c r="O1942" s="4">
        <v>0</v>
      </c>
      <c r="P1942" s="4">
        <v>-4219.1000000000004</v>
      </c>
      <c r="Q1942" s="4">
        <v>0</v>
      </c>
      <c r="S1942" s="8">
        <f t="shared" si="90"/>
        <v>-269.71333333333342</v>
      </c>
      <c r="T1942" s="8">
        <f t="shared" si="91"/>
        <v>269.71333333333342</v>
      </c>
      <c r="U1942" s="9">
        <f t="shared" si="92"/>
        <v>-1</v>
      </c>
    </row>
    <row r="1943" spans="1:22" outlineLevel="2">
      <c r="A1943" t="s">
        <v>545</v>
      </c>
      <c r="B1943" t="s">
        <v>546</v>
      </c>
      <c r="C1943" t="s">
        <v>160</v>
      </c>
      <c r="D1943" t="s">
        <v>161</v>
      </c>
      <c r="E1943" s="4">
        <v>0</v>
      </c>
      <c r="F1943" s="4">
        <v>0</v>
      </c>
      <c r="G1943" s="4">
        <v>0</v>
      </c>
      <c r="H1943" s="4">
        <v>0</v>
      </c>
      <c r="I1943" s="4">
        <v>0</v>
      </c>
      <c r="J1943" s="4">
        <v>0</v>
      </c>
      <c r="K1943" s="4">
        <v>0</v>
      </c>
      <c r="L1943" s="4">
        <v>0</v>
      </c>
      <c r="M1943" s="4">
        <v>0</v>
      </c>
      <c r="N1943" s="4">
        <v>0</v>
      </c>
      <c r="O1943" s="4">
        <v>0</v>
      </c>
      <c r="P1943" s="4">
        <v>0</v>
      </c>
      <c r="Q1943" s="4">
        <v>0</v>
      </c>
      <c r="S1943" s="8">
        <f t="shared" si="90"/>
        <v>0</v>
      </c>
      <c r="T1943" s="8">
        <f t="shared" si="91"/>
        <v>0</v>
      </c>
      <c r="U1943" s="9" t="e">
        <f t="shared" si="92"/>
        <v>#DIV/0!</v>
      </c>
    </row>
    <row r="1944" spans="1:22" outlineLevel="2">
      <c r="A1944" t="s">
        <v>545</v>
      </c>
      <c r="B1944" t="s">
        <v>546</v>
      </c>
      <c r="C1944" t="s">
        <v>230</v>
      </c>
      <c r="D1944" t="s">
        <v>231</v>
      </c>
      <c r="E1944" s="4">
        <v>137.06999999999971</v>
      </c>
      <c r="F1944" s="4">
        <v>4865.130000000001</v>
      </c>
      <c r="G1944" s="4">
        <v>0</v>
      </c>
      <c r="H1944" s="4">
        <v>0</v>
      </c>
      <c r="I1944" s="4">
        <v>0</v>
      </c>
      <c r="J1944" s="4">
        <v>0</v>
      </c>
      <c r="K1944" s="4">
        <v>0</v>
      </c>
      <c r="L1944" s="4">
        <v>3.637978807091713E-12</v>
      </c>
      <c r="M1944" s="4">
        <v>0</v>
      </c>
      <c r="N1944" s="4">
        <v>0</v>
      </c>
      <c r="O1944" s="4">
        <v>0</v>
      </c>
      <c r="P1944" s="4">
        <v>0</v>
      </c>
      <c r="Q1944" s="4">
        <v>0</v>
      </c>
      <c r="R1944" s="4">
        <v>18632.419999999998</v>
      </c>
      <c r="S1944" s="8">
        <f t="shared" si="90"/>
        <v>6.0632980118195212E-13</v>
      </c>
      <c r="T1944" s="8">
        <f t="shared" si="91"/>
        <v>18632.419999999998</v>
      </c>
      <c r="U1944" s="9">
        <f t="shared" si="92"/>
        <v>3.0729843665409144E+16</v>
      </c>
      <c r="V1944" t="s">
        <v>895</v>
      </c>
    </row>
    <row r="1945" spans="1:22" outlineLevel="2">
      <c r="A1945" t="s">
        <v>545</v>
      </c>
      <c r="B1945" t="s">
        <v>546</v>
      </c>
      <c r="C1945" t="s">
        <v>51</v>
      </c>
      <c r="D1945" t="s">
        <v>52</v>
      </c>
      <c r="E1945" s="4">
        <v>0</v>
      </c>
      <c r="F1945" s="4">
        <v>0</v>
      </c>
      <c r="G1945" s="4">
        <v>-1.1368683772161603E-13</v>
      </c>
      <c r="H1945" s="4">
        <v>0</v>
      </c>
      <c r="I1945" s="4">
        <v>0</v>
      </c>
      <c r="J1945" s="4">
        <v>0</v>
      </c>
      <c r="K1945" s="4">
        <v>0</v>
      </c>
      <c r="L1945" s="4">
        <v>0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S1945" s="8">
        <f t="shared" si="90"/>
        <v>0</v>
      </c>
      <c r="T1945" s="8">
        <f t="shared" si="91"/>
        <v>0</v>
      </c>
      <c r="U1945" s="9" t="e">
        <f t="shared" si="92"/>
        <v>#DIV/0!</v>
      </c>
    </row>
    <row r="1946" spans="1:22" outlineLevel="2">
      <c r="A1946" t="s">
        <v>545</v>
      </c>
      <c r="B1946" t="s">
        <v>546</v>
      </c>
      <c r="C1946" t="s">
        <v>164</v>
      </c>
      <c r="D1946" t="s">
        <v>165</v>
      </c>
      <c r="E1946" s="4">
        <v>0</v>
      </c>
      <c r="F1946" s="4">
        <v>0</v>
      </c>
      <c r="G1946" s="4">
        <v>0</v>
      </c>
      <c r="H1946" s="4">
        <v>0</v>
      </c>
      <c r="I1946" s="4">
        <v>0</v>
      </c>
      <c r="J1946" s="4">
        <v>0</v>
      </c>
      <c r="K1946" s="4">
        <v>0</v>
      </c>
      <c r="L1946" s="4">
        <v>0</v>
      </c>
      <c r="M1946" s="4">
        <v>0</v>
      </c>
      <c r="N1946" s="4">
        <v>0</v>
      </c>
      <c r="O1946" s="4">
        <v>0</v>
      </c>
      <c r="P1946" s="4">
        <v>0</v>
      </c>
      <c r="Q1946" s="4">
        <v>0</v>
      </c>
      <c r="R1946" s="4">
        <v>105</v>
      </c>
      <c r="S1946" s="8">
        <f t="shared" si="90"/>
        <v>0</v>
      </c>
      <c r="T1946" s="8">
        <f t="shared" si="91"/>
        <v>105</v>
      </c>
      <c r="U1946" s="9" t="e">
        <f t="shared" si="92"/>
        <v>#DIV/0!</v>
      </c>
      <c r="V1946" t="s">
        <v>895</v>
      </c>
    </row>
    <row r="1947" spans="1:22" outlineLevel="2">
      <c r="A1947" t="s">
        <v>545</v>
      </c>
      <c r="B1947" t="s">
        <v>546</v>
      </c>
      <c r="C1947" t="s">
        <v>59</v>
      </c>
      <c r="D1947" t="s">
        <v>60</v>
      </c>
      <c r="E1947" s="4">
        <v>-1.4566126083082054E-13</v>
      </c>
      <c r="F1947" s="4">
        <v>-2.2737367544323206E-13</v>
      </c>
      <c r="G1947" s="4">
        <v>0</v>
      </c>
      <c r="H1947" s="4">
        <v>1.7053025658242404E-13</v>
      </c>
      <c r="I1947" s="4">
        <v>0</v>
      </c>
      <c r="J1947" s="4">
        <v>0</v>
      </c>
      <c r="K1947" s="4">
        <v>-1.7053025658242404E-13</v>
      </c>
      <c r="L1947" s="4">
        <v>0</v>
      </c>
      <c r="M1947" s="4">
        <v>1.1368683772161603E-13</v>
      </c>
      <c r="N1947" s="4">
        <v>-4.5474735088646412E-13</v>
      </c>
      <c r="O1947" s="4">
        <v>0</v>
      </c>
      <c r="P1947" s="4">
        <v>1.1368683772161603E-13</v>
      </c>
      <c r="Q1947" s="4">
        <v>-2.2737367544323206E-13</v>
      </c>
      <c r="R1947" s="4">
        <v>210.68</v>
      </c>
      <c r="S1947" s="8">
        <f t="shared" si="90"/>
        <v>-7.5791225147744016E-14</v>
      </c>
      <c r="T1947" s="8">
        <f t="shared" si="91"/>
        <v>210.68000000000009</v>
      </c>
      <c r="U1947" s="9">
        <f t="shared" si="92"/>
        <v>-2779741316878173.5</v>
      </c>
      <c r="V1947" t="s">
        <v>895</v>
      </c>
    </row>
    <row r="1948" spans="1:22" outlineLevel="2">
      <c r="A1948" t="s">
        <v>545</v>
      </c>
      <c r="B1948" t="s">
        <v>546</v>
      </c>
      <c r="C1948" t="s">
        <v>63</v>
      </c>
      <c r="D1948" t="s">
        <v>64</v>
      </c>
      <c r="E1948" s="4">
        <v>0</v>
      </c>
      <c r="F1948" s="4">
        <v>0</v>
      </c>
      <c r="G1948" s="4">
        <v>0</v>
      </c>
      <c r="H1948" s="4">
        <v>0</v>
      </c>
      <c r="I1948" s="4">
        <v>0</v>
      </c>
      <c r="J1948" s="4">
        <v>0</v>
      </c>
      <c r="K1948" s="4">
        <v>0</v>
      </c>
      <c r="L1948" s="4">
        <v>0</v>
      </c>
      <c r="M1948" s="4">
        <v>0</v>
      </c>
      <c r="N1948" s="4">
        <v>0</v>
      </c>
      <c r="O1948" s="4">
        <v>0</v>
      </c>
      <c r="P1948" s="4">
        <v>0</v>
      </c>
      <c r="Q1948" s="4">
        <v>0</v>
      </c>
      <c r="S1948" s="8">
        <f t="shared" si="90"/>
        <v>0</v>
      </c>
      <c r="T1948" s="8">
        <f t="shared" si="91"/>
        <v>0</v>
      </c>
      <c r="U1948" s="9" t="e">
        <f t="shared" si="92"/>
        <v>#DIV/0!</v>
      </c>
    </row>
    <row r="1949" spans="1:22" outlineLevel="2">
      <c r="A1949" t="s">
        <v>545</v>
      </c>
      <c r="B1949" t="s">
        <v>546</v>
      </c>
      <c r="C1949" t="s">
        <v>65</v>
      </c>
      <c r="D1949" t="s">
        <v>66</v>
      </c>
      <c r="E1949" s="4">
        <v>0</v>
      </c>
      <c r="F1949" s="4">
        <v>1.4210854715202004E-14</v>
      </c>
      <c r="G1949" s="4">
        <v>0</v>
      </c>
      <c r="H1949" s="4">
        <v>0</v>
      </c>
      <c r="I1949" s="4">
        <v>0</v>
      </c>
      <c r="J1949" s="4">
        <v>0</v>
      </c>
      <c r="K1949" s="4">
        <v>0</v>
      </c>
      <c r="L1949" s="4">
        <v>0</v>
      </c>
      <c r="M1949" s="4">
        <v>0</v>
      </c>
      <c r="N1949" s="4">
        <v>0</v>
      </c>
      <c r="O1949" s="4">
        <v>0</v>
      </c>
      <c r="P1949" s="4">
        <v>0</v>
      </c>
      <c r="Q1949" s="4">
        <v>0</v>
      </c>
      <c r="S1949" s="8">
        <f t="shared" si="90"/>
        <v>0</v>
      </c>
      <c r="T1949" s="8">
        <f t="shared" si="91"/>
        <v>0</v>
      </c>
      <c r="U1949" s="9" t="e">
        <f t="shared" si="92"/>
        <v>#DIV/0!</v>
      </c>
    </row>
    <row r="1950" spans="1:22" outlineLevel="2">
      <c r="A1950" t="s">
        <v>545</v>
      </c>
      <c r="B1950" t="s">
        <v>546</v>
      </c>
      <c r="C1950" t="s">
        <v>83</v>
      </c>
      <c r="D1950" t="s">
        <v>84</v>
      </c>
      <c r="E1950" s="4">
        <v>0</v>
      </c>
      <c r="F1950" s="4">
        <v>0</v>
      </c>
      <c r="G1950" s="4">
        <v>0</v>
      </c>
      <c r="H1950" s="4">
        <v>0</v>
      </c>
      <c r="I1950" s="4">
        <v>0</v>
      </c>
      <c r="J1950" s="4">
        <v>0</v>
      </c>
      <c r="K1950" s="4">
        <v>0</v>
      </c>
      <c r="L1950" s="4">
        <v>0</v>
      </c>
      <c r="M1950" s="4">
        <v>0</v>
      </c>
      <c r="N1950" s="4">
        <v>0</v>
      </c>
      <c r="O1950" s="4">
        <v>0</v>
      </c>
      <c r="P1950" s="4">
        <v>0</v>
      </c>
      <c r="Q1950" s="4">
        <v>0</v>
      </c>
      <c r="S1950" s="8">
        <f t="shared" si="90"/>
        <v>0</v>
      </c>
      <c r="T1950" s="8">
        <f t="shared" si="91"/>
        <v>0</v>
      </c>
      <c r="U1950" s="9" t="e">
        <f t="shared" si="92"/>
        <v>#DIV/0!</v>
      </c>
    </row>
    <row r="1951" spans="1:22" outlineLevel="2">
      <c r="A1951" t="s">
        <v>545</v>
      </c>
      <c r="B1951" t="s">
        <v>546</v>
      </c>
      <c r="C1951" t="s">
        <v>93</v>
      </c>
      <c r="D1951" t="s">
        <v>94</v>
      </c>
      <c r="E1951" s="4">
        <v>0</v>
      </c>
      <c r="F1951" s="4">
        <v>0</v>
      </c>
      <c r="G1951" s="4">
        <v>7.1054273576010019E-15</v>
      </c>
      <c r="H1951" s="4">
        <v>0</v>
      </c>
      <c r="I1951" s="4">
        <v>0</v>
      </c>
      <c r="J1951" s="4">
        <v>0</v>
      </c>
      <c r="K1951" s="4">
        <v>0</v>
      </c>
      <c r="L1951" s="4">
        <v>0</v>
      </c>
      <c r="M1951" s="4">
        <v>0</v>
      </c>
      <c r="N1951" s="4">
        <v>0</v>
      </c>
      <c r="O1951" s="4">
        <v>0</v>
      </c>
      <c r="P1951" s="4">
        <v>0</v>
      </c>
      <c r="Q1951" s="4">
        <v>0</v>
      </c>
      <c r="S1951" s="8">
        <f t="shared" si="90"/>
        <v>0</v>
      </c>
      <c r="T1951" s="8">
        <f t="shared" si="91"/>
        <v>0</v>
      </c>
      <c r="U1951" s="9" t="e">
        <f t="shared" si="92"/>
        <v>#DIV/0!</v>
      </c>
    </row>
    <row r="1952" spans="1:22" outlineLevel="2">
      <c r="A1952" t="s">
        <v>545</v>
      </c>
      <c r="B1952" t="s">
        <v>546</v>
      </c>
      <c r="C1952" t="s">
        <v>127</v>
      </c>
      <c r="D1952" t="s">
        <v>120</v>
      </c>
      <c r="E1952" s="4">
        <v>0</v>
      </c>
      <c r="F1952" s="4">
        <v>2.8421709430404007E-14</v>
      </c>
      <c r="G1952" s="4">
        <v>0</v>
      </c>
      <c r="H1952" s="4">
        <v>0</v>
      </c>
      <c r="I1952" s="4">
        <v>0</v>
      </c>
      <c r="J1952" s="4">
        <v>0</v>
      </c>
      <c r="K1952" s="4">
        <v>0</v>
      </c>
      <c r="L1952" s="4">
        <v>0</v>
      </c>
      <c r="M1952" s="4">
        <v>0</v>
      </c>
      <c r="N1952" s="4">
        <v>0</v>
      </c>
      <c r="O1952" s="4">
        <v>0</v>
      </c>
      <c r="P1952" s="4">
        <v>0</v>
      </c>
      <c r="Q1952" s="4">
        <v>0</v>
      </c>
      <c r="R1952" s="4">
        <v>54.42</v>
      </c>
      <c r="S1952" s="8">
        <f t="shared" si="90"/>
        <v>0</v>
      </c>
      <c r="T1952" s="8">
        <f t="shared" si="91"/>
        <v>54.42</v>
      </c>
      <c r="U1952" s="9" t="e">
        <f t="shared" si="92"/>
        <v>#DIV/0!</v>
      </c>
      <c r="V1952" t="s">
        <v>895</v>
      </c>
    </row>
    <row r="1953" spans="1:22" outlineLevel="2">
      <c r="A1953" t="s">
        <v>545</v>
      </c>
      <c r="B1953" t="s">
        <v>546</v>
      </c>
      <c r="C1953" t="s">
        <v>238</v>
      </c>
      <c r="D1953" t="s">
        <v>239</v>
      </c>
      <c r="E1953" s="4">
        <v>0</v>
      </c>
      <c r="F1953" s="4">
        <v>0</v>
      </c>
      <c r="G1953" s="4">
        <v>0</v>
      </c>
      <c r="H1953" s="4">
        <v>0</v>
      </c>
      <c r="I1953" s="4">
        <v>0</v>
      </c>
      <c r="J1953" s="4">
        <v>0</v>
      </c>
      <c r="K1953" s="4">
        <v>0</v>
      </c>
      <c r="L1953" s="4">
        <v>0</v>
      </c>
      <c r="M1953" s="4">
        <v>0</v>
      </c>
      <c r="N1953" s="4">
        <v>0</v>
      </c>
      <c r="O1953" s="4">
        <v>0</v>
      </c>
      <c r="P1953" s="4">
        <v>0</v>
      </c>
      <c r="Q1953" s="4">
        <v>0</v>
      </c>
      <c r="S1953" s="8">
        <f t="shared" si="90"/>
        <v>0</v>
      </c>
      <c r="T1953" s="8">
        <f t="shared" si="91"/>
        <v>0</v>
      </c>
      <c r="U1953" s="9" t="e">
        <f t="shared" si="92"/>
        <v>#DIV/0!</v>
      </c>
    </row>
    <row r="1954" spans="1:22" outlineLevel="2">
      <c r="A1954" t="s">
        <v>545</v>
      </c>
      <c r="B1954" t="s">
        <v>546</v>
      </c>
      <c r="C1954" t="s">
        <v>132</v>
      </c>
      <c r="D1954" t="s">
        <v>133</v>
      </c>
      <c r="E1954" s="4">
        <v>0</v>
      </c>
      <c r="F1954" s="4">
        <v>0</v>
      </c>
      <c r="G1954" s="4">
        <v>0</v>
      </c>
      <c r="H1954" s="4">
        <v>0</v>
      </c>
      <c r="I1954" s="4">
        <v>0</v>
      </c>
      <c r="J1954" s="4">
        <v>0</v>
      </c>
      <c r="K1954" s="4">
        <v>0</v>
      </c>
      <c r="L1954" s="4">
        <v>940</v>
      </c>
      <c r="M1954" s="4">
        <v>0</v>
      </c>
      <c r="N1954" s="4">
        <v>0</v>
      </c>
      <c r="O1954" s="4">
        <v>0</v>
      </c>
      <c r="P1954" s="4">
        <v>0</v>
      </c>
      <c r="Q1954" s="4">
        <v>0</v>
      </c>
      <c r="S1954" s="8">
        <f t="shared" si="90"/>
        <v>156.66666666666666</v>
      </c>
      <c r="T1954" s="8">
        <f t="shared" si="91"/>
        <v>-156.66666666666666</v>
      </c>
      <c r="U1954" s="9">
        <f t="shared" si="92"/>
        <v>-1</v>
      </c>
    </row>
    <row r="1955" spans="1:22" outlineLevel="1">
      <c r="A1955" s="1" t="s">
        <v>830</v>
      </c>
      <c r="E1955" s="4">
        <f>SUBTOTAL(9,E1929:E1954)</f>
        <v>137.06999999997828</v>
      </c>
      <c r="F1955" s="4">
        <f>SUBTOTAL(9,F1929:F1954)</f>
        <v>4865.1300000000028</v>
      </c>
      <c r="G1955" s="4">
        <f>SUBTOTAL(9,G1929:G1954)</f>
        <v>14835.089999999997</v>
      </c>
      <c r="H1955" s="4">
        <f>SUBTOTAL(9,H1929:H1954)</f>
        <v>23465.260000000006</v>
      </c>
      <c r="I1955" s="4">
        <f>SUBTOTAL(9,I1929:I1954)</f>
        <v>4430.0699999999724</v>
      </c>
      <c r="J1955" s="4">
        <f>SUBTOTAL(9,J1929:J1954)</f>
        <v>21307.760000000017</v>
      </c>
      <c r="K1955" s="4">
        <f>SUBTOTAL(9,K1929:K1954)</f>
        <v>8088.0800000000054</v>
      </c>
      <c r="L1955" s="4">
        <f>SUBTOTAL(9,L1929:L1954)</f>
        <v>9028.0800000000218</v>
      </c>
      <c r="M1955" s="4">
        <f>SUBTOTAL(9,M1929:M1954)</f>
        <v>23499.299999999988</v>
      </c>
      <c r="N1955" s="4">
        <f>SUBTOTAL(9,N1929:N1954)</f>
        <v>6575.2800000000025</v>
      </c>
      <c r="O1955" s="4">
        <f>SUBTOTAL(9,O1929:O1954)</f>
        <v>6575.2799999999979</v>
      </c>
      <c r="P1955" s="4">
        <f>SUBTOTAL(9,P1929:P1954)</f>
        <v>19925.409999999996</v>
      </c>
      <c r="Q1955" s="4">
        <f>SUBTOTAL(9,Q1929:Q1954)</f>
        <v>-1.5916157281026244E-12</v>
      </c>
      <c r="R1955" s="4">
        <f>SUBTOTAL(9,R1929:R1954)</f>
        <v>259481.49000000002</v>
      </c>
      <c r="S1955" s="8">
        <f t="shared" si="90"/>
        <v>10933.891666666668</v>
      </c>
      <c r="T1955" s="8">
        <f t="shared" si="91"/>
        <v>248547.59833333336</v>
      </c>
      <c r="U1955" s="9">
        <f t="shared" si="92"/>
        <v>22.731851193574716</v>
      </c>
      <c r="V1955" t="s">
        <v>896</v>
      </c>
    </row>
    <row r="1956" spans="1:22" outlineLevel="2">
      <c r="A1956" t="s">
        <v>547</v>
      </c>
      <c r="B1956" t="s">
        <v>548</v>
      </c>
      <c r="C1956" t="s">
        <v>53</v>
      </c>
      <c r="D1956" t="s">
        <v>54</v>
      </c>
      <c r="E1956" s="4">
        <v>0</v>
      </c>
      <c r="F1956" s="4">
        <v>0</v>
      </c>
      <c r="G1956" s="4">
        <v>5</v>
      </c>
      <c r="H1956" s="4">
        <v>0</v>
      </c>
      <c r="I1956" s="4">
        <v>0</v>
      </c>
      <c r="J1956" s="4">
        <v>0</v>
      </c>
      <c r="K1956" s="4">
        <v>0</v>
      </c>
      <c r="L1956" s="4">
        <v>0</v>
      </c>
      <c r="M1956" s="4">
        <v>0</v>
      </c>
      <c r="N1956" s="4">
        <v>0</v>
      </c>
      <c r="O1956" s="4">
        <v>0</v>
      </c>
      <c r="P1956" s="4">
        <v>0</v>
      </c>
      <c r="Q1956" s="4">
        <v>0</v>
      </c>
      <c r="S1956" s="8">
        <f t="shared" si="90"/>
        <v>0</v>
      </c>
      <c r="T1956" s="8">
        <f t="shared" si="91"/>
        <v>0</v>
      </c>
      <c r="U1956" s="9" t="e">
        <f t="shared" si="92"/>
        <v>#DIV/0!</v>
      </c>
    </row>
    <row r="1957" spans="1:22" outlineLevel="1">
      <c r="A1957" s="1" t="s">
        <v>831</v>
      </c>
      <c r="E1957" s="4">
        <f>SUBTOTAL(9,E1956:E1956)</f>
        <v>0</v>
      </c>
      <c r="F1957" s="4">
        <f>SUBTOTAL(9,F1956:F1956)</f>
        <v>0</v>
      </c>
      <c r="G1957" s="4">
        <f>SUBTOTAL(9,G1956:G1956)</f>
        <v>5</v>
      </c>
      <c r="H1957" s="4">
        <f>SUBTOTAL(9,H1956:H1956)</f>
        <v>0</v>
      </c>
      <c r="I1957" s="4">
        <f>SUBTOTAL(9,I1956:I1956)</f>
        <v>0</v>
      </c>
      <c r="J1957" s="4">
        <f>SUBTOTAL(9,J1956:J1956)</f>
        <v>0</v>
      </c>
      <c r="K1957" s="4">
        <f>SUBTOTAL(9,K1956:K1956)</f>
        <v>0</v>
      </c>
      <c r="L1957" s="4">
        <f>SUBTOTAL(9,L1956:L1956)</f>
        <v>0</v>
      </c>
      <c r="M1957" s="4">
        <f>SUBTOTAL(9,M1956:M1956)</f>
        <v>0</v>
      </c>
      <c r="N1957" s="4">
        <f>SUBTOTAL(9,N1956:N1956)</f>
        <v>0</v>
      </c>
      <c r="O1957" s="4">
        <f>SUBTOTAL(9,O1956:O1956)</f>
        <v>0</v>
      </c>
      <c r="P1957" s="4">
        <f>SUBTOTAL(9,P1956:P1956)</f>
        <v>0</v>
      </c>
      <c r="Q1957" s="4">
        <f>SUBTOTAL(9,Q1956:Q1956)</f>
        <v>0</v>
      </c>
      <c r="R1957" s="4">
        <f>SUBTOTAL(9,R1956:R1956)</f>
        <v>0</v>
      </c>
      <c r="S1957" s="8">
        <f t="shared" si="90"/>
        <v>0</v>
      </c>
      <c r="T1957" s="8">
        <f t="shared" si="91"/>
        <v>0</v>
      </c>
      <c r="U1957" s="9" t="e">
        <f t="shared" si="92"/>
        <v>#DIV/0!</v>
      </c>
    </row>
    <row r="1958" spans="1:22" outlineLevel="2">
      <c r="A1958" t="s">
        <v>549</v>
      </c>
      <c r="B1958" t="s">
        <v>550</v>
      </c>
      <c r="C1958" t="s">
        <v>21</v>
      </c>
      <c r="D1958" t="s">
        <v>22</v>
      </c>
      <c r="E1958" s="4">
        <v>394.98999999999995</v>
      </c>
      <c r="F1958" s="4">
        <v>283.34000000000003</v>
      </c>
      <c r="G1958" s="4">
        <v>244.63</v>
      </c>
      <c r="H1958" s="4">
        <v>0</v>
      </c>
      <c r="I1958" s="4">
        <v>0</v>
      </c>
      <c r="J1958" s="4">
        <v>48.66</v>
      </c>
      <c r="K1958" s="4">
        <v>13.24</v>
      </c>
      <c r="L1958" s="4">
        <v>0</v>
      </c>
      <c r="M1958" s="4">
        <v>319</v>
      </c>
      <c r="N1958" s="4">
        <v>162.71999999999997</v>
      </c>
      <c r="O1958" s="4">
        <v>0</v>
      </c>
      <c r="P1958" s="4">
        <v>98.03</v>
      </c>
      <c r="Q1958" s="4">
        <v>0</v>
      </c>
      <c r="S1958" s="8">
        <f t="shared" si="90"/>
        <v>96.625</v>
      </c>
      <c r="T1958" s="8">
        <f t="shared" si="91"/>
        <v>-96.625</v>
      </c>
      <c r="U1958" s="9">
        <f t="shared" si="92"/>
        <v>-1</v>
      </c>
    </row>
    <row r="1959" spans="1:22" outlineLevel="2">
      <c r="A1959" t="s">
        <v>549</v>
      </c>
      <c r="B1959" t="s">
        <v>550</v>
      </c>
      <c r="C1959" t="s">
        <v>23</v>
      </c>
      <c r="D1959" t="s">
        <v>24</v>
      </c>
      <c r="E1959" s="4">
        <v>3166.6600000000008</v>
      </c>
      <c r="F1959" s="4">
        <v>2571.2300000000005</v>
      </c>
      <c r="G1959" s="4">
        <v>2195.14</v>
      </c>
      <c r="H1959" s="4">
        <v>0</v>
      </c>
      <c r="I1959" s="4">
        <v>295.49</v>
      </c>
      <c r="J1959" s="4">
        <v>1284.78</v>
      </c>
      <c r="K1959" s="4">
        <v>1507.27</v>
      </c>
      <c r="L1959" s="4">
        <v>0</v>
      </c>
      <c r="M1959" s="4">
        <v>1372.56</v>
      </c>
      <c r="N1959" s="4">
        <v>0</v>
      </c>
      <c r="O1959" s="4">
        <v>0</v>
      </c>
      <c r="P1959" s="4">
        <v>0</v>
      </c>
      <c r="Q1959" s="4">
        <v>0</v>
      </c>
      <c r="S1959" s="8">
        <f t="shared" si="90"/>
        <v>228.76</v>
      </c>
      <c r="T1959" s="8">
        <f t="shared" si="91"/>
        <v>-228.76</v>
      </c>
      <c r="U1959" s="9">
        <f t="shared" si="92"/>
        <v>-1</v>
      </c>
    </row>
    <row r="1960" spans="1:22" outlineLevel="2">
      <c r="A1960" t="s">
        <v>549</v>
      </c>
      <c r="B1960" t="s">
        <v>550</v>
      </c>
      <c r="C1960" t="s">
        <v>25</v>
      </c>
      <c r="D1960" t="s">
        <v>26</v>
      </c>
      <c r="E1960" s="4">
        <v>0</v>
      </c>
      <c r="F1960" s="4">
        <v>0</v>
      </c>
      <c r="G1960" s="4">
        <v>0</v>
      </c>
      <c r="H1960" s="4">
        <v>0</v>
      </c>
      <c r="I1960" s="4">
        <v>0</v>
      </c>
      <c r="J1960" s="4">
        <v>0</v>
      </c>
      <c r="K1960" s="4">
        <v>0</v>
      </c>
      <c r="L1960" s="4">
        <v>0</v>
      </c>
      <c r="M1960" s="4">
        <v>0</v>
      </c>
      <c r="N1960" s="4">
        <v>446.95</v>
      </c>
      <c r="O1960" s="4">
        <v>0</v>
      </c>
      <c r="P1960" s="4">
        <v>607.3599999999999</v>
      </c>
      <c r="Q1960" s="4">
        <v>0</v>
      </c>
      <c r="S1960" s="8">
        <f t="shared" si="90"/>
        <v>175.71833333333333</v>
      </c>
      <c r="T1960" s="8">
        <f t="shared" si="91"/>
        <v>-175.71833333333333</v>
      </c>
      <c r="U1960" s="9">
        <f t="shared" si="92"/>
        <v>-1</v>
      </c>
    </row>
    <row r="1961" spans="1:22" outlineLevel="2">
      <c r="A1961" t="s">
        <v>549</v>
      </c>
      <c r="B1961" t="s">
        <v>550</v>
      </c>
      <c r="C1961" t="s">
        <v>27</v>
      </c>
      <c r="D1961" t="s">
        <v>28</v>
      </c>
      <c r="E1961" s="4">
        <v>0</v>
      </c>
      <c r="F1961" s="4">
        <v>0</v>
      </c>
      <c r="G1961" s="4">
        <v>0</v>
      </c>
      <c r="H1961" s="4">
        <v>0</v>
      </c>
      <c r="I1961" s="4">
        <v>0</v>
      </c>
      <c r="J1961" s="4">
        <v>0</v>
      </c>
      <c r="K1961" s="4">
        <v>0</v>
      </c>
      <c r="L1961" s="4">
        <v>258.02</v>
      </c>
      <c r="M1961" s="4">
        <v>301.07000000000005</v>
      </c>
      <c r="N1961" s="4">
        <v>1250.0999999999999</v>
      </c>
      <c r="O1961" s="4">
        <v>258.02</v>
      </c>
      <c r="P1961" s="4">
        <v>609</v>
      </c>
      <c r="Q1961" s="4">
        <v>0</v>
      </c>
      <c r="S1961" s="8">
        <f t="shared" si="90"/>
        <v>446.03500000000003</v>
      </c>
      <c r="T1961" s="8">
        <f t="shared" si="91"/>
        <v>-446.03500000000003</v>
      </c>
      <c r="U1961" s="9">
        <f t="shared" si="92"/>
        <v>-1</v>
      </c>
    </row>
    <row r="1962" spans="1:22" outlineLevel="2">
      <c r="A1962" t="s">
        <v>549</v>
      </c>
      <c r="B1962" t="s">
        <v>550</v>
      </c>
      <c r="C1962" t="s">
        <v>136</v>
      </c>
      <c r="D1962" t="s">
        <v>137</v>
      </c>
      <c r="E1962" s="4">
        <v>14391.72</v>
      </c>
      <c r="F1962" s="4">
        <v>-14391.720000000001</v>
      </c>
      <c r="G1962" s="4">
        <v>0</v>
      </c>
      <c r="H1962" s="4">
        <v>0</v>
      </c>
      <c r="I1962" s="4">
        <v>0</v>
      </c>
      <c r="J1962" s="4">
        <v>0</v>
      </c>
      <c r="K1962" s="4">
        <v>-3.637978807091713E-12</v>
      </c>
      <c r="L1962" s="4">
        <v>0</v>
      </c>
      <c r="M1962" s="4">
        <v>0</v>
      </c>
      <c r="N1962" s="4">
        <v>-1.8189894035458565E-12</v>
      </c>
      <c r="O1962" s="4">
        <v>0</v>
      </c>
      <c r="P1962" s="4">
        <v>0</v>
      </c>
      <c r="Q1962" s="4">
        <v>-1.8189894035458565E-12</v>
      </c>
      <c r="R1962" s="4">
        <v>13453.96</v>
      </c>
      <c r="S1962" s="8">
        <f t="shared" si="90"/>
        <v>-6.0632980118195212E-13</v>
      </c>
      <c r="T1962" s="8">
        <f t="shared" si="91"/>
        <v>13453.96</v>
      </c>
      <c r="U1962" s="9">
        <f t="shared" si="92"/>
        <v>-2.2189178189449788E+16</v>
      </c>
      <c r="V1962" t="s">
        <v>895</v>
      </c>
    </row>
    <row r="1963" spans="1:22" outlineLevel="2">
      <c r="A1963" t="s">
        <v>549</v>
      </c>
      <c r="B1963" t="s">
        <v>550</v>
      </c>
      <c r="C1963" t="s">
        <v>144</v>
      </c>
      <c r="D1963" t="s">
        <v>145</v>
      </c>
      <c r="E1963" s="4">
        <v>-131.89999999999992</v>
      </c>
      <c r="F1963" s="4">
        <v>-773.4</v>
      </c>
      <c r="G1963" s="4">
        <v>-773.4</v>
      </c>
      <c r="H1963" s="4">
        <v>-773.4</v>
      </c>
      <c r="I1963" s="4">
        <v>-773.4</v>
      </c>
      <c r="J1963" s="4">
        <v>-773.4</v>
      </c>
      <c r="K1963" s="4">
        <v>-773.4</v>
      </c>
      <c r="L1963" s="4">
        <v>-1160.0999999999999</v>
      </c>
      <c r="M1963" s="4">
        <v>-773.4</v>
      </c>
      <c r="N1963" s="4">
        <v>0</v>
      </c>
      <c r="O1963" s="4">
        <v>0</v>
      </c>
      <c r="P1963" s="4">
        <v>-773.4</v>
      </c>
      <c r="Q1963" s="4">
        <v>3794.51</v>
      </c>
      <c r="R1963" s="4">
        <v>-17464.13</v>
      </c>
      <c r="S1963" s="8">
        <f t="shared" si="90"/>
        <v>181.26833333333335</v>
      </c>
      <c r="T1963" s="8">
        <f t="shared" si="91"/>
        <v>-17645.398333333334</v>
      </c>
      <c r="U1963" s="9">
        <f t="shared" si="92"/>
        <v>-97.344075541784278</v>
      </c>
      <c r="V1963" t="s">
        <v>897</v>
      </c>
    </row>
    <row r="1964" spans="1:22" outlineLevel="2">
      <c r="A1964" t="s">
        <v>549</v>
      </c>
      <c r="B1964" t="s">
        <v>550</v>
      </c>
      <c r="C1964" t="s">
        <v>146</v>
      </c>
      <c r="D1964" t="s">
        <v>147</v>
      </c>
      <c r="E1964" s="4">
        <v>1439.1800000000005</v>
      </c>
      <c r="F1964" s="4">
        <v>-1439.1799999999998</v>
      </c>
      <c r="G1964" s="4">
        <v>0</v>
      </c>
      <c r="H1964" s="4">
        <v>0</v>
      </c>
      <c r="I1964" s="4">
        <v>0</v>
      </c>
      <c r="J1964" s="4">
        <v>0</v>
      </c>
      <c r="K1964" s="4">
        <v>-1.1368683772161603E-13</v>
      </c>
      <c r="L1964" s="4">
        <v>2.2737367544323206E-13</v>
      </c>
      <c r="M1964" s="4">
        <v>297.68000000000012</v>
      </c>
      <c r="N1964" s="4">
        <v>2.2737367544323206E-13</v>
      </c>
      <c r="O1964" s="4">
        <v>0</v>
      </c>
      <c r="P1964" s="4">
        <v>2.2737367544323206E-13</v>
      </c>
      <c r="Q1964" s="4">
        <v>2.8421709430404007E-13</v>
      </c>
      <c r="R1964" s="4">
        <v>1345.4</v>
      </c>
      <c r="S1964" s="8">
        <f t="shared" si="90"/>
        <v>49.613333333333514</v>
      </c>
      <c r="T1964" s="8">
        <f t="shared" si="91"/>
        <v>1295.7866666666666</v>
      </c>
      <c r="U1964" s="9">
        <f t="shared" si="92"/>
        <v>26.11771029293191</v>
      </c>
    </row>
    <row r="1965" spans="1:22" outlineLevel="2">
      <c r="A1965" t="s">
        <v>549</v>
      </c>
      <c r="B1965" t="s">
        <v>550</v>
      </c>
      <c r="C1965" t="s">
        <v>150</v>
      </c>
      <c r="D1965" t="s">
        <v>151</v>
      </c>
      <c r="E1965" s="4">
        <v>0</v>
      </c>
      <c r="F1965" s="4">
        <v>0</v>
      </c>
      <c r="G1965" s="4">
        <v>0</v>
      </c>
      <c r="H1965" s="4">
        <v>16898.669999999998</v>
      </c>
      <c r="I1965" s="4">
        <v>7393.17</v>
      </c>
      <c r="J1965" s="4">
        <v>4900.62</v>
      </c>
      <c r="K1965" s="4">
        <v>5946.65</v>
      </c>
      <c r="L1965" s="4">
        <v>5946.65</v>
      </c>
      <c r="M1965" s="4">
        <v>5946.65</v>
      </c>
      <c r="N1965" s="4">
        <v>5619.58</v>
      </c>
      <c r="O1965" s="4">
        <v>5619.58</v>
      </c>
      <c r="P1965" s="4">
        <v>5619.58</v>
      </c>
      <c r="Q1965" s="4">
        <v>3595.1</v>
      </c>
      <c r="R1965" s="4">
        <v>3400.9600000000005</v>
      </c>
      <c r="S1965" s="8">
        <f t="shared" si="90"/>
        <v>5391.19</v>
      </c>
      <c r="T1965" s="8">
        <f t="shared" si="91"/>
        <v>-1990.2299999999991</v>
      </c>
      <c r="U1965" s="9">
        <f t="shared" si="92"/>
        <v>-0.36916339435263817</v>
      </c>
    </row>
    <row r="1966" spans="1:22" outlineLevel="2">
      <c r="A1966" t="s">
        <v>549</v>
      </c>
      <c r="B1966" t="s">
        <v>550</v>
      </c>
      <c r="C1966" t="s">
        <v>152</v>
      </c>
      <c r="D1966" t="s">
        <v>153</v>
      </c>
      <c r="E1966" s="4">
        <v>1038.8600000000001</v>
      </c>
      <c r="F1966" s="4">
        <v>-1038.8600000000001</v>
      </c>
      <c r="G1966" s="4">
        <v>4.5474735088646412E-13</v>
      </c>
      <c r="H1966" s="4">
        <v>-5.6843418860808015E-14</v>
      </c>
      <c r="I1966" s="4">
        <v>0</v>
      </c>
      <c r="J1966" s="4">
        <v>0</v>
      </c>
      <c r="K1966" s="4">
        <v>0</v>
      </c>
      <c r="L1966" s="4">
        <v>0</v>
      </c>
      <c r="M1966" s="4">
        <v>0</v>
      </c>
      <c r="N1966" s="4">
        <v>0</v>
      </c>
      <c r="O1966" s="4">
        <v>0</v>
      </c>
      <c r="P1966" s="4">
        <v>0</v>
      </c>
      <c r="Q1966" s="4">
        <v>-5.6843418860808015E-14</v>
      </c>
      <c r="R1966" s="4">
        <v>968.4</v>
      </c>
      <c r="S1966" s="8">
        <f t="shared" si="90"/>
        <v>-9.473903143468002E-15</v>
      </c>
      <c r="T1966" s="8">
        <f t="shared" si="91"/>
        <v>968.4</v>
      </c>
      <c r="U1966" s="9">
        <f t="shared" si="92"/>
        <v>-1.0221763779247474E+17</v>
      </c>
      <c r="V1966" t="s">
        <v>895</v>
      </c>
    </row>
    <row r="1967" spans="1:22" outlineLevel="2">
      <c r="A1967" t="s">
        <v>549</v>
      </c>
      <c r="B1967" t="s">
        <v>550</v>
      </c>
      <c r="C1967" t="s">
        <v>154</v>
      </c>
      <c r="D1967" t="s">
        <v>155</v>
      </c>
      <c r="E1967" s="4">
        <v>63</v>
      </c>
      <c r="F1967" s="4">
        <v>-63</v>
      </c>
      <c r="G1967" s="4">
        <v>0</v>
      </c>
      <c r="H1967" s="4">
        <v>0</v>
      </c>
      <c r="I1967" s="4">
        <v>-7</v>
      </c>
      <c r="J1967" s="4">
        <v>0</v>
      </c>
      <c r="K1967" s="4">
        <v>0</v>
      </c>
      <c r="L1967" s="4">
        <v>0</v>
      </c>
      <c r="M1967" s="4">
        <v>0</v>
      </c>
      <c r="N1967" s="4">
        <v>0</v>
      </c>
      <c r="O1967" s="4">
        <v>0</v>
      </c>
      <c r="P1967" s="4">
        <v>0</v>
      </c>
      <c r="Q1967" s="4">
        <v>-1.7763568394002505E-15</v>
      </c>
      <c r="S1967" s="8">
        <f t="shared" si="90"/>
        <v>-2.9605947323337506E-16</v>
      </c>
      <c r="T1967" s="8">
        <f t="shared" si="91"/>
        <v>2.9605947323337506E-16</v>
      </c>
      <c r="U1967" s="9">
        <f t="shared" si="92"/>
        <v>-1</v>
      </c>
    </row>
    <row r="1968" spans="1:22" outlineLevel="2">
      <c r="A1968" t="s">
        <v>549</v>
      </c>
      <c r="B1968" t="s">
        <v>550</v>
      </c>
      <c r="C1968" t="s">
        <v>37</v>
      </c>
      <c r="D1968" t="s">
        <v>38</v>
      </c>
      <c r="E1968" s="4">
        <v>0</v>
      </c>
      <c r="F1968" s="4">
        <v>0</v>
      </c>
      <c r="G1968" s="4">
        <v>0</v>
      </c>
      <c r="H1968" s="4">
        <v>0</v>
      </c>
      <c r="I1968" s="4">
        <v>0</v>
      </c>
      <c r="J1968" s="4">
        <v>0</v>
      </c>
      <c r="K1968" s="4">
        <v>0</v>
      </c>
      <c r="L1968" s="4">
        <v>0</v>
      </c>
      <c r="M1968" s="4">
        <v>0</v>
      </c>
      <c r="N1968" s="4">
        <v>0</v>
      </c>
      <c r="O1968" s="4">
        <v>0</v>
      </c>
      <c r="P1968" s="4">
        <v>-5767.44</v>
      </c>
      <c r="Q1968" s="4">
        <v>0</v>
      </c>
      <c r="S1968" s="8">
        <f t="shared" si="90"/>
        <v>-961.2399999999999</v>
      </c>
      <c r="T1968" s="8">
        <f t="shared" si="91"/>
        <v>961.2399999999999</v>
      </c>
      <c r="U1968" s="9">
        <f t="shared" si="92"/>
        <v>-1</v>
      </c>
    </row>
    <row r="1969" spans="1:22" outlineLevel="2">
      <c r="A1969" t="s">
        <v>549</v>
      </c>
      <c r="B1969" t="s">
        <v>550</v>
      </c>
      <c r="C1969" t="s">
        <v>158</v>
      </c>
      <c r="D1969" t="s">
        <v>159</v>
      </c>
      <c r="E1969" s="4">
        <v>0</v>
      </c>
      <c r="F1969" s="4">
        <v>0</v>
      </c>
      <c r="G1969" s="4">
        <v>30633.49</v>
      </c>
      <c r="H1969" s="4">
        <v>0</v>
      </c>
      <c r="I1969" s="4">
        <v>0</v>
      </c>
      <c r="J1969" s="4">
        <v>30330.78</v>
      </c>
      <c r="K1969" s="4">
        <v>0</v>
      </c>
      <c r="L1969" s="4">
        <v>0</v>
      </c>
      <c r="M1969" s="4">
        <v>25417.7</v>
      </c>
      <c r="N1969" s="4">
        <v>0</v>
      </c>
      <c r="O1969" s="4">
        <v>0</v>
      </c>
      <c r="P1969" s="4">
        <v>26368.28</v>
      </c>
      <c r="Q1969" s="4">
        <v>4000</v>
      </c>
      <c r="R1969" s="4">
        <v>4000</v>
      </c>
      <c r="S1969" s="8">
        <f t="shared" si="90"/>
        <v>9297.663333333332</v>
      </c>
      <c r="T1969" s="8">
        <f t="shared" si="91"/>
        <v>-5297.663333333332</v>
      </c>
      <c r="U1969" s="9">
        <f t="shared" si="92"/>
        <v>-0.56978437951614358</v>
      </c>
    </row>
    <row r="1970" spans="1:22" outlineLevel="2">
      <c r="A1970" t="s">
        <v>549</v>
      </c>
      <c r="B1970" t="s">
        <v>550</v>
      </c>
      <c r="C1970" t="s">
        <v>234</v>
      </c>
      <c r="D1970" t="s">
        <v>235</v>
      </c>
      <c r="E1970" s="4">
        <v>2245.08</v>
      </c>
      <c r="F1970" s="4">
        <v>2245.08</v>
      </c>
      <c r="G1970" s="4">
        <v>2245.08</v>
      </c>
      <c r="H1970" s="4">
        <v>2245.08</v>
      </c>
      <c r="I1970" s="4">
        <v>2245.08</v>
      </c>
      <c r="J1970" s="4">
        <v>1345.08</v>
      </c>
      <c r="K1970" s="4">
        <v>1945.08</v>
      </c>
      <c r="L1970" s="4">
        <v>1945.07</v>
      </c>
      <c r="M1970" s="4">
        <v>1945.07</v>
      </c>
      <c r="N1970" s="4">
        <v>1945.07</v>
      </c>
      <c r="O1970" s="4">
        <v>1945.07</v>
      </c>
      <c r="P1970" s="4">
        <v>1945.07</v>
      </c>
      <c r="Q1970" s="4">
        <v>1945.07</v>
      </c>
      <c r="R1970" s="4">
        <v>1945.07</v>
      </c>
      <c r="S1970" s="8">
        <f t="shared" si="90"/>
        <v>1945.07</v>
      </c>
      <c r="T1970" s="8">
        <f t="shared" si="91"/>
        <v>0</v>
      </c>
      <c r="U1970" s="9">
        <f t="shared" si="92"/>
        <v>0</v>
      </c>
    </row>
    <row r="1971" spans="1:22" outlineLevel="2">
      <c r="A1971" t="s">
        <v>549</v>
      </c>
      <c r="B1971" t="s">
        <v>550</v>
      </c>
      <c r="C1971" t="s">
        <v>51</v>
      </c>
      <c r="D1971" t="s">
        <v>52</v>
      </c>
      <c r="E1971" s="4">
        <v>0</v>
      </c>
      <c r="F1971" s="4">
        <v>0</v>
      </c>
      <c r="G1971" s="4">
        <v>0</v>
      </c>
      <c r="H1971" s="4">
        <v>0</v>
      </c>
      <c r="I1971" s="4">
        <v>0</v>
      </c>
      <c r="J1971" s="4">
        <v>0</v>
      </c>
      <c r="K1971" s="4">
        <v>252.35</v>
      </c>
      <c r="L1971" s="4">
        <v>0</v>
      </c>
      <c r="M1971" s="4">
        <v>0</v>
      </c>
      <c r="N1971" s="4">
        <v>0</v>
      </c>
      <c r="O1971" s="4">
        <v>0</v>
      </c>
      <c r="P1971" s="4">
        <v>0</v>
      </c>
      <c r="Q1971" s="4">
        <v>0</v>
      </c>
      <c r="S1971" s="8">
        <f t="shared" si="90"/>
        <v>0</v>
      </c>
      <c r="T1971" s="8">
        <f t="shared" si="91"/>
        <v>0</v>
      </c>
      <c r="U1971" s="9" t="e">
        <f t="shared" si="92"/>
        <v>#DIV/0!</v>
      </c>
    </row>
    <row r="1972" spans="1:22" outlineLevel="2">
      <c r="A1972" t="s">
        <v>549</v>
      </c>
      <c r="B1972" t="s">
        <v>550</v>
      </c>
      <c r="C1972" t="s">
        <v>164</v>
      </c>
      <c r="D1972" t="s">
        <v>165</v>
      </c>
      <c r="E1972" s="4">
        <v>105</v>
      </c>
      <c r="F1972" s="4">
        <v>-105</v>
      </c>
      <c r="G1972" s="4">
        <v>0</v>
      </c>
      <c r="H1972" s="4">
        <v>0</v>
      </c>
      <c r="I1972" s="4">
        <v>70</v>
      </c>
      <c r="J1972" s="4">
        <v>0</v>
      </c>
      <c r="K1972" s="4">
        <v>0</v>
      </c>
      <c r="L1972" s="4">
        <v>0</v>
      </c>
      <c r="M1972" s="4">
        <v>0</v>
      </c>
      <c r="N1972" s="4">
        <v>0</v>
      </c>
      <c r="O1972" s="4">
        <v>0</v>
      </c>
      <c r="P1972" s="4">
        <v>0</v>
      </c>
      <c r="Q1972" s="4">
        <v>0</v>
      </c>
      <c r="R1972" s="4">
        <v>70</v>
      </c>
      <c r="S1972" s="8">
        <f t="shared" si="90"/>
        <v>0</v>
      </c>
      <c r="T1972" s="8">
        <f t="shared" si="91"/>
        <v>70</v>
      </c>
      <c r="U1972" s="9" t="e">
        <f t="shared" si="92"/>
        <v>#DIV/0!</v>
      </c>
      <c r="V1972" t="s">
        <v>895</v>
      </c>
    </row>
    <row r="1973" spans="1:22" outlineLevel="2">
      <c r="A1973" t="s">
        <v>549</v>
      </c>
      <c r="B1973" t="s">
        <v>550</v>
      </c>
      <c r="C1973" t="s">
        <v>55</v>
      </c>
      <c r="D1973" t="s">
        <v>56</v>
      </c>
      <c r="E1973" s="4">
        <v>0</v>
      </c>
      <c r="F1973" s="4">
        <v>0</v>
      </c>
      <c r="G1973" s="4">
        <v>0</v>
      </c>
      <c r="H1973" s="4">
        <v>0</v>
      </c>
      <c r="I1973" s="4">
        <v>0</v>
      </c>
      <c r="J1973" s="4">
        <v>0</v>
      </c>
      <c r="K1973" s="4">
        <v>7.72</v>
      </c>
      <c r="L1973" s="4">
        <v>0</v>
      </c>
      <c r="M1973" s="4">
        <v>0</v>
      </c>
      <c r="N1973" s="4">
        <v>0</v>
      </c>
      <c r="O1973" s="4">
        <v>0</v>
      </c>
      <c r="P1973" s="4">
        <v>0</v>
      </c>
      <c r="Q1973" s="4">
        <v>0</v>
      </c>
      <c r="S1973" s="8">
        <f t="shared" si="90"/>
        <v>0</v>
      </c>
      <c r="T1973" s="8">
        <f t="shared" si="91"/>
        <v>0</v>
      </c>
      <c r="U1973" s="9" t="e">
        <f t="shared" si="92"/>
        <v>#DIV/0!</v>
      </c>
    </row>
    <row r="1974" spans="1:22" outlineLevel="2">
      <c r="A1974" t="s">
        <v>549</v>
      </c>
      <c r="B1974" t="s">
        <v>550</v>
      </c>
      <c r="C1974" t="s">
        <v>65</v>
      </c>
      <c r="D1974" t="s">
        <v>66</v>
      </c>
      <c r="E1974" s="4">
        <v>0</v>
      </c>
      <c r="F1974" s="4">
        <v>0</v>
      </c>
      <c r="G1974" s="4">
        <v>12.59</v>
      </c>
      <c r="H1974" s="4">
        <v>0</v>
      </c>
      <c r="I1974" s="4">
        <v>0</v>
      </c>
      <c r="J1974" s="4">
        <v>14.69</v>
      </c>
      <c r="K1974" s="4">
        <v>161.29</v>
      </c>
      <c r="L1974" s="4">
        <v>0</v>
      </c>
      <c r="M1974" s="4">
        <v>307.62</v>
      </c>
      <c r="N1974" s="4">
        <v>0</v>
      </c>
      <c r="O1974" s="4">
        <v>0</v>
      </c>
      <c r="P1974" s="4">
        <v>0</v>
      </c>
      <c r="Q1974" s="4">
        <v>0</v>
      </c>
      <c r="S1974" s="8">
        <f t="shared" si="90"/>
        <v>51.27</v>
      </c>
      <c r="T1974" s="8">
        <f t="shared" si="91"/>
        <v>-51.27</v>
      </c>
      <c r="U1974" s="9">
        <f t="shared" si="92"/>
        <v>-1</v>
      </c>
    </row>
    <row r="1975" spans="1:22" outlineLevel="2">
      <c r="A1975" t="s">
        <v>549</v>
      </c>
      <c r="B1975" t="s">
        <v>550</v>
      </c>
      <c r="C1975" t="s">
        <v>69</v>
      </c>
      <c r="D1975" t="s">
        <v>70</v>
      </c>
      <c r="E1975" s="4">
        <v>0</v>
      </c>
      <c r="F1975" s="4">
        <v>0</v>
      </c>
      <c r="G1975" s="4">
        <v>0</v>
      </c>
      <c r="H1975" s="4">
        <v>-20.3900000000001</v>
      </c>
      <c r="I1975" s="4">
        <v>0</v>
      </c>
      <c r="J1975" s="4">
        <v>0</v>
      </c>
      <c r="K1975" s="4">
        <v>0</v>
      </c>
      <c r="L1975" s="4">
        <v>0</v>
      </c>
      <c r="M1975" s="4">
        <v>0</v>
      </c>
      <c r="N1975" s="4">
        <v>0</v>
      </c>
      <c r="O1975" s="4">
        <v>0</v>
      </c>
      <c r="P1975" s="4">
        <v>0</v>
      </c>
      <c r="Q1975" s="4">
        <v>0</v>
      </c>
      <c r="S1975" s="8">
        <f t="shared" si="90"/>
        <v>0</v>
      </c>
      <c r="T1975" s="8">
        <f t="shared" si="91"/>
        <v>0</v>
      </c>
      <c r="U1975" s="9" t="e">
        <f t="shared" si="92"/>
        <v>#DIV/0!</v>
      </c>
    </row>
    <row r="1976" spans="1:22" outlineLevel="2">
      <c r="A1976" t="s">
        <v>549</v>
      </c>
      <c r="B1976" t="s">
        <v>550</v>
      </c>
      <c r="C1976" t="s">
        <v>83</v>
      </c>
      <c r="D1976" t="s">
        <v>84</v>
      </c>
      <c r="E1976" s="4">
        <v>0</v>
      </c>
      <c r="F1976" s="4">
        <v>0</v>
      </c>
      <c r="G1976" s="4">
        <v>0</v>
      </c>
      <c r="H1976" s="4">
        <v>0</v>
      </c>
      <c r="I1976" s="4">
        <v>153.79</v>
      </c>
      <c r="J1976" s="4">
        <v>0</v>
      </c>
      <c r="K1976" s="4">
        <v>0</v>
      </c>
      <c r="L1976" s="4">
        <v>0</v>
      </c>
      <c r="M1976" s="4">
        <v>0</v>
      </c>
      <c r="N1976" s="4">
        <v>0</v>
      </c>
      <c r="O1976" s="4">
        <v>0</v>
      </c>
      <c r="P1976" s="4">
        <v>0</v>
      </c>
      <c r="Q1976" s="4">
        <v>0</v>
      </c>
      <c r="S1976" s="8">
        <f t="shared" si="90"/>
        <v>0</v>
      </c>
      <c r="T1976" s="8">
        <f t="shared" si="91"/>
        <v>0</v>
      </c>
      <c r="U1976" s="9" t="e">
        <f t="shared" si="92"/>
        <v>#DIV/0!</v>
      </c>
    </row>
    <row r="1977" spans="1:22" outlineLevel="2">
      <c r="A1977" t="s">
        <v>549</v>
      </c>
      <c r="B1977" t="s">
        <v>550</v>
      </c>
      <c r="C1977" t="s">
        <v>93</v>
      </c>
      <c r="D1977" t="s">
        <v>94</v>
      </c>
      <c r="E1977" s="4">
        <v>0</v>
      </c>
      <c r="F1977" s="4">
        <v>0</v>
      </c>
      <c r="G1977" s="4">
        <v>1387.1499999999999</v>
      </c>
      <c r="H1977" s="4">
        <v>0</v>
      </c>
      <c r="I1977" s="4">
        <v>139.35</v>
      </c>
      <c r="J1977" s="4">
        <v>0</v>
      </c>
      <c r="K1977" s="4">
        <v>0</v>
      </c>
      <c r="L1977" s="4">
        <v>0</v>
      </c>
      <c r="M1977" s="4">
        <v>0</v>
      </c>
      <c r="N1977" s="4">
        <v>0</v>
      </c>
      <c r="O1977" s="4">
        <v>0</v>
      </c>
      <c r="P1977" s="4">
        <v>0</v>
      </c>
      <c r="Q1977" s="4">
        <v>0</v>
      </c>
      <c r="S1977" s="8">
        <f t="shared" si="90"/>
        <v>0</v>
      </c>
      <c r="T1977" s="8">
        <f t="shared" si="91"/>
        <v>0</v>
      </c>
      <c r="U1977" s="9" t="e">
        <f t="shared" si="92"/>
        <v>#DIV/0!</v>
      </c>
    </row>
    <row r="1978" spans="1:22" outlineLevel="2">
      <c r="A1978" t="s">
        <v>549</v>
      </c>
      <c r="B1978" t="s">
        <v>550</v>
      </c>
      <c r="C1978" t="s">
        <v>168</v>
      </c>
      <c r="D1978" t="s">
        <v>169</v>
      </c>
      <c r="E1978" s="4">
        <v>0</v>
      </c>
      <c r="F1978" s="4">
        <v>0</v>
      </c>
      <c r="G1978" s="4">
        <v>0</v>
      </c>
      <c r="H1978" s="4">
        <v>5349.9</v>
      </c>
      <c r="I1978" s="4">
        <v>1.1368683772161603E-13</v>
      </c>
      <c r="J1978" s="4">
        <v>-6.8212102632969618E-13</v>
      </c>
      <c r="K1978" s="4">
        <v>-5349.9</v>
      </c>
      <c r="L1978" s="4">
        <v>0</v>
      </c>
      <c r="M1978" s="4">
        <v>0</v>
      </c>
      <c r="N1978" s="4">
        <v>0</v>
      </c>
      <c r="O1978" s="4">
        <v>0</v>
      </c>
      <c r="P1978" s="4">
        <v>0</v>
      </c>
      <c r="Q1978" s="4">
        <v>0</v>
      </c>
      <c r="S1978" s="8">
        <f t="shared" si="90"/>
        <v>0</v>
      </c>
      <c r="T1978" s="8">
        <f t="shared" si="91"/>
        <v>0</v>
      </c>
      <c r="U1978" s="9" t="e">
        <f t="shared" si="92"/>
        <v>#DIV/0!</v>
      </c>
    </row>
    <row r="1979" spans="1:22" outlineLevel="2">
      <c r="A1979" t="s">
        <v>549</v>
      </c>
      <c r="B1979" t="s">
        <v>550</v>
      </c>
      <c r="C1979" t="s">
        <v>99</v>
      </c>
      <c r="D1979" t="s">
        <v>100</v>
      </c>
      <c r="E1979" s="4">
        <v>0</v>
      </c>
      <c r="F1979" s="4">
        <v>18500</v>
      </c>
      <c r="G1979" s="4">
        <v>0</v>
      </c>
      <c r="H1979" s="4">
        <v>0</v>
      </c>
      <c r="I1979" s="4">
        <v>0</v>
      </c>
      <c r="J1979" s="4">
        <v>0</v>
      </c>
      <c r="K1979" s="4">
        <v>0</v>
      </c>
      <c r="L1979" s="4">
        <v>0</v>
      </c>
      <c r="M1979" s="4">
        <v>0</v>
      </c>
      <c r="N1979" s="4">
        <v>0</v>
      </c>
      <c r="O1979" s="4">
        <v>0</v>
      </c>
      <c r="P1979" s="4">
        <v>0</v>
      </c>
      <c r="Q1979" s="4">
        <v>0</v>
      </c>
      <c r="S1979" s="8">
        <f t="shared" si="90"/>
        <v>0</v>
      </c>
      <c r="T1979" s="8">
        <f t="shared" si="91"/>
        <v>0</v>
      </c>
      <c r="U1979" s="9" t="e">
        <f t="shared" si="92"/>
        <v>#DIV/0!</v>
      </c>
    </row>
    <row r="1980" spans="1:22" outlineLevel="2">
      <c r="A1980" t="s">
        <v>549</v>
      </c>
      <c r="B1980" t="s">
        <v>550</v>
      </c>
      <c r="C1980" t="s">
        <v>236</v>
      </c>
      <c r="D1980" t="s">
        <v>237</v>
      </c>
      <c r="E1980" s="4">
        <v>0</v>
      </c>
      <c r="F1980" s="4">
        <v>-18750</v>
      </c>
      <c r="G1980" s="4">
        <v>-18750</v>
      </c>
      <c r="H1980" s="4">
        <v>-18750</v>
      </c>
      <c r="I1980" s="4">
        <v>-18750</v>
      </c>
      <c r="J1980" s="4">
        <v>-18750</v>
      </c>
      <c r="K1980" s="4">
        <v>-18750</v>
      </c>
      <c r="L1980" s="4">
        <v>-18750</v>
      </c>
      <c r="M1980" s="4">
        <v>-18750</v>
      </c>
      <c r="N1980" s="4">
        <v>-18750</v>
      </c>
      <c r="O1980" s="4">
        <v>-18750</v>
      </c>
      <c r="P1980" s="4">
        <v>-18750</v>
      </c>
      <c r="Q1980" s="4">
        <v>-18750</v>
      </c>
      <c r="R1980" s="4">
        <v>-18750</v>
      </c>
      <c r="S1980" s="8">
        <f t="shared" si="90"/>
        <v>-18750</v>
      </c>
      <c r="T1980" s="8">
        <f t="shared" si="91"/>
        <v>0</v>
      </c>
      <c r="U1980" s="9">
        <f t="shared" si="92"/>
        <v>0</v>
      </c>
      <c r="V1980" t="s">
        <v>897</v>
      </c>
    </row>
    <row r="1981" spans="1:22" outlineLevel="2">
      <c r="A1981" t="s">
        <v>549</v>
      </c>
      <c r="B1981" t="s">
        <v>550</v>
      </c>
      <c r="C1981" t="s">
        <v>300</v>
      </c>
      <c r="D1981" t="s">
        <v>301</v>
      </c>
      <c r="E1981" s="4">
        <v>0</v>
      </c>
      <c r="F1981" s="4">
        <v>18750</v>
      </c>
      <c r="G1981" s="4">
        <v>18750</v>
      </c>
      <c r="H1981" s="4">
        <v>18750</v>
      </c>
      <c r="I1981" s="4">
        <v>18750</v>
      </c>
      <c r="J1981" s="4">
        <v>18750</v>
      </c>
      <c r="K1981" s="4">
        <v>18750</v>
      </c>
      <c r="L1981" s="4">
        <v>18750</v>
      </c>
      <c r="M1981" s="4">
        <v>18750</v>
      </c>
      <c r="N1981" s="4">
        <v>18750</v>
      </c>
      <c r="O1981" s="4">
        <v>18750</v>
      </c>
      <c r="P1981" s="4">
        <v>18750</v>
      </c>
      <c r="Q1981" s="4">
        <v>0</v>
      </c>
      <c r="S1981" s="8">
        <f t="shared" si="90"/>
        <v>15625</v>
      </c>
      <c r="T1981" s="8">
        <f t="shared" si="91"/>
        <v>-15625</v>
      </c>
      <c r="U1981" s="9">
        <f t="shared" si="92"/>
        <v>-1</v>
      </c>
    </row>
    <row r="1982" spans="1:22" outlineLevel="2">
      <c r="A1982" t="s">
        <v>549</v>
      </c>
      <c r="B1982" t="s">
        <v>550</v>
      </c>
      <c r="C1982" t="s">
        <v>172</v>
      </c>
      <c r="D1982" t="s">
        <v>173</v>
      </c>
      <c r="E1982" s="4">
        <v>59.67</v>
      </c>
      <c r="F1982" s="4">
        <v>59.67</v>
      </c>
      <c r="G1982" s="4">
        <v>-54.010000000000005</v>
      </c>
      <c r="H1982" s="4">
        <v>66.67</v>
      </c>
      <c r="I1982" s="4">
        <v>66.67</v>
      </c>
      <c r="J1982" s="4">
        <v>66.67</v>
      </c>
      <c r="K1982" s="4">
        <v>66.67</v>
      </c>
      <c r="L1982" s="4">
        <v>66.67</v>
      </c>
      <c r="M1982" s="4">
        <v>66.67</v>
      </c>
      <c r="N1982" s="4">
        <v>66.67</v>
      </c>
      <c r="O1982" s="4">
        <v>-66.67</v>
      </c>
      <c r="P1982" s="4">
        <v>0</v>
      </c>
      <c r="Q1982" s="4">
        <v>66.67</v>
      </c>
      <c r="S1982" s="8">
        <f t="shared" si="90"/>
        <v>33.335000000000001</v>
      </c>
      <c r="T1982" s="8">
        <f t="shared" si="91"/>
        <v>-33.335000000000001</v>
      </c>
      <c r="U1982" s="9">
        <f t="shared" si="92"/>
        <v>-1</v>
      </c>
    </row>
    <row r="1983" spans="1:22" outlineLevel="1">
      <c r="A1983" s="1" t="s">
        <v>832</v>
      </c>
      <c r="E1983" s="4">
        <f>SUBTOTAL(9,E1958:E1982)</f>
        <v>22772.259999999995</v>
      </c>
      <c r="F1983" s="4">
        <f>SUBTOTAL(9,F1958:F1982)</f>
        <v>5848.159999999998</v>
      </c>
      <c r="G1983" s="4">
        <f>SUBTOTAL(9,G1958:G1982)</f>
        <v>35890.67</v>
      </c>
      <c r="H1983" s="4">
        <f>SUBTOTAL(9,H1958:H1982)</f>
        <v>23766.53</v>
      </c>
      <c r="I1983" s="4">
        <f>SUBTOTAL(9,I1958:I1982)</f>
        <v>9583.1500000000015</v>
      </c>
      <c r="J1983" s="4">
        <f>SUBTOTAL(9,J1958:J1982)</f>
        <v>37217.880000000005</v>
      </c>
      <c r="K1983" s="4">
        <f>SUBTOTAL(9,K1958:K1982)</f>
        <v>3776.9699999999975</v>
      </c>
      <c r="L1983" s="4">
        <f>SUBTOTAL(9,L1958:L1982)</f>
        <v>7056.3099999999995</v>
      </c>
      <c r="M1983" s="4">
        <f>SUBTOTAL(9,M1958:M1982)</f>
        <v>35200.620000000003</v>
      </c>
      <c r="N1983" s="4">
        <f>SUBTOTAL(9,N1958:N1982)</f>
        <v>9491.0899999999983</v>
      </c>
      <c r="O1983" s="4">
        <f>SUBTOTAL(9,O1958:O1982)</f>
        <v>7756</v>
      </c>
      <c r="P1983" s="4">
        <f>SUBTOTAL(9,P1958:P1982)</f>
        <v>28706.48</v>
      </c>
      <c r="Q1983" s="4">
        <f>SUBTOTAL(9,Q1958:Q1982)</f>
        <v>-5348.6500000000015</v>
      </c>
      <c r="R1983" s="4">
        <f>SUBTOTAL(9,R1958:R1982)</f>
        <v>-11030.340000000002</v>
      </c>
      <c r="S1983" s="8">
        <f t="shared" si="90"/>
        <v>13810.308333333334</v>
      </c>
      <c r="T1983" s="8">
        <f t="shared" si="91"/>
        <v>-24840.648333333338</v>
      </c>
      <c r="U1983" s="9">
        <f t="shared" si="92"/>
        <v>-1.7987033840060296</v>
      </c>
      <c r="V1983" t="s">
        <v>897</v>
      </c>
    </row>
    <row r="1984" spans="1:22" outlineLevel="2">
      <c r="A1984" t="s">
        <v>551</v>
      </c>
      <c r="B1984" t="s">
        <v>552</v>
      </c>
      <c r="C1984" t="s">
        <v>138</v>
      </c>
      <c r="D1984" t="s">
        <v>139</v>
      </c>
      <c r="E1984" s="4">
        <v>-1.8189894035458565E-12</v>
      </c>
      <c r="F1984" s="4">
        <v>-1.3642420526593924E-12</v>
      </c>
      <c r="G1984" s="4">
        <v>-4.5474735088646412E-13</v>
      </c>
      <c r="H1984" s="4">
        <v>0</v>
      </c>
      <c r="I1984" s="4">
        <v>9.0949470177292824E-13</v>
      </c>
      <c r="J1984" s="4">
        <v>9.0949470177292824E-13</v>
      </c>
      <c r="K1984" s="4">
        <v>0</v>
      </c>
      <c r="L1984" s="4">
        <v>-1.8189894035458565E-12</v>
      </c>
      <c r="M1984" s="4">
        <v>0</v>
      </c>
      <c r="N1984" s="4">
        <v>0</v>
      </c>
      <c r="O1984" s="4">
        <v>0</v>
      </c>
      <c r="P1984" s="4">
        <v>0</v>
      </c>
      <c r="Q1984" s="4">
        <v>0</v>
      </c>
      <c r="S1984" s="8">
        <f t="shared" si="90"/>
        <v>-3.0316490059097606E-13</v>
      </c>
      <c r="T1984" s="8">
        <f t="shared" si="91"/>
        <v>3.0316490059097606E-13</v>
      </c>
      <c r="U1984" s="9">
        <f t="shared" si="92"/>
        <v>-1</v>
      </c>
    </row>
    <row r="1985" spans="1:21" outlineLevel="2">
      <c r="A1985" t="s">
        <v>551</v>
      </c>
      <c r="B1985" t="s">
        <v>552</v>
      </c>
      <c r="C1985" t="s">
        <v>29</v>
      </c>
      <c r="D1985" t="s">
        <v>30</v>
      </c>
      <c r="E1985" s="4">
        <v>-6.8212102632969618E-13</v>
      </c>
      <c r="F1985" s="4">
        <v>0</v>
      </c>
      <c r="G1985" s="4">
        <v>-9.0949470177292824E-13</v>
      </c>
      <c r="H1985" s="4">
        <v>4.5474735088646412E-13</v>
      </c>
      <c r="I1985" s="4">
        <v>0</v>
      </c>
      <c r="J1985" s="4">
        <v>-4.5474735088646412E-13</v>
      </c>
      <c r="K1985" s="4">
        <v>4.5474735088646412E-13</v>
      </c>
      <c r="L1985" s="4">
        <v>-9.0949470177292824E-13</v>
      </c>
      <c r="M1985" s="4">
        <v>0</v>
      </c>
      <c r="N1985" s="4">
        <v>0</v>
      </c>
      <c r="O1985" s="4">
        <v>0</v>
      </c>
      <c r="P1985" s="4">
        <v>0</v>
      </c>
      <c r="Q1985" s="4">
        <v>0</v>
      </c>
      <c r="S1985" s="8">
        <f t="shared" si="90"/>
        <v>-1.5158245029548803E-13</v>
      </c>
      <c r="T1985" s="8">
        <f t="shared" si="91"/>
        <v>1.5158245029548803E-13</v>
      </c>
      <c r="U1985" s="9">
        <f t="shared" si="92"/>
        <v>-1</v>
      </c>
    </row>
    <row r="1986" spans="1:21" outlineLevel="2">
      <c r="A1986" t="s">
        <v>551</v>
      </c>
      <c r="B1986" t="s">
        <v>552</v>
      </c>
      <c r="C1986" t="s">
        <v>144</v>
      </c>
      <c r="D1986" t="s">
        <v>145</v>
      </c>
      <c r="E1986" s="4">
        <v>-2.2737367544323206E-13</v>
      </c>
      <c r="F1986" s="4">
        <v>0</v>
      </c>
      <c r="G1986" s="4">
        <v>0</v>
      </c>
      <c r="H1986" s="4">
        <v>0</v>
      </c>
      <c r="I1986" s="4">
        <v>0</v>
      </c>
      <c r="J1986" s="4">
        <v>0</v>
      </c>
      <c r="K1986" s="4">
        <v>0</v>
      </c>
      <c r="L1986" s="4">
        <v>0</v>
      </c>
      <c r="M1986" s="4">
        <v>0</v>
      </c>
      <c r="N1986" s="4">
        <v>0</v>
      </c>
      <c r="O1986" s="4">
        <v>0</v>
      </c>
      <c r="P1986" s="4">
        <v>0</v>
      </c>
      <c r="Q1986" s="4">
        <v>0</v>
      </c>
      <c r="S1986" s="8">
        <f t="shared" si="90"/>
        <v>0</v>
      </c>
      <c r="T1986" s="8">
        <f t="shared" si="91"/>
        <v>0</v>
      </c>
      <c r="U1986" s="9" t="e">
        <f t="shared" si="92"/>
        <v>#DIV/0!</v>
      </c>
    </row>
    <row r="1987" spans="1:21" outlineLevel="2">
      <c r="A1987" t="s">
        <v>551</v>
      </c>
      <c r="B1987" t="s">
        <v>552</v>
      </c>
      <c r="C1987" t="s">
        <v>146</v>
      </c>
      <c r="D1987" t="s">
        <v>147</v>
      </c>
      <c r="E1987" s="4">
        <v>1.1368683772161603E-13</v>
      </c>
      <c r="F1987" s="4">
        <v>0</v>
      </c>
      <c r="G1987" s="4">
        <v>0</v>
      </c>
      <c r="H1987" s="4">
        <v>0</v>
      </c>
      <c r="I1987" s="4">
        <v>-1.1368683772161603E-13</v>
      </c>
      <c r="J1987" s="4">
        <v>-2.2737367544323206E-13</v>
      </c>
      <c r="K1987" s="4">
        <v>-6.8212102632969618E-13</v>
      </c>
      <c r="L1987" s="4">
        <v>0</v>
      </c>
      <c r="M1987" s="4">
        <v>0</v>
      </c>
      <c r="N1987" s="4">
        <v>0</v>
      </c>
      <c r="O1987" s="4">
        <v>0</v>
      </c>
      <c r="P1987" s="4">
        <v>0</v>
      </c>
      <c r="Q1987" s="4">
        <v>0</v>
      </c>
      <c r="S1987" s="8">
        <f t="shared" ref="S1987:S2050" si="93">AVERAGE(L1987:Q1987)</f>
        <v>0</v>
      </c>
      <c r="T1987" s="8">
        <f t="shared" ref="T1987:T2050" si="94">R1987-S1987</f>
        <v>0</v>
      </c>
      <c r="U1987" s="9" t="e">
        <f t="shared" ref="U1987:U2050" si="95">(R1987-S1987)/S1987</f>
        <v>#DIV/0!</v>
      </c>
    </row>
    <row r="1988" spans="1:21" outlineLevel="2">
      <c r="A1988" t="s">
        <v>551</v>
      </c>
      <c r="B1988" t="s">
        <v>552</v>
      </c>
      <c r="C1988" t="s">
        <v>150</v>
      </c>
      <c r="D1988" t="s">
        <v>151</v>
      </c>
      <c r="E1988" s="4">
        <v>0</v>
      </c>
      <c r="F1988" s="4">
        <v>0</v>
      </c>
      <c r="G1988" s="4">
        <v>4.5474735088646412E-13</v>
      </c>
      <c r="H1988" s="4">
        <v>0</v>
      </c>
      <c r="I1988" s="4">
        <v>0</v>
      </c>
      <c r="J1988" s="4">
        <v>0</v>
      </c>
      <c r="K1988" s="4">
        <v>0</v>
      </c>
      <c r="L1988" s="4">
        <v>0</v>
      </c>
      <c r="M1988" s="4">
        <v>0</v>
      </c>
      <c r="N1988" s="4">
        <v>0</v>
      </c>
      <c r="O1988" s="4">
        <v>0</v>
      </c>
      <c r="P1988" s="4">
        <v>0</v>
      </c>
      <c r="Q1988" s="4">
        <v>0</v>
      </c>
      <c r="S1988" s="8">
        <f t="shared" si="93"/>
        <v>0</v>
      </c>
      <c r="T1988" s="8">
        <f t="shared" si="94"/>
        <v>0</v>
      </c>
      <c r="U1988" s="9" t="e">
        <f t="shared" si="95"/>
        <v>#DIV/0!</v>
      </c>
    </row>
    <row r="1989" spans="1:21" outlineLevel="2">
      <c r="A1989" t="s">
        <v>551</v>
      </c>
      <c r="B1989" t="s">
        <v>552</v>
      </c>
      <c r="C1989" t="s">
        <v>152</v>
      </c>
      <c r="D1989" t="s">
        <v>153</v>
      </c>
      <c r="E1989" s="4">
        <v>-3.4106051316484809E-13</v>
      </c>
      <c r="F1989" s="4">
        <v>5.6843418860808015E-14</v>
      </c>
      <c r="G1989" s="4">
        <v>-1.1368683772161603E-13</v>
      </c>
      <c r="H1989" s="4">
        <v>0</v>
      </c>
      <c r="I1989" s="4">
        <v>0</v>
      </c>
      <c r="J1989" s="4">
        <v>3.4106051316484809E-13</v>
      </c>
      <c r="K1989" s="4">
        <v>0</v>
      </c>
      <c r="L1989" s="4">
        <v>0</v>
      </c>
      <c r="M1989" s="4">
        <v>0</v>
      </c>
      <c r="N1989" s="4">
        <v>0</v>
      </c>
      <c r="O1989" s="4">
        <v>0</v>
      </c>
      <c r="P1989" s="4">
        <v>0</v>
      </c>
      <c r="Q1989" s="4">
        <v>0</v>
      </c>
      <c r="S1989" s="8">
        <f t="shared" si="93"/>
        <v>0</v>
      </c>
      <c r="T1989" s="8">
        <f t="shared" si="94"/>
        <v>0</v>
      </c>
      <c r="U1989" s="9" t="e">
        <f t="shared" si="95"/>
        <v>#DIV/0!</v>
      </c>
    </row>
    <row r="1990" spans="1:21" outlineLevel="2">
      <c r="A1990" t="s">
        <v>551</v>
      </c>
      <c r="B1990" t="s">
        <v>552</v>
      </c>
      <c r="C1990" t="s">
        <v>154</v>
      </c>
      <c r="D1990" t="s">
        <v>155</v>
      </c>
      <c r="E1990" s="4">
        <v>0</v>
      </c>
      <c r="F1990" s="4">
        <v>0</v>
      </c>
      <c r="G1990" s="4">
        <v>0</v>
      </c>
      <c r="H1990" s="4">
        <v>0</v>
      </c>
      <c r="I1990" s="4">
        <v>0</v>
      </c>
      <c r="J1990" s="4">
        <v>0</v>
      </c>
      <c r="K1990" s="4">
        <v>0</v>
      </c>
      <c r="L1990" s="4">
        <v>0</v>
      </c>
      <c r="M1990" s="4">
        <v>0</v>
      </c>
      <c r="N1990" s="4">
        <v>0</v>
      </c>
      <c r="O1990" s="4">
        <v>0</v>
      </c>
      <c r="P1990" s="4">
        <v>0</v>
      </c>
      <c r="Q1990" s="4">
        <v>0</v>
      </c>
      <c r="S1990" s="8">
        <f t="shared" si="93"/>
        <v>0</v>
      </c>
      <c r="T1990" s="8">
        <f t="shared" si="94"/>
        <v>0</v>
      </c>
      <c r="U1990" s="9" t="e">
        <f t="shared" si="95"/>
        <v>#DIV/0!</v>
      </c>
    </row>
    <row r="1991" spans="1:21" outlineLevel="2">
      <c r="A1991" t="s">
        <v>551</v>
      </c>
      <c r="B1991" t="s">
        <v>552</v>
      </c>
      <c r="C1991" t="s">
        <v>164</v>
      </c>
      <c r="D1991" t="s">
        <v>165</v>
      </c>
      <c r="E1991" s="4">
        <v>0</v>
      </c>
      <c r="F1991" s="4">
        <v>0</v>
      </c>
      <c r="G1991" s="4">
        <v>0</v>
      </c>
      <c r="H1991" s="4">
        <v>0</v>
      </c>
      <c r="I1991" s="4">
        <v>0</v>
      </c>
      <c r="J1991" s="4">
        <v>0</v>
      </c>
      <c r="K1991" s="4">
        <v>0</v>
      </c>
      <c r="L1991" s="4">
        <v>0</v>
      </c>
      <c r="M1991" s="4">
        <v>0</v>
      </c>
      <c r="N1991" s="4">
        <v>0</v>
      </c>
      <c r="O1991" s="4">
        <v>0</v>
      </c>
      <c r="P1991" s="4">
        <v>0</v>
      </c>
      <c r="Q1991" s="4">
        <v>0</v>
      </c>
      <c r="S1991" s="8">
        <f t="shared" si="93"/>
        <v>0</v>
      </c>
      <c r="T1991" s="8">
        <f t="shared" si="94"/>
        <v>0</v>
      </c>
      <c r="U1991" s="9" t="e">
        <f t="shared" si="95"/>
        <v>#DIV/0!</v>
      </c>
    </row>
    <row r="1992" spans="1:21" outlineLevel="2">
      <c r="A1992" t="s">
        <v>551</v>
      </c>
      <c r="B1992" t="s">
        <v>552</v>
      </c>
      <c r="C1992" t="s">
        <v>65</v>
      </c>
      <c r="D1992" t="s">
        <v>66</v>
      </c>
      <c r="E1992" s="4">
        <v>0</v>
      </c>
      <c r="F1992" s="4">
        <v>0</v>
      </c>
      <c r="G1992" s="4">
        <v>0</v>
      </c>
      <c r="H1992" s="4">
        <v>0</v>
      </c>
      <c r="I1992" s="4">
        <v>0</v>
      </c>
      <c r="J1992" s="4">
        <v>0</v>
      </c>
      <c r="K1992" s="4">
        <v>0</v>
      </c>
      <c r="L1992" s="4">
        <v>0</v>
      </c>
      <c r="M1992" s="4">
        <v>0</v>
      </c>
      <c r="N1992" s="4">
        <v>0</v>
      </c>
      <c r="O1992" s="4">
        <v>0</v>
      </c>
      <c r="P1992" s="4">
        <v>0</v>
      </c>
      <c r="Q1992" s="4">
        <v>0</v>
      </c>
      <c r="S1992" s="8">
        <f t="shared" si="93"/>
        <v>0</v>
      </c>
      <c r="T1992" s="8">
        <f t="shared" si="94"/>
        <v>0</v>
      </c>
      <c r="U1992" s="9" t="e">
        <f t="shared" si="95"/>
        <v>#DIV/0!</v>
      </c>
    </row>
    <row r="1993" spans="1:21" outlineLevel="2">
      <c r="A1993" t="s">
        <v>551</v>
      </c>
      <c r="B1993" t="s">
        <v>552</v>
      </c>
      <c r="C1993" t="s">
        <v>170</v>
      </c>
      <c r="D1993" t="s">
        <v>171</v>
      </c>
      <c r="E1993" s="4">
        <v>0</v>
      </c>
      <c r="F1993" s="4">
        <v>0</v>
      </c>
      <c r="G1993" s="4">
        <v>0</v>
      </c>
      <c r="H1993" s="4">
        <v>0</v>
      </c>
      <c r="I1993" s="4">
        <v>0</v>
      </c>
      <c r="J1993" s="4">
        <v>0</v>
      </c>
      <c r="K1993" s="4">
        <v>0</v>
      </c>
      <c r="L1993" s="4">
        <v>0</v>
      </c>
      <c r="M1993" s="4">
        <v>0</v>
      </c>
      <c r="N1993" s="4">
        <v>0</v>
      </c>
      <c r="O1993" s="4">
        <v>0</v>
      </c>
      <c r="P1993" s="4">
        <v>0</v>
      </c>
      <c r="Q1993" s="4">
        <v>0</v>
      </c>
      <c r="S1993" s="8">
        <f t="shared" si="93"/>
        <v>0</v>
      </c>
      <c r="T1993" s="8">
        <f t="shared" si="94"/>
        <v>0</v>
      </c>
      <c r="U1993" s="9" t="e">
        <f t="shared" si="95"/>
        <v>#DIV/0!</v>
      </c>
    </row>
    <row r="1994" spans="1:21" outlineLevel="1">
      <c r="A1994" s="1" t="s">
        <v>833</v>
      </c>
      <c r="E1994" s="4">
        <f>SUBTOTAL(9,E1984:E1993)</f>
        <v>-2.9558577807620168E-12</v>
      </c>
      <c r="F1994" s="4">
        <f>SUBTOTAL(9,F1984:F1993)</f>
        <v>-1.3073986337985843E-12</v>
      </c>
      <c r="G1994" s="4">
        <f>SUBTOTAL(9,G1984:G1993)</f>
        <v>-1.0231815394945443E-12</v>
      </c>
      <c r="H1994" s="4">
        <f>SUBTOTAL(9,H1984:H1993)</f>
        <v>4.5474735088646412E-13</v>
      </c>
      <c r="I1994" s="4">
        <f>SUBTOTAL(9,I1984:I1993)</f>
        <v>7.9580786405131221E-13</v>
      </c>
      <c r="J1994" s="4">
        <f>SUBTOTAL(9,J1984:J1993)</f>
        <v>5.6843418860808015E-13</v>
      </c>
      <c r="K1994" s="4">
        <f>SUBTOTAL(9,K1984:K1993)</f>
        <v>-2.2737367544323206E-13</v>
      </c>
      <c r="L1994" s="4">
        <f>SUBTOTAL(9,L1984:L1993)</f>
        <v>-2.7284841053187847E-12</v>
      </c>
      <c r="M1994" s="4">
        <f>SUBTOTAL(9,M1984:M1993)</f>
        <v>0</v>
      </c>
      <c r="N1994" s="4">
        <f>SUBTOTAL(9,N1984:N1993)</f>
        <v>0</v>
      </c>
      <c r="O1994" s="4">
        <f>SUBTOTAL(9,O1984:O1993)</f>
        <v>0</v>
      </c>
      <c r="P1994" s="4">
        <f>SUBTOTAL(9,P1984:P1993)</f>
        <v>0</v>
      </c>
      <c r="Q1994" s="4">
        <f>SUBTOTAL(9,Q1984:Q1993)</f>
        <v>0</v>
      </c>
      <c r="R1994" s="4">
        <f>SUBTOTAL(9,R1984:R1993)</f>
        <v>0</v>
      </c>
      <c r="S1994" s="8">
        <f t="shared" si="93"/>
        <v>-4.5474735088646412E-13</v>
      </c>
      <c r="T1994" s="8">
        <f t="shared" si="94"/>
        <v>4.5474735088646412E-13</v>
      </c>
      <c r="U1994" s="9">
        <f t="shared" si="95"/>
        <v>-1</v>
      </c>
    </row>
    <row r="1995" spans="1:21" outlineLevel="2">
      <c r="A1995" t="s">
        <v>553</v>
      </c>
      <c r="B1995" t="s">
        <v>554</v>
      </c>
      <c r="C1995" t="s">
        <v>138</v>
      </c>
      <c r="D1995" t="s">
        <v>139</v>
      </c>
      <c r="E1995" s="4">
        <v>-2.2737367544323206E-13</v>
      </c>
      <c r="F1995" s="4">
        <v>0</v>
      </c>
      <c r="G1995" s="4">
        <v>-2.2737367544323206E-13</v>
      </c>
      <c r="H1995" s="4">
        <v>0</v>
      </c>
      <c r="I1995" s="4">
        <v>4.5474735088646412E-13</v>
      </c>
      <c r="J1995" s="4">
        <v>0</v>
      </c>
      <c r="K1995" s="4">
        <v>2.2737367544323206E-13</v>
      </c>
      <c r="L1995" s="4">
        <v>0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S1995" s="8">
        <f t="shared" si="93"/>
        <v>0</v>
      </c>
      <c r="T1995" s="8">
        <f t="shared" si="94"/>
        <v>0</v>
      </c>
      <c r="U1995" s="9" t="e">
        <f t="shared" si="95"/>
        <v>#DIV/0!</v>
      </c>
    </row>
    <row r="1996" spans="1:21" outlineLevel="2">
      <c r="A1996" t="s">
        <v>553</v>
      </c>
      <c r="B1996" t="s">
        <v>554</v>
      </c>
      <c r="C1996" t="s">
        <v>29</v>
      </c>
      <c r="D1996" t="s">
        <v>30</v>
      </c>
      <c r="E1996" s="4">
        <v>0</v>
      </c>
      <c r="F1996" s="4">
        <v>0</v>
      </c>
      <c r="G1996" s="4">
        <v>-2.1316282072803006E-14</v>
      </c>
      <c r="H1996" s="4">
        <v>-2.1316282072803006E-14</v>
      </c>
      <c r="I1996" s="4">
        <v>0</v>
      </c>
      <c r="J1996" s="4">
        <v>-1.1368683772161603E-13</v>
      </c>
      <c r="K1996" s="4">
        <v>0</v>
      </c>
      <c r="L1996" s="4">
        <v>0</v>
      </c>
      <c r="M1996" s="4">
        <v>0</v>
      </c>
      <c r="N1996" s="4">
        <v>0</v>
      </c>
      <c r="O1996" s="4">
        <v>0</v>
      </c>
      <c r="P1996" s="4">
        <v>0</v>
      </c>
      <c r="Q1996" s="4">
        <v>0</v>
      </c>
      <c r="S1996" s="8">
        <f t="shared" si="93"/>
        <v>0</v>
      </c>
      <c r="T1996" s="8">
        <f t="shared" si="94"/>
        <v>0</v>
      </c>
      <c r="U1996" s="9" t="e">
        <f t="shared" si="95"/>
        <v>#DIV/0!</v>
      </c>
    </row>
    <row r="1997" spans="1:21" outlineLevel="2">
      <c r="A1997" t="s">
        <v>553</v>
      </c>
      <c r="B1997" t="s">
        <v>554</v>
      </c>
      <c r="C1997" t="s">
        <v>146</v>
      </c>
      <c r="D1997" t="s">
        <v>147</v>
      </c>
      <c r="E1997" s="4">
        <v>-2.8421709430404007E-14</v>
      </c>
      <c r="F1997" s="4">
        <v>-1.4210854715202004E-14</v>
      </c>
      <c r="G1997" s="4">
        <v>-2.8421709430404007E-14</v>
      </c>
      <c r="H1997" s="4">
        <v>0</v>
      </c>
      <c r="I1997" s="4">
        <v>-4.2632564145606011E-14</v>
      </c>
      <c r="J1997" s="4">
        <v>2.8421709430404007E-14</v>
      </c>
      <c r="K1997" s="4">
        <v>2.8421709430404007E-14</v>
      </c>
      <c r="L1997" s="4">
        <v>-2.8421709430404007E-14</v>
      </c>
      <c r="M1997" s="4">
        <v>0</v>
      </c>
      <c r="N1997" s="4">
        <v>0</v>
      </c>
      <c r="O1997" s="4">
        <v>0</v>
      </c>
      <c r="P1997" s="4">
        <v>0</v>
      </c>
      <c r="Q1997" s="4">
        <v>0</v>
      </c>
      <c r="S1997" s="8">
        <f t="shared" si="93"/>
        <v>-4.736951571734001E-15</v>
      </c>
      <c r="T1997" s="8">
        <f t="shared" si="94"/>
        <v>4.736951571734001E-15</v>
      </c>
      <c r="U1997" s="9">
        <f t="shared" si="95"/>
        <v>-1</v>
      </c>
    </row>
    <row r="1998" spans="1:21" outlineLevel="2">
      <c r="A1998" t="s">
        <v>553</v>
      </c>
      <c r="B1998" t="s">
        <v>554</v>
      </c>
      <c r="C1998" t="s">
        <v>150</v>
      </c>
      <c r="D1998" t="s">
        <v>151</v>
      </c>
      <c r="E1998" s="4">
        <v>0</v>
      </c>
      <c r="F1998" s="4">
        <v>0</v>
      </c>
      <c r="G1998" s="4">
        <v>0</v>
      </c>
      <c r="H1998" s="4">
        <v>0</v>
      </c>
      <c r="I1998" s="4">
        <v>0</v>
      </c>
      <c r="J1998" s="4">
        <v>0</v>
      </c>
      <c r="K1998" s="4">
        <v>0</v>
      </c>
      <c r="L1998" s="4">
        <v>0</v>
      </c>
      <c r="M1998" s="4">
        <v>0</v>
      </c>
      <c r="N1998" s="4">
        <v>0</v>
      </c>
      <c r="O1998" s="4">
        <v>0</v>
      </c>
      <c r="P1998" s="4">
        <v>0</v>
      </c>
      <c r="Q1998" s="4">
        <v>0</v>
      </c>
      <c r="S1998" s="8">
        <f t="shared" si="93"/>
        <v>0</v>
      </c>
      <c r="T1998" s="8">
        <f t="shared" si="94"/>
        <v>0</v>
      </c>
      <c r="U1998" s="9" t="e">
        <f t="shared" si="95"/>
        <v>#DIV/0!</v>
      </c>
    </row>
    <row r="1999" spans="1:21" outlineLevel="2">
      <c r="A1999" t="s">
        <v>553</v>
      </c>
      <c r="B1999" t="s">
        <v>554</v>
      </c>
      <c r="C1999" t="s">
        <v>152</v>
      </c>
      <c r="D1999" t="s">
        <v>153</v>
      </c>
      <c r="E1999" s="4">
        <v>-4.2632564145606011E-14</v>
      </c>
      <c r="F1999" s="4">
        <v>2.8421709430404007E-14</v>
      </c>
      <c r="G1999" s="4">
        <v>2.8421709430404007E-14</v>
      </c>
      <c r="H1999" s="4">
        <v>-1.4210854715202004E-14</v>
      </c>
      <c r="I1999" s="4">
        <v>1.4210854715202004E-14</v>
      </c>
      <c r="J1999" s="4">
        <v>0</v>
      </c>
      <c r="K1999" s="4">
        <v>-5.6843418860808015E-14</v>
      </c>
      <c r="L1999" s="4">
        <v>-2.8421709430404007E-14</v>
      </c>
      <c r="M1999" s="4">
        <v>0</v>
      </c>
      <c r="N1999" s="4">
        <v>0</v>
      </c>
      <c r="O1999" s="4">
        <v>0</v>
      </c>
      <c r="P1999" s="4">
        <v>0</v>
      </c>
      <c r="Q1999" s="4">
        <v>0</v>
      </c>
      <c r="S1999" s="8">
        <f t="shared" si="93"/>
        <v>-4.736951571734001E-15</v>
      </c>
      <c r="T1999" s="8">
        <f t="shared" si="94"/>
        <v>4.736951571734001E-15</v>
      </c>
      <c r="U1999" s="9">
        <f t="shared" si="95"/>
        <v>-1</v>
      </c>
    </row>
    <row r="2000" spans="1:21" outlineLevel="2">
      <c r="A2000" t="s">
        <v>553</v>
      </c>
      <c r="B2000" t="s">
        <v>554</v>
      </c>
      <c r="C2000" t="s">
        <v>154</v>
      </c>
      <c r="D2000" t="s">
        <v>155</v>
      </c>
      <c r="E2000" s="4">
        <v>0</v>
      </c>
      <c r="F2000" s="4">
        <v>3.5527136788005009E-15</v>
      </c>
      <c r="G2000" s="4">
        <v>-1.7763568394002505E-15</v>
      </c>
      <c r="H2000" s="4">
        <v>0</v>
      </c>
      <c r="I2000" s="4">
        <v>0</v>
      </c>
      <c r="J2000" s="4">
        <v>0</v>
      </c>
      <c r="K2000" s="4">
        <v>1.7763568394002505E-15</v>
      </c>
      <c r="L2000" s="4">
        <v>0</v>
      </c>
      <c r="M2000" s="4">
        <v>0</v>
      </c>
      <c r="N2000" s="4">
        <v>0</v>
      </c>
      <c r="O2000" s="4">
        <v>0</v>
      </c>
      <c r="P2000" s="4">
        <v>0</v>
      </c>
      <c r="Q2000" s="4">
        <v>0</v>
      </c>
      <c r="S2000" s="8">
        <f t="shared" si="93"/>
        <v>0</v>
      </c>
      <c r="T2000" s="8">
        <f t="shared" si="94"/>
        <v>0</v>
      </c>
      <c r="U2000" s="9" t="e">
        <f t="shared" si="95"/>
        <v>#DIV/0!</v>
      </c>
    </row>
    <row r="2001" spans="1:21" outlineLevel="2">
      <c r="A2001" t="s">
        <v>553</v>
      </c>
      <c r="B2001" t="s">
        <v>554</v>
      </c>
      <c r="C2001" t="s">
        <v>164</v>
      </c>
      <c r="D2001" t="s">
        <v>165</v>
      </c>
      <c r="E2001" s="4">
        <v>0</v>
      </c>
      <c r="F2001" s="4">
        <v>0</v>
      </c>
      <c r="G2001" s="4">
        <v>0</v>
      </c>
      <c r="H2001" s="4">
        <v>0</v>
      </c>
      <c r="I2001" s="4">
        <v>0</v>
      </c>
      <c r="J2001" s="4">
        <v>0</v>
      </c>
      <c r="K2001" s="4">
        <v>0</v>
      </c>
      <c r="L2001" s="4">
        <v>0</v>
      </c>
      <c r="M2001" s="4">
        <v>0</v>
      </c>
      <c r="N2001" s="4">
        <v>0</v>
      </c>
      <c r="O2001" s="4">
        <v>0</v>
      </c>
      <c r="P2001" s="4">
        <v>0</v>
      </c>
      <c r="Q2001" s="4">
        <v>0</v>
      </c>
      <c r="S2001" s="8">
        <f t="shared" si="93"/>
        <v>0</v>
      </c>
      <c r="T2001" s="8">
        <f t="shared" si="94"/>
        <v>0</v>
      </c>
      <c r="U2001" s="9" t="e">
        <f t="shared" si="95"/>
        <v>#DIV/0!</v>
      </c>
    </row>
    <row r="2002" spans="1:21" outlineLevel="1">
      <c r="A2002" s="1" t="s">
        <v>834</v>
      </c>
      <c r="E2002" s="4">
        <f>SUBTOTAL(9,E1995:E2001)</f>
        <v>-2.9842794901924208E-13</v>
      </c>
      <c r="F2002" s="4">
        <f>SUBTOTAL(9,F1995:F2001)</f>
        <v>1.7763568394002505E-14</v>
      </c>
      <c r="G2002" s="4">
        <f>SUBTOTAL(9,G1995:G2001)</f>
        <v>-2.5046631435543532E-13</v>
      </c>
      <c r="H2002" s="4">
        <f>SUBTOTAL(9,H1995:H2001)</f>
        <v>-3.5527136788005009E-14</v>
      </c>
      <c r="I2002" s="4">
        <f>SUBTOTAL(9,I1995:I2001)</f>
        <v>4.2632564145606011E-13</v>
      </c>
      <c r="J2002" s="4">
        <f>SUBTOTAL(9,J1995:J2001)</f>
        <v>-8.5265128291212022E-14</v>
      </c>
      <c r="K2002" s="4">
        <f>SUBTOTAL(9,K1995:K2001)</f>
        <v>2.007283228522283E-13</v>
      </c>
      <c r="L2002" s="4">
        <f>SUBTOTAL(9,L1995:L2001)</f>
        <v>-5.6843418860808015E-14</v>
      </c>
      <c r="M2002" s="4">
        <f>SUBTOTAL(9,M1995:M2001)</f>
        <v>0</v>
      </c>
      <c r="N2002" s="4">
        <f>SUBTOTAL(9,N1995:N2001)</f>
        <v>0</v>
      </c>
      <c r="O2002" s="4">
        <f>SUBTOTAL(9,O1995:O2001)</f>
        <v>0</v>
      </c>
      <c r="P2002" s="4">
        <f>SUBTOTAL(9,P1995:P2001)</f>
        <v>0</v>
      </c>
      <c r="Q2002" s="4">
        <f>SUBTOTAL(9,Q1995:Q2001)</f>
        <v>0</v>
      </c>
      <c r="R2002" s="4">
        <f>SUBTOTAL(9,R1995:R2001)</f>
        <v>0</v>
      </c>
      <c r="S2002" s="8">
        <f t="shared" si="93"/>
        <v>-9.473903143468002E-15</v>
      </c>
      <c r="T2002" s="8">
        <f t="shared" si="94"/>
        <v>9.473903143468002E-15</v>
      </c>
      <c r="U2002" s="9">
        <f t="shared" si="95"/>
        <v>-1</v>
      </c>
    </row>
    <row r="2003" spans="1:21" outlineLevel="2">
      <c r="A2003" t="s">
        <v>555</v>
      </c>
      <c r="B2003" t="s">
        <v>556</v>
      </c>
      <c r="C2003" t="s">
        <v>136</v>
      </c>
      <c r="D2003" t="s">
        <v>137</v>
      </c>
      <c r="E2003" s="4">
        <v>-1.4551915228366852E-11</v>
      </c>
      <c r="F2003" s="4">
        <v>0</v>
      </c>
      <c r="G2003" s="4">
        <v>-3.637978807091713E-12</v>
      </c>
      <c r="H2003" s="4">
        <v>7.2759576141834259E-12</v>
      </c>
      <c r="I2003" s="4">
        <v>-7.2759576141834259E-12</v>
      </c>
      <c r="J2003" s="4">
        <v>7.2759576141834259E-12</v>
      </c>
      <c r="K2003" s="4">
        <v>-2.1827872842550278E-11</v>
      </c>
      <c r="L2003" s="4">
        <v>1.4551915228366852E-11</v>
      </c>
      <c r="M2003" s="4">
        <v>0</v>
      </c>
      <c r="N2003" s="4">
        <v>0</v>
      </c>
      <c r="O2003" s="4">
        <v>0</v>
      </c>
      <c r="P2003" s="4">
        <v>0</v>
      </c>
      <c r="Q2003" s="4">
        <v>0</v>
      </c>
      <c r="S2003" s="8">
        <f t="shared" si="93"/>
        <v>2.4253192047278085E-12</v>
      </c>
      <c r="T2003" s="8">
        <f t="shared" si="94"/>
        <v>-2.4253192047278085E-12</v>
      </c>
      <c r="U2003" s="9">
        <f t="shared" si="95"/>
        <v>-1</v>
      </c>
    </row>
    <row r="2004" spans="1:21" outlineLevel="2">
      <c r="A2004" t="s">
        <v>555</v>
      </c>
      <c r="B2004" t="s">
        <v>556</v>
      </c>
      <c r="C2004" t="s">
        <v>138</v>
      </c>
      <c r="D2004" t="s">
        <v>139</v>
      </c>
      <c r="E2004" s="4">
        <v>-7.2759576141834259E-12</v>
      </c>
      <c r="F2004" s="4">
        <v>2.7284841053187847E-12</v>
      </c>
      <c r="G2004" s="4">
        <v>-1.8189894035458565E-12</v>
      </c>
      <c r="H2004" s="4">
        <v>6.5369931689929217E-13</v>
      </c>
      <c r="I2004" s="4">
        <v>1.8189894035458565E-12</v>
      </c>
      <c r="J2004" s="4">
        <v>-1.8189894035458565E-12</v>
      </c>
      <c r="K2004" s="4">
        <v>-3.637978807091713E-12</v>
      </c>
      <c r="L2004" s="4">
        <v>0</v>
      </c>
      <c r="M2004" s="4">
        <v>0</v>
      </c>
      <c r="N2004" s="4">
        <v>0</v>
      </c>
      <c r="O2004" s="4">
        <v>0</v>
      </c>
      <c r="P2004" s="4">
        <v>0</v>
      </c>
      <c r="Q2004" s="4">
        <v>0</v>
      </c>
      <c r="S2004" s="8">
        <f t="shared" si="93"/>
        <v>0</v>
      </c>
      <c r="T2004" s="8">
        <f t="shared" si="94"/>
        <v>0</v>
      </c>
      <c r="U2004" s="9" t="e">
        <f t="shared" si="95"/>
        <v>#DIV/0!</v>
      </c>
    </row>
    <row r="2005" spans="1:21" outlineLevel="2">
      <c r="A2005" t="s">
        <v>555</v>
      </c>
      <c r="B2005" t="s">
        <v>556</v>
      </c>
      <c r="C2005" t="s">
        <v>29</v>
      </c>
      <c r="D2005" t="s">
        <v>30</v>
      </c>
      <c r="E2005" s="4">
        <v>0</v>
      </c>
      <c r="F2005" s="4">
        <v>-2.2737367544323206E-13</v>
      </c>
      <c r="G2005" s="4">
        <v>-2.2737367544323206E-13</v>
      </c>
      <c r="H2005" s="4">
        <v>2.2737367544323206E-13</v>
      </c>
      <c r="I2005" s="4">
        <v>-4.5474735088646412E-13</v>
      </c>
      <c r="J2005" s="4">
        <v>4.5474735088646412E-13</v>
      </c>
      <c r="K2005" s="4">
        <v>9.0949470177292824E-13</v>
      </c>
      <c r="L2005" s="4">
        <v>0</v>
      </c>
      <c r="M2005" s="4">
        <v>0</v>
      </c>
      <c r="N2005" s="4">
        <v>0</v>
      </c>
      <c r="O2005" s="4">
        <v>0</v>
      </c>
      <c r="P2005" s="4">
        <v>0</v>
      </c>
      <c r="Q2005" s="4">
        <v>0</v>
      </c>
      <c r="S2005" s="8">
        <f t="shared" si="93"/>
        <v>0</v>
      </c>
      <c r="T2005" s="8">
        <f t="shared" si="94"/>
        <v>0</v>
      </c>
      <c r="U2005" s="9" t="e">
        <f t="shared" si="95"/>
        <v>#DIV/0!</v>
      </c>
    </row>
    <row r="2006" spans="1:21" outlineLevel="2">
      <c r="A2006" t="s">
        <v>555</v>
      </c>
      <c r="B2006" t="s">
        <v>556</v>
      </c>
      <c r="C2006" t="s">
        <v>144</v>
      </c>
      <c r="D2006" t="s">
        <v>145</v>
      </c>
      <c r="E2006" s="4">
        <v>0</v>
      </c>
      <c r="F2006" s="4">
        <v>0</v>
      </c>
      <c r="G2006" s="4">
        <v>0</v>
      </c>
      <c r="H2006" s="4">
        <v>2.2737367544323206E-13</v>
      </c>
      <c r="I2006" s="4">
        <v>0</v>
      </c>
      <c r="J2006" s="4">
        <v>0</v>
      </c>
      <c r="K2006" s="4">
        <v>0</v>
      </c>
      <c r="L2006" s="4">
        <v>0</v>
      </c>
      <c r="M2006" s="4">
        <v>0</v>
      </c>
      <c r="N2006" s="4">
        <v>0</v>
      </c>
      <c r="O2006" s="4">
        <v>0</v>
      </c>
      <c r="P2006" s="4">
        <v>0</v>
      </c>
      <c r="Q2006" s="4">
        <v>0</v>
      </c>
      <c r="S2006" s="8">
        <f t="shared" si="93"/>
        <v>0</v>
      </c>
      <c r="T2006" s="8">
        <f t="shared" si="94"/>
        <v>0</v>
      </c>
      <c r="U2006" s="9" t="e">
        <f t="shared" si="95"/>
        <v>#DIV/0!</v>
      </c>
    </row>
    <row r="2007" spans="1:21" outlineLevel="2">
      <c r="A2007" t="s">
        <v>555</v>
      </c>
      <c r="B2007" t="s">
        <v>556</v>
      </c>
      <c r="C2007" t="s">
        <v>146</v>
      </c>
      <c r="D2007" t="s">
        <v>147</v>
      </c>
      <c r="E2007" s="4">
        <v>9.0949470177292824E-13</v>
      </c>
      <c r="F2007" s="4">
        <v>9.0949470177292824E-13</v>
      </c>
      <c r="G2007" s="4">
        <v>1.8189894035458565E-12</v>
      </c>
      <c r="H2007" s="4">
        <v>-9.0949470177292824E-13</v>
      </c>
      <c r="I2007" s="4">
        <v>0</v>
      </c>
      <c r="J2007" s="4">
        <v>1.8189894035458565E-12</v>
      </c>
      <c r="K2007" s="4">
        <v>2.7284841053187847E-12</v>
      </c>
      <c r="L2007" s="4">
        <v>0</v>
      </c>
      <c r="M2007" s="4">
        <v>0</v>
      </c>
      <c r="N2007" s="4">
        <v>0</v>
      </c>
      <c r="O2007" s="4">
        <v>0</v>
      </c>
      <c r="P2007" s="4">
        <v>0</v>
      </c>
      <c r="Q2007" s="4">
        <v>0</v>
      </c>
      <c r="S2007" s="8">
        <f t="shared" si="93"/>
        <v>0</v>
      </c>
      <c r="T2007" s="8">
        <f t="shared" si="94"/>
        <v>0</v>
      </c>
      <c r="U2007" s="9" t="e">
        <f t="shared" si="95"/>
        <v>#DIV/0!</v>
      </c>
    </row>
    <row r="2008" spans="1:21" outlineLevel="2">
      <c r="A2008" t="s">
        <v>555</v>
      </c>
      <c r="B2008" t="s">
        <v>556</v>
      </c>
      <c r="C2008" t="s">
        <v>150</v>
      </c>
      <c r="D2008" t="s">
        <v>151</v>
      </c>
      <c r="E2008" s="4">
        <v>0</v>
      </c>
      <c r="F2008" s="4">
        <v>0</v>
      </c>
      <c r="G2008" s="4">
        <v>0</v>
      </c>
      <c r="H2008" s="4">
        <v>0</v>
      </c>
      <c r="I2008" s="4">
        <v>0</v>
      </c>
      <c r="J2008" s="4">
        <v>0</v>
      </c>
      <c r="K2008" s="4">
        <v>0</v>
      </c>
      <c r="L2008" s="4">
        <v>0</v>
      </c>
      <c r="M2008" s="4">
        <v>0</v>
      </c>
      <c r="N2008" s="4">
        <v>0</v>
      </c>
      <c r="O2008" s="4">
        <v>0</v>
      </c>
      <c r="P2008" s="4">
        <v>0</v>
      </c>
      <c r="Q2008" s="4">
        <v>0</v>
      </c>
      <c r="S2008" s="8">
        <f t="shared" si="93"/>
        <v>0</v>
      </c>
      <c r="T2008" s="8">
        <f t="shared" si="94"/>
        <v>0</v>
      </c>
      <c r="U2008" s="9" t="e">
        <f t="shared" si="95"/>
        <v>#DIV/0!</v>
      </c>
    </row>
    <row r="2009" spans="1:21" outlineLevel="2">
      <c r="A2009" t="s">
        <v>555</v>
      </c>
      <c r="B2009" t="s">
        <v>556</v>
      </c>
      <c r="C2009" t="s">
        <v>152</v>
      </c>
      <c r="D2009" t="s">
        <v>153</v>
      </c>
      <c r="E2009" s="4">
        <v>-4.5474735088646412E-13</v>
      </c>
      <c r="F2009" s="4">
        <v>6.8212102632969618E-13</v>
      </c>
      <c r="G2009" s="4">
        <v>-9.0949470177292824E-13</v>
      </c>
      <c r="H2009" s="4">
        <v>-6.8922645368729718E-13</v>
      </c>
      <c r="I2009" s="4">
        <v>4.5474735088646412E-13</v>
      </c>
      <c r="J2009" s="4">
        <v>0</v>
      </c>
      <c r="K2009" s="4">
        <v>9.0949470177292824E-13</v>
      </c>
      <c r="L2009" s="4">
        <v>1.8189894035458565E-12</v>
      </c>
      <c r="M2009" s="4">
        <v>0</v>
      </c>
      <c r="N2009" s="4">
        <v>0</v>
      </c>
      <c r="O2009" s="4">
        <v>0</v>
      </c>
      <c r="P2009" s="4">
        <v>0</v>
      </c>
      <c r="Q2009" s="4">
        <v>0</v>
      </c>
      <c r="S2009" s="8">
        <f t="shared" si="93"/>
        <v>3.0316490059097606E-13</v>
      </c>
      <c r="T2009" s="8">
        <f t="shared" si="94"/>
        <v>-3.0316490059097606E-13</v>
      </c>
      <c r="U2009" s="9">
        <f t="shared" si="95"/>
        <v>-1</v>
      </c>
    </row>
    <row r="2010" spans="1:21" outlineLevel="2">
      <c r="A2010" t="s">
        <v>555</v>
      </c>
      <c r="B2010" t="s">
        <v>556</v>
      </c>
      <c r="C2010" t="s">
        <v>154</v>
      </c>
      <c r="D2010" t="s">
        <v>155</v>
      </c>
      <c r="E2010" s="4">
        <v>2.2737367544323206E-13</v>
      </c>
      <c r="F2010" s="4">
        <v>0</v>
      </c>
      <c r="G2010" s="4">
        <v>-1.4210854715202004E-14</v>
      </c>
      <c r="H2010" s="4">
        <v>-6.2172489379008766E-15</v>
      </c>
      <c r="I2010" s="4">
        <v>0</v>
      </c>
      <c r="J2010" s="4">
        <v>0</v>
      </c>
      <c r="K2010" s="4">
        <v>0</v>
      </c>
      <c r="L2010" s="4">
        <v>0</v>
      </c>
      <c r="M2010" s="4">
        <v>0</v>
      </c>
      <c r="N2010" s="4">
        <v>0</v>
      </c>
      <c r="O2010" s="4">
        <v>0</v>
      </c>
      <c r="P2010" s="4">
        <v>0</v>
      </c>
      <c r="Q2010" s="4">
        <v>0</v>
      </c>
      <c r="S2010" s="8">
        <f t="shared" si="93"/>
        <v>0</v>
      </c>
      <c r="T2010" s="8">
        <f t="shared" si="94"/>
        <v>0</v>
      </c>
      <c r="U2010" s="9" t="e">
        <f t="shared" si="95"/>
        <v>#DIV/0!</v>
      </c>
    </row>
    <row r="2011" spans="1:21" outlineLevel="2">
      <c r="A2011" t="s">
        <v>555</v>
      </c>
      <c r="B2011" t="s">
        <v>556</v>
      </c>
      <c r="C2011" t="s">
        <v>164</v>
      </c>
      <c r="D2011" t="s">
        <v>165</v>
      </c>
      <c r="E2011" s="4">
        <v>0</v>
      </c>
      <c r="F2011" s="4">
        <v>0</v>
      </c>
      <c r="G2011" s="4">
        <v>0</v>
      </c>
      <c r="H2011" s="4">
        <v>0</v>
      </c>
      <c r="I2011" s="4">
        <v>0</v>
      </c>
      <c r="J2011" s="4">
        <v>0</v>
      </c>
      <c r="K2011" s="4">
        <v>0</v>
      </c>
      <c r="L2011" s="4">
        <v>0</v>
      </c>
      <c r="M2011" s="4">
        <v>0</v>
      </c>
      <c r="N2011" s="4">
        <v>0</v>
      </c>
      <c r="O2011" s="4">
        <v>0</v>
      </c>
      <c r="P2011" s="4">
        <v>0</v>
      </c>
      <c r="Q2011" s="4">
        <v>0</v>
      </c>
      <c r="S2011" s="8">
        <f t="shared" si="93"/>
        <v>0</v>
      </c>
      <c r="T2011" s="8">
        <f t="shared" si="94"/>
        <v>0</v>
      </c>
      <c r="U2011" s="9" t="e">
        <f t="shared" si="95"/>
        <v>#DIV/0!</v>
      </c>
    </row>
    <row r="2012" spans="1:21" outlineLevel="2">
      <c r="A2012" t="s">
        <v>555</v>
      </c>
      <c r="B2012" t="s">
        <v>556</v>
      </c>
      <c r="C2012" t="s">
        <v>53</v>
      </c>
      <c r="D2012" t="s">
        <v>54</v>
      </c>
      <c r="E2012" s="4">
        <v>0</v>
      </c>
      <c r="F2012" s="4">
        <v>0</v>
      </c>
      <c r="G2012" s="4">
        <v>2.4900000000000002</v>
      </c>
      <c r="H2012" s="4">
        <v>0</v>
      </c>
      <c r="I2012" s="4">
        <v>0</v>
      </c>
      <c r="J2012" s="4">
        <v>0</v>
      </c>
      <c r="K2012" s="4">
        <v>0</v>
      </c>
      <c r="L2012" s="4">
        <v>0</v>
      </c>
      <c r="M2012" s="4">
        <v>0</v>
      </c>
      <c r="N2012" s="4">
        <v>0</v>
      </c>
      <c r="O2012" s="4">
        <v>0</v>
      </c>
      <c r="P2012" s="4">
        <v>0</v>
      </c>
      <c r="Q2012" s="4">
        <v>0</v>
      </c>
      <c r="S2012" s="8">
        <f t="shared" si="93"/>
        <v>0</v>
      </c>
      <c r="T2012" s="8">
        <f t="shared" si="94"/>
        <v>0</v>
      </c>
      <c r="U2012" s="9" t="e">
        <f t="shared" si="95"/>
        <v>#DIV/0!</v>
      </c>
    </row>
    <row r="2013" spans="1:21" outlineLevel="2">
      <c r="A2013" t="s">
        <v>555</v>
      </c>
      <c r="B2013" t="s">
        <v>556</v>
      </c>
      <c r="C2013" t="s">
        <v>170</v>
      </c>
      <c r="D2013" t="s">
        <v>171</v>
      </c>
      <c r="E2013" s="4">
        <v>0</v>
      </c>
      <c r="F2013" s="4">
        <v>0</v>
      </c>
      <c r="G2013" s="4">
        <v>0</v>
      </c>
      <c r="H2013" s="4">
        <v>0</v>
      </c>
      <c r="I2013" s="4">
        <v>0</v>
      </c>
      <c r="J2013" s="4">
        <v>0</v>
      </c>
      <c r="K2013" s="4">
        <v>0</v>
      </c>
      <c r="L2013" s="4">
        <v>0</v>
      </c>
      <c r="M2013" s="4">
        <v>0</v>
      </c>
      <c r="N2013" s="4">
        <v>0</v>
      </c>
      <c r="O2013" s="4">
        <v>0</v>
      </c>
      <c r="P2013" s="4">
        <v>0</v>
      </c>
      <c r="Q2013" s="4">
        <v>0</v>
      </c>
      <c r="S2013" s="8">
        <f t="shared" si="93"/>
        <v>0</v>
      </c>
      <c r="T2013" s="8">
        <f t="shared" si="94"/>
        <v>0</v>
      </c>
      <c r="U2013" s="9" t="e">
        <f t="shared" si="95"/>
        <v>#DIV/0!</v>
      </c>
    </row>
    <row r="2014" spans="1:21" outlineLevel="1">
      <c r="A2014" s="1" t="s">
        <v>835</v>
      </c>
      <c r="E2014" s="4">
        <f>SUBTOTAL(9,E2003:E2013)</f>
        <v>-2.1145751816220582E-11</v>
      </c>
      <c r="F2014" s="4">
        <f>SUBTOTAL(9,F2003:F2013)</f>
        <v>4.0927261579781771E-12</v>
      </c>
      <c r="G2014" s="4">
        <f>SUBTOTAL(9,G2003:G2013)</f>
        <v>2.4899999999952112</v>
      </c>
      <c r="H2014" s="4">
        <f>SUBTOTAL(9,H2003:H2013)</f>
        <v>6.7794658775710559E-12</v>
      </c>
      <c r="I2014" s="4">
        <f>SUBTOTAL(9,I2003:I2013)</f>
        <v>-5.4569682106375694E-12</v>
      </c>
      <c r="J2014" s="4">
        <f>SUBTOTAL(9,J2003:J2013)</f>
        <v>7.73070496506989E-12</v>
      </c>
      <c r="K2014" s="4">
        <f>SUBTOTAL(9,K2003:K2013)</f>
        <v>-2.0918378140777349E-11</v>
      </c>
      <c r="L2014" s="4">
        <f>SUBTOTAL(9,L2003:L2013)</f>
        <v>1.6370904631912708E-11</v>
      </c>
      <c r="M2014" s="4">
        <f>SUBTOTAL(9,M2003:M2013)</f>
        <v>0</v>
      </c>
      <c r="N2014" s="4">
        <f>SUBTOTAL(9,N2003:N2013)</f>
        <v>0</v>
      </c>
      <c r="O2014" s="4">
        <f>SUBTOTAL(9,O2003:O2013)</f>
        <v>0</v>
      </c>
      <c r="P2014" s="4">
        <f>SUBTOTAL(9,P2003:P2013)</f>
        <v>0</v>
      </c>
      <c r="Q2014" s="4">
        <f>SUBTOTAL(9,Q2003:Q2013)</f>
        <v>0</v>
      </c>
      <c r="R2014" s="4">
        <f>SUBTOTAL(9,R2003:R2013)</f>
        <v>0</v>
      </c>
      <c r="S2014" s="8">
        <f t="shared" si="93"/>
        <v>2.7284841053187847E-12</v>
      </c>
      <c r="T2014" s="8">
        <f t="shared" si="94"/>
        <v>-2.7284841053187847E-12</v>
      </c>
      <c r="U2014" s="9">
        <f t="shared" si="95"/>
        <v>-1</v>
      </c>
    </row>
    <row r="2015" spans="1:21" outlineLevel="2">
      <c r="A2015" t="s">
        <v>557</v>
      </c>
      <c r="B2015" t="s">
        <v>558</v>
      </c>
      <c r="C2015" t="s">
        <v>23</v>
      </c>
      <c r="D2015" t="s">
        <v>24</v>
      </c>
      <c r="E2015" s="4">
        <v>0</v>
      </c>
      <c r="F2015" s="4">
        <v>0</v>
      </c>
      <c r="G2015" s="4">
        <v>0</v>
      </c>
      <c r="H2015" s="4">
        <v>0</v>
      </c>
      <c r="I2015" s="4">
        <v>0</v>
      </c>
      <c r="J2015" s="4">
        <v>5.6843418860808015E-14</v>
      </c>
      <c r="K2015" s="4">
        <v>0</v>
      </c>
      <c r="L2015" s="4">
        <v>0</v>
      </c>
      <c r="M2015" s="4">
        <v>0</v>
      </c>
      <c r="N2015" s="4">
        <v>0</v>
      </c>
      <c r="O2015" s="4">
        <v>0</v>
      </c>
      <c r="P2015" s="4">
        <v>0</v>
      </c>
      <c r="Q2015" s="4">
        <v>0</v>
      </c>
      <c r="S2015" s="8">
        <f t="shared" si="93"/>
        <v>0</v>
      </c>
      <c r="T2015" s="8">
        <f t="shared" si="94"/>
        <v>0</v>
      </c>
      <c r="U2015" s="9" t="e">
        <f t="shared" si="95"/>
        <v>#DIV/0!</v>
      </c>
    </row>
    <row r="2016" spans="1:21" outlineLevel="2">
      <c r="A2016" t="s">
        <v>557</v>
      </c>
      <c r="B2016" t="s">
        <v>558</v>
      </c>
      <c r="C2016" t="s">
        <v>136</v>
      </c>
      <c r="D2016" t="s">
        <v>137</v>
      </c>
      <c r="E2016" s="4">
        <v>-2.9103830456733704E-11</v>
      </c>
      <c r="F2016" s="4">
        <v>1.4551915228366852E-11</v>
      </c>
      <c r="G2016" s="4">
        <v>2.9103830456733704E-11</v>
      </c>
      <c r="H2016" s="4">
        <v>1.4551915228366852E-11</v>
      </c>
      <c r="I2016" s="4">
        <v>5.8207660913467407E-11</v>
      </c>
      <c r="J2016" s="4">
        <v>2.6830093702301383E-11</v>
      </c>
      <c r="K2016" s="4">
        <v>2.9103830456733704E-11</v>
      </c>
      <c r="L2016" s="4">
        <v>-4.3655745685100555E-11</v>
      </c>
      <c r="M2016" s="4">
        <v>0</v>
      </c>
      <c r="N2016" s="4">
        <v>0</v>
      </c>
      <c r="O2016" s="4">
        <v>0</v>
      </c>
      <c r="P2016" s="4">
        <v>0</v>
      </c>
      <c r="Q2016" s="4">
        <v>0</v>
      </c>
      <c r="S2016" s="8">
        <f t="shared" si="93"/>
        <v>-7.2759576141834259E-12</v>
      </c>
      <c r="T2016" s="8">
        <f t="shared" si="94"/>
        <v>7.2759576141834259E-12</v>
      </c>
      <c r="U2016" s="9">
        <f t="shared" si="95"/>
        <v>-1</v>
      </c>
    </row>
    <row r="2017" spans="1:21" outlineLevel="2">
      <c r="A2017" t="s">
        <v>557</v>
      </c>
      <c r="B2017" t="s">
        <v>558</v>
      </c>
      <c r="C2017" t="s">
        <v>138</v>
      </c>
      <c r="D2017" t="s">
        <v>139</v>
      </c>
      <c r="E2017" s="4">
        <v>-9.0949470177292824E-13</v>
      </c>
      <c r="F2017" s="4">
        <v>-9.0949470177292824E-13</v>
      </c>
      <c r="G2017" s="4">
        <v>-9.0949470177292824E-13</v>
      </c>
      <c r="H2017" s="4">
        <v>0</v>
      </c>
      <c r="I2017" s="4">
        <v>-1.8189894035458565E-12</v>
      </c>
      <c r="J2017" s="4">
        <v>2.7284841053187847E-12</v>
      </c>
      <c r="K2017" s="4">
        <v>-2.7284841053187847E-12</v>
      </c>
      <c r="L2017" s="4">
        <v>-1.8189894035458565E-12</v>
      </c>
      <c r="M2017" s="4">
        <v>0</v>
      </c>
      <c r="N2017" s="4">
        <v>0</v>
      </c>
      <c r="O2017" s="4">
        <v>0</v>
      </c>
      <c r="P2017" s="4">
        <v>0</v>
      </c>
      <c r="Q2017" s="4">
        <v>0</v>
      </c>
      <c r="S2017" s="8">
        <f t="shared" si="93"/>
        <v>-3.0316490059097606E-13</v>
      </c>
      <c r="T2017" s="8">
        <f t="shared" si="94"/>
        <v>3.0316490059097606E-13</v>
      </c>
      <c r="U2017" s="9">
        <f t="shared" si="95"/>
        <v>-1</v>
      </c>
    </row>
    <row r="2018" spans="1:21" outlineLevel="2">
      <c r="A2018" t="s">
        <v>557</v>
      </c>
      <c r="B2018" t="s">
        <v>558</v>
      </c>
      <c r="C2018" t="s">
        <v>29</v>
      </c>
      <c r="D2018" t="s">
        <v>30</v>
      </c>
      <c r="E2018" s="4">
        <v>0</v>
      </c>
      <c r="F2018" s="4">
        <v>4.5474735088646412E-13</v>
      </c>
      <c r="G2018" s="4">
        <v>0</v>
      </c>
      <c r="H2018" s="4">
        <v>0</v>
      </c>
      <c r="I2018" s="4">
        <v>0</v>
      </c>
      <c r="J2018" s="4">
        <v>-9.0949470177292824E-13</v>
      </c>
      <c r="K2018" s="4">
        <v>-9.0949470177292824E-13</v>
      </c>
      <c r="L2018" s="4">
        <v>1.8189894035458565E-12</v>
      </c>
      <c r="M2018" s="4">
        <v>0</v>
      </c>
      <c r="N2018" s="4">
        <v>0</v>
      </c>
      <c r="O2018" s="4">
        <v>0</v>
      </c>
      <c r="P2018" s="4">
        <v>0</v>
      </c>
      <c r="Q2018" s="4">
        <v>0</v>
      </c>
      <c r="S2018" s="8">
        <f t="shared" si="93"/>
        <v>3.0316490059097606E-13</v>
      </c>
      <c r="T2018" s="8">
        <f t="shared" si="94"/>
        <v>-3.0316490059097606E-13</v>
      </c>
      <c r="U2018" s="9">
        <f t="shared" si="95"/>
        <v>-1</v>
      </c>
    </row>
    <row r="2019" spans="1:21" outlineLevel="2">
      <c r="A2019" t="s">
        <v>557</v>
      </c>
      <c r="B2019" t="s">
        <v>558</v>
      </c>
      <c r="C2019" t="s">
        <v>144</v>
      </c>
      <c r="D2019" t="s">
        <v>145</v>
      </c>
      <c r="E2019" s="4">
        <v>-1.8189894035458565E-12</v>
      </c>
      <c r="F2019" s="4">
        <v>-9.0949470177292824E-13</v>
      </c>
      <c r="G2019" s="4">
        <v>0</v>
      </c>
      <c r="H2019" s="4">
        <v>0</v>
      </c>
      <c r="I2019" s="4">
        <v>0</v>
      </c>
      <c r="J2019" s="4">
        <v>0</v>
      </c>
      <c r="K2019" s="4">
        <v>9.0949470177292824E-13</v>
      </c>
      <c r="L2019" s="4">
        <v>9.0949470177292824E-13</v>
      </c>
      <c r="M2019" s="4">
        <v>0</v>
      </c>
      <c r="N2019" s="4">
        <v>0</v>
      </c>
      <c r="O2019" s="4">
        <v>0</v>
      </c>
      <c r="P2019" s="4">
        <v>0</v>
      </c>
      <c r="Q2019" s="4">
        <v>0</v>
      </c>
      <c r="S2019" s="8">
        <f t="shared" si="93"/>
        <v>1.5158245029548803E-13</v>
      </c>
      <c r="T2019" s="8">
        <f t="shared" si="94"/>
        <v>-1.5158245029548803E-13</v>
      </c>
      <c r="U2019" s="9">
        <f t="shared" si="95"/>
        <v>-1</v>
      </c>
    </row>
    <row r="2020" spans="1:21" outlineLevel="2">
      <c r="A2020" t="s">
        <v>557</v>
      </c>
      <c r="B2020" t="s">
        <v>558</v>
      </c>
      <c r="C2020" t="s">
        <v>146</v>
      </c>
      <c r="D2020" t="s">
        <v>147</v>
      </c>
      <c r="E2020" s="4">
        <v>1.3642420526593924E-12</v>
      </c>
      <c r="F2020" s="4">
        <v>-1.8189894035458565E-12</v>
      </c>
      <c r="G2020" s="4">
        <v>-1.8189894035458565E-12</v>
      </c>
      <c r="H2020" s="4">
        <v>5.4569682106375694E-12</v>
      </c>
      <c r="I2020" s="4">
        <v>0</v>
      </c>
      <c r="J2020" s="4">
        <v>-9.3791641120333225E-13</v>
      </c>
      <c r="K2020" s="4">
        <v>5.9117155615240335E-12</v>
      </c>
      <c r="L2020" s="4">
        <v>3.637978807091713E-12</v>
      </c>
      <c r="M2020" s="4">
        <v>0</v>
      </c>
      <c r="N2020" s="4">
        <v>0</v>
      </c>
      <c r="O2020" s="4">
        <v>0</v>
      </c>
      <c r="P2020" s="4">
        <v>0</v>
      </c>
      <c r="Q2020" s="4">
        <v>0</v>
      </c>
      <c r="S2020" s="8">
        <f t="shared" si="93"/>
        <v>6.0632980118195212E-13</v>
      </c>
      <c r="T2020" s="8">
        <f t="shared" si="94"/>
        <v>-6.0632980118195212E-13</v>
      </c>
      <c r="U2020" s="9">
        <f t="shared" si="95"/>
        <v>-1</v>
      </c>
    </row>
    <row r="2021" spans="1:21" outlineLevel="2">
      <c r="A2021" t="s">
        <v>557</v>
      </c>
      <c r="B2021" t="s">
        <v>558</v>
      </c>
      <c r="C2021" t="s">
        <v>150</v>
      </c>
      <c r="D2021" t="s">
        <v>151</v>
      </c>
      <c r="E2021" s="4">
        <v>0</v>
      </c>
      <c r="F2021" s="4">
        <v>0</v>
      </c>
      <c r="G2021" s="4">
        <v>7.2759576141834259E-12</v>
      </c>
      <c r="H2021" s="4">
        <v>0</v>
      </c>
      <c r="I2021" s="4">
        <v>0</v>
      </c>
      <c r="J2021" s="4">
        <v>0</v>
      </c>
      <c r="K2021" s="4">
        <v>0</v>
      </c>
      <c r="L2021" s="4">
        <v>0</v>
      </c>
      <c r="M2021" s="4">
        <v>0</v>
      </c>
      <c r="N2021" s="4">
        <v>0</v>
      </c>
      <c r="O2021" s="4">
        <v>0</v>
      </c>
      <c r="P2021" s="4">
        <v>0</v>
      </c>
      <c r="Q2021" s="4">
        <v>0</v>
      </c>
      <c r="S2021" s="8">
        <f t="shared" si="93"/>
        <v>0</v>
      </c>
      <c r="T2021" s="8">
        <f t="shared" si="94"/>
        <v>0</v>
      </c>
      <c r="U2021" s="9" t="e">
        <f t="shared" si="95"/>
        <v>#DIV/0!</v>
      </c>
    </row>
    <row r="2022" spans="1:21" outlineLevel="2">
      <c r="A2022" t="s">
        <v>557</v>
      </c>
      <c r="B2022" t="s">
        <v>558</v>
      </c>
      <c r="C2022" t="s">
        <v>152</v>
      </c>
      <c r="D2022" t="s">
        <v>153</v>
      </c>
      <c r="E2022" s="4">
        <v>-3.637978807091713E-12</v>
      </c>
      <c r="F2022" s="4">
        <v>-1.3642420526593924E-12</v>
      </c>
      <c r="G2022" s="4">
        <v>0</v>
      </c>
      <c r="H2022" s="4">
        <v>-1.8189894035458565E-12</v>
      </c>
      <c r="I2022" s="4">
        <v>-3.637978807091713E-12</v>
      </c>
      <c r="J2022" s="4">
        <v>-3.0695446184836328E-12</v>
      </c>
      <c r="K2022" s="4">
        <v>-2.5011104298755527E-12</v>
      </c>
      <c r="L2022" s="4">
        <v>9.0949470177292824E-13</v>
      </c>
      <c r="M2022" s="4">
        <v>0</v>
      </c>
      <c r="N2022" s="4">
        <v>0</v>
      </c>
      <c r="O2022" s="4">
        <v>0</v>
      </c>
      <c r="P2022" s="4">
        <v>0</v>
      </c>
      <c r="Q2022" s="4">
        <v>0</v>
      </c>
      <c r="S2022" s="8">
        <f t="shared" si="93"/>
        <v>1.5158245029548803E-13</v>
      </c>
      <c r="T2022" s="8">
        <f t="shared" si="94"/>
        <v>-1.5158245029548803E-13</v>
      </c>
      <c r="U2022" s="9">
        <f t="shared" si="95"/>
        <v>-1</v>
      </c>
    </row>
    <row r="2023" spans="1:21" outlineLevel="2">
      <c r="A2023" t="s">
        <v>557</v>
      </c>
      <c r="B2023" t="s">
        <v>558</v>
      </c>
      <c r="C2023" t="s">
        <v>154</v>
      </c>
      <c r="D2023" t="s">
        <v>155</v>
      </c>
      <c r="E2023" s="4">
        <v>0</v>
      </c>
      <c r="F2023" s="4">
        <v>0</v>
      </c>
      <c r="G2023" s="4">
        <v>5.5511151231257827E-17</v>
      </c>
      <c r="H2023" s="4">
        <v>-7.1054273576010019E-15</v>
      </c>
      <c r="I2023" s="4">
        <v>0</v>
      </c>
      <c r="J2023" s="4">
        <v>7.1054273576010019E-15</v>
      </c>
      <c r="K2023" s="4">
        <v>0</v>
      </c>
      <c r="L2023" s="4">
        <v>0</v>
      </c>
      <c r="M2023" s="4">
        <v>0</v>
      </c>
      <c r="N2023" s="4">
        <v>0</v>
      </c>
      <c r="O2023" s="4">
        <v>0</v>
      </c>
      <c r="P2023" s="4">
        <v>0</v>
      </c>
      <c r="Q2023" s="4">
        <v>0</v>
      </c>
      <c r="S2023" s="8">
        <f t="shared" si="93"/>
        <v>0</v>
      </c>
      <c r="T2023" s="8">
        <f t="shared" si="94"/>
        <v>0</v>
      </c>
      <c r="U2023" s="9" t="e">
        <f t="shared" si="95"/>
        <v>#DIV/0!</v>
      </c>
    </row>
    <row r="2024" spans="1:21" outlineLevel="2">
      <c r="A2024" t="s">
        <v>557</v>
      </c>
      <c r="B2024" t="s">
        <v>558</v>
      </c>
      <c r="C2024" t="s">
        <v>47</v>
      </c>
      <c r="D2024" t="s">
        <v>48</v>
      </c>
      <c r="E2024" s="4">
        <v>0</v>
      </c>
      <c r="F2024" s="4">
        <v>7</v>
      </c>
      <c r="G2024" s="4">
        <v>0</v>
      </c>
      <c r="H2024" s="4">
        <v>0</v>
      </c>
      <c r="I2024" s="4">
        <v>0</v>
      </c>
      <c r="J2024" s="4">
        <v>0</v>
      </c>
      <c r="K2024" s="4">
        <v>0</v>
      </c>
      <c r="L2024" s="4">
        <v>0</v>
      </c>
      <c r="M2024" s="4">
        <v>0</v>
      </c>
      <c r="N2024" s="4">
        <v>0</v>
      </c>
      <c r="O2024" s="4">
        <v>0</v>
      </c>
      <c r="P2024" s="4">
        <v>0</v>
      </c>
      <c r="Q2024" s="4">
        <v>0</v>
      </c>
      <c r="S2024" s="8">
        <f t="shared" si="93"/>
        <v>0</v>
      </c>
      <c r="T2024" s="8">
        <f t="shared" si="94"/>
        <v>0</v>
      </c>
      <c r="U2024" s="9" t="e">
        <f t="shared" si="95"/>
        <v>#DIV/0!</v>
      </c>
    </row>
    <row r="2025" spans="1:21" outlineLevel="2">
      <c r="A2025" t="s">
        <v>557</v>
      </c>
      <c r="B2025" t="s">
        <v>558</v>
      </c>
      <c r="C2025" t="s">
        <v>49</v>
      </c>
      <c r="D2025" t="s">
        <v>50</v>
      </c>
      <c r="E2025" s="4">
        <v>0</v>
      </c>
      <c r="F2025" s="4">
        <v>25</v>
      </c>
      <c r="G2025" s="4">
        <v>0</v>
      </c>
      <c r="H2025" s="4">
        <v>0</v>
      </c>
      <c r="I2025" s="4">
        <v>0</v>
      </c>
      <c r="J2025" s="4">
        <v>0</v>
      </c>
      <c r="K2025" s="4">
        <v>0</v>
      </c>
      <c r="L2025" s="4">
        <v>0</v>
      </c>
      <c r="M2025" s="4">
        <v>0</v>
      </c>
      <c r="N2025" s="4">
        <v>0</v>
      </c>
      <c r="O2025" s="4">
        <v>0</v>
      </c>
      <c r="P2025" s="4">
        <v>0</v>
      </c>
      <c r="Q2025" s="4">
        <v>-17.690000000000001</v>
      </c>
      <c r="S2025" s="8">
        <f t="shared" si="93"/>
        <v>-2.9483333333333337</v>
      </c>
      <c r="T2025" s="8">
        <f t="shared" si="94"/>
        <v>2.9483333333333337</v>
      </c>
      <c r="U2025" s="9">
        <f t="shared" si="95"/>
        <v>-1</v>
      </c>
    </row>
    <row r="2026" spans="1:21" outlineLevel="2">
      <c r="A2026" t="s">
        <v>557</v>
      </c>
      <c r="B2026" t="s">
        <v>558</v>
      </c>
      <c r="C2026" t="s">
        <v>164</v>
      </c>
      <c r="D2026" t="s">
        <v>165</v>
      </c>
      <c r="E2026" s="4">
        <v>0</v>
      </c>
      <c r="F2026" s="4">
        <v>0</v>
      </c>
      <c r="G2026" s="4">
        <v>0</v>
      </c>
      <c r="H2026" s="4">
        <v>0</v>
      </c>
      <c r="I2026" s="4">
        <v>0</v>
      </c>
      <c r="J2026" s="4">
        <v>0</v>
      </c>
      <c r="K2026" s="4">
        <v>0</v>
      </c>
      <c r="L2026" s="4">
        <v>0</v>
      </c>
      <c r="M2026" s="4">
        <v>0</v>
      </c>
      <c r="N2026" s="4">
        <v>0</v>
      </c>
      <c r="O2026" s="4">
        <v>0</v>
      </c>
      <c r="P2026" s="4">
        <v>0</v>
      </c>
      <c r="Q2026" s="4">
        <v>0</v>
      </c>
      <c r="S2026" s="8">
        <f t="shared" si="93"/>
        <v>0</v>
      </c>
      <c r="T2026" s="8">
        <f t="shared" si="94"/>
        <v>0</v>
      </c>
      <c r="U2026" s="9" t="e">
        <f t="shared" si="95"/>
        <v>#DIV/0!</v>
      </c>
    </row>
    <row r="2027" spans="1:21" outlineLevel="2">
      <c r="A2027" t="s">
        <v>557</v>
      </c>
      <c r="B2027" t="s">
        <v>558</v>
      </c>
      <c r="C2027" t="s">
        <v>75</v>
      </c>
      <c r="D2027" t="s">
        <v>76</v>
      </c>
      <c r="E2027" s="4">
        <v>0</v>
      </c>
      <c r="F2027" s="4">
        <v>0</v>
      </c>
      <c r="G2027" s="4">
        <v>0</v>
      </c>
      <c r="H2027" s="4">
        <v>0</v>
      </c>
      <c r="I2027" s="4">
        <v>0</v>
      </c>
      <c r="J2027" s="4">
        <v>0</v>
      </c>
      <c r="K2027" s="4">
        <v>0</v>
      </c>
      <c r="L2027" s="4">
        <v>0</v>
      </c>
      <c r="M2027" s="4">
        <v>0</v>
      </c>
      <c r="N2027" s="4">
        <v>0</v>
      </c>
      <c r="O2027" s="4">
        <v>0</v>
      </c>
      <c r="P2027" s="4">
        <v>0</v>
      </c>
      <c r="Q2027" s="4">
        <v>0</v>
      </c>
      <c r="S2027" s="8">
        <f t="shared" si="93"/>
        <v>0</v>
      </c>
      <c r="T2027" s="8">
        <f t="shared" si="94"/>
        <v>0</v>
      </c>
      <c r="U2027" s="9" t="e">
        <f t="shared" si="95"/>
        <v>#DIV/0!</v>
      </c>
    </row>
    <row r="2028" spans="1:21" outlineLevel="2">
      <c r="A2028" t="s">
        <v>557</v>
      </c>
      <c r="B2028" t="s">
        <v>558</v>
      </c>
      <c r="C2028" t="s">
        <v>93</v>
      </c>
      <c r="D2028" t="s">
        <v>94</v>
      </c>
      <c r="E2028" s="4">
        <v>0</v>
      </c>
      <c r="F2028" s="4">
        <v>2568.9899999999998</v>
      </c>
      <c r="G2028" s="4">
        <v>0</v>
      </c>
      <c r="H2028" s="4">
        <v>0</v>
      </c>
      <c r="I2028" s="4">
        <v>0</v>
      </c>
      <c r="J2028" s="4">
        <v>0</v>
      </c>
      <c r="K2028" s="4">
        <v>0</v>
      </c>
      <c r="L2028" s="4">
        <v>0</v>
      </c>
      <c r="M2028" s="4">
        <v>0</v>
      </c>
      <c r="N2028" s="4">
        <v>0</v>
      </c>
      <c r="O2028" s="4">
        <v>0</v>
      </c>
      <c r="P2028" s="4">
        <v>0</v>
      </c>
      <c r="Q2028" s="4">
        <v>0</v>
      </c>
      <c r="S2028" s="8">
        <f t="shared" si="93"/>
        <v>0</v>
      </c>
      <c r="T2028" s="8">
        <f t="shared" si="94"/>
        <v>0</v>
      </c>
      <c r="U2028" s="9" t="e">
        <f t="shared" si="95"/>
        <v>#DIV/0!</v>
      </c>
    </row>
    <row r="2029" spans="1:21" outlineLevel="2">
      <c r="A2029" t="s">
        <v>557</v>
      </c>
      <c r="B2029" t="s">
        <v>558</v>
      </c>
      <c r="C2029" t="s">
        <v>170</v>
      </c>
      <c r="D2029" t="s">
        <v>171</v>
      </c>
      <c r="E2029" s="4">
        <v>0</v>
      </c>
      <c r="F2029" s="4">
        <v>0</v>
      </c>
      <c r="G2029" s="4">
        <v>0</v>
      </c>
      <c r="H2029" s="4">
        <v>0</v>
      </c>
      <c r="I2029" s="4">
        <v>0</v>
      </c>
      <c r="J2029" s="4">
        <v>0</v>
      </c>
      <c r="K2029" s="4">
        <v>0</v>
      </c>
      <c r="L2029" s="4">
        <v>0</v>
      </c>
      <c r="M2029" s="4">
        <v>0</v>
      </c>
      <c r="N2029" s="4">
        <v>0</v>
      </c>
      <c r="O2029" s="4">
        <v>0</v>
      </c>
      <c r="P2029" s="4">
        <v>0</v>
      </c>
      <c r="Q2029" s="4">
        <v>0</v>
      </c>
      <c r="S2029" s="8">
        <f t="shared" si="93"/>
        <v>0</v>
      </c>
      <c r="T2029" s="8">
        <f t="shared" si="94"/>
        <v>0</v>
      </c>
      <c r="U2029" s="9" t="e">
        <f t="shared" si="95"/>
        <v>#DIV/0!</v>
      </c>
    </row>
    <row r="2030" spans="1:21" outlineLevel="2">
      <c r="A2030" t="s">
        <v>557</v>
      </c>
      <c r="B2030" t="s">
        <v>558</v>
      </c>
      <c r="C2030" t="s">
        <v>127</v>
      </c>
      <c r="D2030" t="s">
        <v>120</v>
      </c>
      <c r="E2030" s="4">
        <v>0</v>
      </c>
      <c r="F2030" s="4">
        <v>0</v>
      </c>
      <c r="G2030" s="4">
        <v>0</v>
      </c>
      <c r="H2030" s="4">
        <v>0</v>
      </c>
      <c r="I2030" s="4">
        <v>0</v>
      </c>
      <c r="J2030" s="4">
        <v>-1.1368683772161603E-13</v>
      </c>
      <c r="K2030" s="4">
        <v>0</v>
      </c>
      <c r="L2030" s="4">
        <v>0</v>
      </c>
      <c r="M2030" s="4">
        <v>0</v>
      </c>
      <c r="N2030" s="4">
        <v>0</v>
      </c>
      <c r="O2030" s="4">
        <v>0</v>
      </c>
      <c r="P2030" s="4">
        <v>0</v>
      </c>
      <c r="Q2030" s="4">
        <v>0</v>
      </c>
      <c r="S2030" s="8">
        <f t="shared" si="93"/>
        <v>0</v>
      </c>
      <c r="T2030" s="8">
        <f t="shared" si="94"/>
        <v>0</v>
      </c>
      <c r="U2030" s="9" t="e">
        <f t="shared" si="95"/>
        <v>#DIV/0!</v>
      </c>
    </row>
    <row r="2031" spans="1:21" outlineLevel="1">
      <c r="A2031" s="1" t="s">
        <v>836</v>
      </c>
      <c r="E2031" s="4">
        <f>SUBTOTAL(9,E2015:E2030)</f>
        <v>-3.4106051316484809E-11</v>
      </c>
      <c r="F2031" s="4">
        <f>SUBTOTAL(9,F2015:F2030)</f>
        <v>2600.9900000000098</v>
      </c>
      <c r="G2031" s="4">
        <f>SUBTOTAL(9,G2015:G2030)</f>
        <v>3.3651359476749576E-11</v>
      </c>
      <c r="H2031" s="4">
        <f>SUBTOTAL(9,H2015:H2030)</f>
        <v>1.8182788608100964E-11</v>
      </c>
      <c r="I2031" s="4">
        <f>SUBTOTAL(9,I2015:I2030)</f>
        <v>5.2750692702829838E-11</v>
      </c>
      <c r="J2031" s="4">
        <f>SUBTOTAL(9,J2015:J2030)</f>
        <v>2.4591884084657067E-11</v>
      </c>
      <c r="K2031" s="4">
        <f>SUBTOTAL(9,K2015:K2030)</f>
        <v>2.97859514830634E-11</v>
      </c>
      <c r="L2031" s="4">
        <f>SUBTOTAL(9,L2015:L2030)</f>
        <v>-3.8198777474462986E-11</v>
      </c>
      <c r="M2031" s="4">
        <f>SUBTOTAL(9,M2015:M2030)</f>
        <v>0</v>
      </c>
      <c r="N2031" s="4">
        <f>SUBTOTAL(9,N2015:N2030)</f>
        <v>0</v>
      </c>
      <c r="O2031" s="4">
        <f>SUBTOTAL(9,O2015:O2030)</f>
        <v>0</v>
      </c>
      <c r="P2031" s="4">
        <f>SUBTOTAL(9,P2015:P2030)</f>
        <v>0</v>
      </c>
      <c r="Q2031" s="4">
        <f>SUBTOTAL(9,Q2015:Q2030)</f>
        <v>-17.690000000000001</v>
      </c>
      <c r="R2031" s="4">
        <f>SUBTOTAL(9,R2015:R2030)</f>
        <v>0</v>
      </c>
      <c r="S2031" s="8">
        <f t="shared" si="93"/>
        <v>-2.9483333333397002</v>
      </c>
      <c r="T2031" s="8">
        <f t="shared" si="94"/>
        <v>2.9483333333397002</v>
      </c>
      <c r="U2031" s="9">
        <f t="shared" si="95"/>
        <v>-1</v>
      </c>
    </row>
    <row r="2032" spans="1:21" outlineLevel="2">
      <c r="A2032" t="s">
        <v>559</v>
      </c>
      <c r="B2032" t="s">
        <v>560</v>
      </c>
      <c r="C2032" t="s">
        <v>136</v>
      </c>
      <c r="D2032" t="s">
        <v>137</v>
      </c>
      <c r="E2032" s="4">
        <v>0</v>
      </c>
      <c r="F2032" s="4">
        <v>-3.637978807091713E-12</v>
      </c>
      <c r="G2032" s="4">
        <v>0</v>
      </c>
      <c r="H2032" s="4">
        <v>0</v>
      </c>
      <c r="I2032" s="4">
        <v>-1.4551915228366852E-11</v>
      </c>
      <c r="J2032" s="4">
        <v>1.4551915228366852E-11</v>
      </c>
      <c r="K2032" s="4">
        <v>-1.4551915228366852E-11</v>
      </c>
      <c r="L2032" s="4">
        <v>0</v>
      </c>
      <c r="M2032" s="4">
        <v>0</v>
      </c>
      <c r="N2032" s="4">
        <v>0</v>
      </c>
      <c r="O2032" s="4">
        <v>0</v>
      </c>
      <c r="P2032" s="4">
        <v>0</v>
      </c>
      <c r="Q2032" s="4">
        <v>0</v>
      </c>
      <c r="S2032" s="8">
        <f t="shared" si="93"/>
        <v>0</v>
      </c>
      <c r="T2032" s="8">
        <f t="shared" si="94"/>
        <v>0</v>
      </c>
      <c r="U2032" s="9" t="e">
        <f t="shared" si="95"/>
        <v>#DIV/0!</v>
      </c>
    </row>
    <row r="2033" spans="1:21" outlineLevel="2">
      <c r="A2033" t="s">
        <v>559</v>
      </c>
      <c r="B2033" t="s">
        <v>560</v>
      </c>
      <c r="C2033" t="s">
        <v>138</v>
      </c>
      <c r="D2033" t="s">
        <v>139</v>
      </c>
      <c r="E2033" s="4">
        <v>-9.0949470177292824E-13</v>
      </c>
      <c r="F2033" s="4">
        <v>-1.3642420526593924E-12</v>
      </c>
      <c r="G2033" s="4">
        <v>-1.8189894035458565E-12</v>
      </c>
      <c r="H2033" s="4">
        <v>1.8189894035458565E-12</v>
      </c>
      <c r="I2033" s="4">
        <v>9.0949470177292824E-13</v>
      </c>
      <c r="J2033" s="4">
        <v>1.8189894035458565E-12</v>
      </c>
      <c r="K2033" s="4">
        <v>0</v>
      </c>
      <c r="L2033" s="4">
        <v>0</v>
      </c>
      <c r="M2033" s="4">
        <v>0</v>
      </c>
      <c r="N2033" s="4">
        <v>0</v>
      </c>
      <c r="O2033" s="4">
        <v>0</v>
      </c>
      <c r="P2033" s="4">
        <v>0</v>
      </c>
      <c r="Q2033" s="4">
        <v>0</v>
      </c>
      <c r="S2033" s="8">
        <f t="shared" si="93"/>
        <v>0</v>
      </c>
      <c r="T2033" s="8">
        <f t="shared" si="94"/>
        <v>0</v>
      </c>
      <c r="U2033" s="9" t="e">
        <f t="shared" si="95"/>
        <v>#DIV/0!</v>
      </c>
    </row>
    <row r="2034" spans="1:21" outlineLevel="2">
      <c r="A2034" t="s">
        <v>559</v>
      </c>
      <c r="B2034" t="s">
        <v>560</v>
      </c>
      <c r="C2034" t="s">
        <v>29</v>
      </c>
      <c r="D2034" t="s">
        <v>30</v>
      </c>
      <c r="E2034" s="4">
        <v>1.4210854715202004E-14</v>
      </c>
      <c r="F2034" s="4">
        <v>1.4210854715202004E-14</v>
      </c>
      <c r="G2034" s="4">
        <v>-1.4210854715202004E-14</v>
      </c>
      <c r="H2034" s="4">
        <v>-2.8421709430404007E-14</v>
      </c>
      <c r="I2034" s="4">
        <v>-2.8421709430404007E-14</v>
      </c>
      <c r="J2034" s="4">
        <v>-4.2632564145606011E-14</v>
      </c>
      <c r="K2034" s="4">
        <v>2.8421709430404007E-14</v>
      </c>
      <c r="L2034" s="4">
        <v>5.6843418860808015E-14</v>
      </c>
      <c r="M2034" s="4">
        <v>0</v>
      </c>
      <c r="N2034" s="4">
        <v>0</v>
      </c>
      <c r="O2034" s="4">
        <v>0</v>
      </c>
      <c r="P2034" s="4">
        <v>0</v>
      </c>
      <c r="Q2034" s="4">
        <v>0</v>
      </c>
      <c r="S2034" s="8">
        <f t="shared" si="93"/>
        <v>9.473903143468002E-15</v>
      </c>
      <c r="T2034" s="8">
        <f t="shared" si="94"/>
        <v>-9.473903143468002E-15</v>
      </c>
      <c r="U2034" s="9">
        <f t="shared" si="95"/>
        <v>-1</v>
      </c>
    </row>
    <row r="2035" spans="1:21" outlineLevel="2">
      <c r="A2035" t="s">
        <v>559</v>
      </c>
      <c r="B2035" t="s">
        <v>560</v>
      </c>
      <c r="C2035" t="s">
        <v>144</v>
      </c>
      <c r="D2035" t="s">
        <v>145</v>
      </c>
      <c r="E2035" s="4">
        <v>0</v>
      </c>
      <c r="F2035" s="4">
        <v>0</v>
      </c>
      <c r="G2035" s="4">
        <v>0</v>
      </c>
      <c r="H2035" s="4">
        <v>-4.5474735088646412E-13</v>
      </c>
      <c r="I2035" s="4">
        <v>0</v>
      </c>
      <c r="J2035" s="4">
        <v>0</v>
      </c>
      <c r="K2035" s="4">
        <v>0</v>
      </c>
      <c r="L2035" s="4">
        <v>0</v>
      </c>
      <c r="M2035" s="4">
        <v>0</v>
      </c>
      <c r="N2035" s="4">
        <v>0</v>
      </c>
      <c r="O2035" s="4">
        <v>0</v>
      </c>
      <c r="P2035" s="4">
        <v>0</v>
      </c>
      <c r="Q2035" s="4">
        <v>0</v>
      </c>
      <c r="S2035" s="8">
        <f t="shared" si="93"/>
        <v>0</v>
      </c>
      <c r="T2035" s="8">
        <f t="shared" si="94"/>
        <v>0</v>
      </c>
      <c r="U2035" s="9" t="e">
        <f t="shared" si="95"/>
        <v>#DIV/0!</v>
      </c>
    </row>
    <row r="2036" spans="1:21" outlineLevel="2">
      <c r="A2036" t="s">
        <v>559</v>
      </c>
      <c r="B2036" t="s">
        <v>560</v>
      </c>
      <c r="C2036" t="s">
        <v>146</v>
      </c>
      <c r="D2036" t="s">
        <v>147</v>
      </c>
      <c r="E2036" s="4">
        <v>-2.7284841053187847E-12</v>
      </c>
      <c r="F2036" s="4">
        <v>9.0949470177292824E-13</v>
      </c>
      <c r="G2036" s="4">
        <v>1.8189894035458565E-12</v>
      </c>
      <c r="H2036" s="4">
        <v>0</v>
      </c>
      <c r="I2036" s="4">
        <v>1.8189894035458565E-12</v>
      </c>
      <c r="J2036" s="4">
        <v>-1.8189894035458565E-12</v>
      </c>
      <c r="K2036" s="4">
        <v>3.637978807091713E-12</v>
      </c>
      <c r="L2036" s="4">
        <v>-3.637978807091713E-12</v>
      </c>
      <c r="M2036" s="4">
        <v>0</v>
      </c>
      <c r="N2036" s="4">
        <v>0</v>
      </c>
      <c r="O2036" s="4">
        <v>0</v>
      </c>
      <c r="P2036" s="4">
        <v>0</v>
      </c>
      <c r="Q2036" s="4">
        <v>0</v>
      </c>
      <c r="S2036" s="8">
        <f t="shared" si="93"/>
        <v>-6.0632980118195212E-13</v>
      </c>
      <c r="T2036" s="8">
        <f t="shared" si="94"/>
        <v>6.0632980118195212E-13</v>
      </c>
      <c r="U2036" s="9">
        <f t="shared" si="95"/>
        <v>-1</v>
      </c>
    </row>
    <row r="2037" spans="1:21" outlineLevel="2">
      <c r="A2037" t="s">
        <v>559</v>
      </c>
      <c r="B2037" t="s">
        <v>560</v>
      </c>
      <c r="C2037" t="s">
        <v>150</v>
      </c>
      <c r="D2037" t="s">
        <v>151</v>
      </c>
      <c r="E2037" s="4">
        <v>0</v>
      </c>
      <c r="F2037" s="4">
        <v>0</v>
      </c>
      <c r="G2037" s="4">
        <v>0</v>
      </c>
      <c r="H2037" s="4">
        <v>0</v>
      </c>
      <c r="I2037" s="4">
        <v>0</v>
      </c>
      <c r="J2037" s="4">
        <v>0</v>
      </c>
      <c r="K2037" s="4">
        <v>0</v>
      </c>
      <c r="L2037" s="4">
        <v>0</v>
      </c>
      <c r="M2037" s="4">
        <v>0</v>
      </c>
      <c r="N2037" s="4">
        <v>0</v>
      </c>
      <c r="O2037" s="4">
        <v>0</v>
      </c>
      <c r="P2037" s="4">
        <v>0</v>
      </c>
      <c r="Q2037" s="4">
        <v>0</v>
      </c>
      <c r="S2037" s="8">
        <f t="shared" si="93"/>
        <v>0</v>
      </c>
      <c r="T2037" s="8">
        <f t="shared" si="94"/>
        <v>0</v>
      </c>
      <c r="U2037" s="9" t="e">
        <f t="shared" si="95"/>
        <v>#DIV/0!</v>
      </c>
    </row>
    <row r="2038" spans="1:21" outlineLevel="2">
      <c r="A2038" t="s">
        <v>559</v>
      </c>
      <c r="B2038" t="s">
        <v>560</v>
      </c>
      <c r="C2038" t="s">
        <v>152</v>
      </c>
      <c r="D2038" t="s">
        <v>153</v>
      </c>
      <c r="E2038" s="4">
        <v>9.0949470177292824E-13</v>
      </c>
      <c r="F2038" s="4">
        <v>1.1368683772161603E-12</v>
      </c>
      <c r="G2038" s="4">
        <v>1.8189894035458565E-12</v>
      </c>
      <c r="H2038" s="4">
        <v>0</v>
      </c>
      <c r="I2038" s="4">
        <v>1.8189894035458565E-12</v>
      </c>
      <c r="J2038" s="4">
        <v>0</v>
      </c>
      <c r="K2038" s="4">
        <v>1.8189894035458565E-12</v>
      </c>
      <c r="L2038" s="4">
        <v>0</v>
      </c>
      <c r="M2038" s="4">
        <v>0</v>
      </c>
      <c r="N2038" s="4">
        <v>0</v>
      </c>
      <c r="O2038" s="4">
        <v>0</v>
      </c>
      <c r="P2038" s="4">
        <v>0</v>
      </c>
      <c r="Q2038" s="4">
        <v>0</v>
      </c>
      <c r="S2038" s="8">
        <f t="shared" si="93"/>
        <v>0</v>
      </c>
      <c r="T2038" s="8">
        <f t="shared" si="94"/>
        <v>0</v>
      </c>
      <c r="U2038" s="9" t="e">
        <f t="shared" si="95"/>
        <v>#DIV/0!</v>
      </c>
    </row>
    <row r="2039" spans="1:21" outlineLevel="2">
      <c r="A2039" t="s">
        <v>559</v>
      </c>
      <c r="B2039" t="s">
        <v>560</v>
      </c>
      <c r="C2039" t="s">
        <v>154</v>
      </c>
      <c r="D2039" t="s">
        <v>155</v>
      </c>
      <c r="E2039" s="4">
        <v>1.1368683772161603E-13</v>
      </c>
      <c r="F2039" s="4">
        <v>-1.4210854715202004E-14</v>
      </c>
      <c r="G2039" s="4">
        <v>-1.4210854715202004E-14</v>
      </c>
      <c r="H2039" s="4">
        <v>0</v>
      </c>
      <c r="I2039" s="4">
        <v>0</v>
      </c>
      <c r="J2039" s="4">
        <v>0</v>
      </c>
      <c r="K2039" s="4">
        <v>0</v>
      </c>
      <c r="L2039" s="4">
        <v>-2.8421709430404007E-14</v>
      </c>
      <c r="M2039" s="4">
        <v>0</v>
      </c>
      <c r="N2039" s="4">
        <v>0</v>
      </c>
      <c r="O2039" s="4">
        <v>0</v>
      </c>
      <c r="P2039" s="4">
        <v>0</v>
      </c>
      <c r="Q2039" s="4">
        <v>0</v>
      </c>
      <c r="S2039" s="8">
        <f t="shared" si="93"/>
        <v>-4.736951571734001E-15</v>
      </c>
      <c r="T2039" s="8">
        <f t="shared" si="94"/>
        <v>4.736951571734001E-15</v>
      </c>
      <c r="U2039" s="9">
        <f t="shared" si="95"/>
        <v>-1</v>
      </c>
    </row>
    <row r="2040" spans="1:21" outlineLevel="2">
      <c r="A2040" t="s">
        <v>559</v>
      </c>
      <c r="B2040" t="s">
        <v>560</v>
      </c>
      <c r="C2040" t="s">
        <v>164</v>
      </c>
      <c r="D2040" t="s">
        <v>165</v>
      </c>
      <c r="E2040" s="4">
        <v>0</v>
      </c>
      <c r="F2040" s="4">
        <v>0</v>
      </c>
      <c r="G2040" s="4">
        <v>0</v>
      </c>
      <c r="H2040" s="4">
        <v>0</v>
      </c>
      <c r="I2040" s="4">
        <v>0</v>
      </c>
      <c r="J2040" s="4">
        <v>0</v>
      </c>
      <c r="K2040" s="4">
        <v>0</v>
      </c>
      <c r="L2040" s="4">
        <v>0</v>
      </c>
      <c r="M2040" s="4">
        <v>0</v>
      </c>
      <c r="N2040" s="4">
        <v>0</v>
      </c>
      <c r="O2040" s="4">
        <v>0</v>
      </c>
      <c r="P2040" s="4">
        <v>0</v>
      </c>
      <c r="Q2040" s="4">
        <v>0</v>
      </c>
      <c r="S2040" s="8">
        <f t="shared" si="93"/>
        <v>0</v>
      </c>
      <c r="T2040" s="8">
        <f t="shared" si="94"/>
        <v>0</v>
      </c>
      <c r="U2040" s="9" t="e">
        <f t="shared" si="95"/>
        <v>#DIV/0!</v>
      </c>
    </row>
    <row r="2041" spans="1:21" outlineLevel="2">
      <c r="A2041" t="s">
        <v>559</v>
      </c>
      <c r="B2041" t="s">
        <v>560</v>
      </c>
      <c r="C2041" t="s">
        <v>170</v>
      </c>
      <c r="D2041" t="s">
        <v>171</v>
      </c>
      <c r="E2041" s="4">
        <v>0</v>
      </c>
      <c r="F2041" s="4">
        <v>0</v>
      </c>
      <c r="G2041" s="4">
        <v>0</v>
      </c>
      <c r="H2041" s="4">
        <v>0</v>
      </c>
      <c r="I2041" s="4">
        <v>0</v>
      </c>
      <c r="J2041" s="4">
        <v>0</v>
      </c>
      <c r="K2041" s="4">
        <v>0</v>
      </c>
      <c r="L2041" s="4">
        <v>0</v>
      </c>
      <c r="M2041" s="4">
        <v>0</v>
      </c>
      <c r="N2041" s="4">
        <v>0</v>
      </c>
      <c r="O2041" s="4">
        <v>0</v>
      </c>
      <c r="P2041" s="4">
        <v>0</v>
      </c>
      <c r="Q2041" s="4">
        <v>0</v>
      </c>
      <c r="S2041" s="8">
        <f t="shared" si="93"/>
        <v>0</v>
      </c>
      <c r="T2041" s="8">
        <f t="shared" si="94"/>
        <v>0</v>
      </c>
      <c r="U2041" s="9" t="e">
        <f t="shared" si="95"/>
        <v>#DIV/0!</v>
      </c>
    </row>
    <row r="2042" spans="1:21" outlineLevel="1">
      <c r="A2042" s="1" t="s">
        <v>837</v>
      </c>
      <c r="E2042" s="4">
        <f>SUBTOTAL(9,E2032:E2041)</f>
        <v>-2.6005864128819667E-12</v>
      </c>
      <c r="F2042" s="4">
        <f>SUBTOTAL(9,F2032:F2041)</f>
        <v>-2.9558577807620168E-12</v>
      </c>
      <c r="G2042" s="4">
        <f>SUBTOTAL(9,G2032:G2041)</f>
        <v>1.7905676941154525E-12</v>
      </c>
      <c r="H2042" s="4">
        <f>SUBTOTAL(9,H2032:H2041)</f>
        <v>1.3358203432289883E-12</v>
      </c>
      <c r="I2042" s="4">
        <f>SUBTOTAL(9,I2032:I2041)</f>
        <v>-1.0032863428932615E-11</v>
      </c>
      <c r="J2042" s="4">
        <f>SUBTOTAL(9,J2032:J2041)</f>
        <v>1.4509282664221246E-11</v>
      </c>
      <c r="K2042" s="4">
        <f>SUBTOTAL(9,K2032:K2041)</f>
        <v>-9.0665253082988784E-12</v>
      </c>
      <c r="L2042" s="4">
        <f>SUBTOTAL(9,L2032:L2041)</f>
        <v>-3.6095570976613089E-12</v>
      </c>
      <c r="M2042" s="4">
        <f>SUBTOTAL(9,M2032:M2041)</f>
        <v>0</v>
      </c>
      <c r="N2042" s="4">
        <f>SUBTOTAL(9,N2032:N2041)</f>
        <v>0</v>
      </c>
      <c r="O2042" s="4">
        <f>SUBTOTAL(9,O2032:O2041)</f>
        <v>0</v>
      </c>
      <c r="P2042" s="4">
        <f>SUBTOTAL(9,P2032:P2041)</f>
        <v>0</v>
      </c>
      <c r="Q2042" s="4">
        <f>SUBTOTAL(9,Q2032:Q2041)</f>
        <v>0</v>
      </c>
      <c r="R2042" s="4">
        <f>SUBTOTAL(9,R2032:R2041)</f>
        <v>0</v>
      </c>
      <c r="S2042" s="8">
        <f t="shared" si="93"/>
        <v>-6.0159284961021819E-13</v>
      </c>
      <c r="T2042" s="8">
        <f t="shared" si="94"/>
        <v>6.0159284961021819E-13</v>
      </c>
      <c r="U2042" s="9">
        <f t="shared" si="95"/>
        <v>-1</v>
      </c>
    </row>
    <row r="2043" spans="1:21" outlineLevel="2">
      <c r="A2043" t="s">
        <v>561</v>
      </c>
      <c r="B2043" t="s">
        <v>562</v>
      </c>
      <c r="C2043" t="s">
        <v>136</v>
      </c>
      <c r="D2043" t="s">
        <v>137</v>
      </c>
      <c r="E2043" s="4">
        <v>9.0949470177292824E-13</v>
      </c>
      <c r="F2043" s="4">
        <v>1.1368683772161603E-13</v>
      </c>
      <c r="G2043" s="4">
        <v>4.5474735088646412E-13</v>
      </c>
      <c r="H2043" s="4">
        <v>0</v>
      </c>
      <c r="I2043" s="4">
        <v>0</v>
      </c>
      <c r="J2043" s="4">
        <v>0</v>
      </c>
      <c r="K2043" s="4">
        <v>0</v>
      </c>
      <c r="L2043" s="4">
        <v>0</v>
      </c>
      <c r="M2043" s="4">
        <v>0</v>
      </c>
      <c r="N2043" s="4">
        <v>0</v>
      </c>
      <c r="O2043" s="4">
        <v>0</v>
      </c>
      <c r="P2043" s="4">
        <v>0</v>
      </c>
      <c r="Q2043" s="4">
        <v>0</v>
      </c>
      <c r="S2043" s="8">
        <f t="shared" si="93"/>
        <v>0</v>
      </c>
      <c r="T2043" s="8">
        <f t="shared" si="94"/>
        <v>0</v>
      </c>
      <c r="U2043" s="9" t="e">
        <f t="shared" si="95"/>
        <v>#DIV/0!</v>
      </c>
    </row>
    <row r="2044" spans="1:21" outlineLevel="2">
      <c r="A2044" t="s">
        <v>561</v>
      </c>
      <c r="B2044" t="s">
        <v>562</v>
      </c>
      <c r="C2044" t="s">
        <v>144</v>
      </c>
      <c r="D2044" t="s">
        <v>145</v>
      </c>
      <c r="E2044" s="4">
        <v>-2.8421709430404007E-14</v>
      </c>
      <c r="F2044" s="4">
        <v>0</v>
      </c>
      <c r="G2044" s="4">
        <v>0</v>
      </c>
      <c r="H2044" s="4">
        <v>0</v>
      </c>
      <c r="I2044" s="4">
        <v>0</v>
      </c>
      <c r="J2044" s="4">
        <v>0</v>
      </c>
      <c r="K2044" s="4">
        <v>0</v>
      </c>
      <c r="L2044" s="4">
        <v>0</v>
      </c>
      <c r="M2044" s="4">
        <v>0</v>
      </c>
      <c r="N2044" s="4">
        <v>0</v>
      </c>
      <c r="O2044" s="4">
        <v>0</v>
      </c>
      <c r="P2044" s="4">
        <v>0</v>
      </c>
      <c r="Q2044" s="4">
        <v>0</v>
      </c>
      <c r="S2044" s="8">
        <f t="shared" si="93"/>
        <v>0</v>
      </c>
      <c r="T2044" s="8">
        <f t="shared" si="94"/>
        <v>0</v>
      </c>
      <c r="U2044" s="9" t="e">
        <f t="shared" si="95"/>
        <v>#DIV/0!</v>
      </c>
    </row>
    <row r="2045" spans="1:21" outlineLevel="2">
      <c r="A2045" t="s">
        <v>561</v>
      </c>
      <c r="B2045" t="s">
        <v>562</v>
      </c>
      <c r="C2045" t="s">
        <v>146</v>
      </c>
      <c r="D2045" t="s">
        <v>147</v>
      </c>
      <c r="E2045" s="4">
        <v>0</v>
      </c>
      <c r="F2045" s="4">
        <v>1.4210854715202004E-14</v>
      </c>
      <c r="G2045" s="4">
        <v>1.1368683772161603E-13</v>
      </c>
      <c r="H2045" s="4">
        <v>0</v>
      </c>
      <c r="I2045" s="4">
        <v>2.8421709430404007E-14</v>
      </c>
      <c r="J2045" s="4">
        <v>1.1368683772161603E-13</v>
      </c>
      <c r="K2045" s="4">
        <v>-5.6843418860808015E-14</v>
      </c>
      <c r="L2045" s="4">
        <v>1.1368683772161603E-13</v>
      </c>
      <c r="M2045" s="4">
        <v>0</v>
      </c>
      <c r="N2045" s="4">
        <v>0</v>
      </c>
      <c r="O2045" s="4">
        <v>0</v>
      </c>
      <c r="P2045" s="4">
        <v>0</v>
      </c>
      <c r="Q2045" s="4">
        <v>0</v>
      </c>
      <c r="S2045" s="8">
        <f t="shared" si="93"/>
        <v>1.8947806286936004E-14</v>
      </c>
      <c r="T2045" s="8">
        <f t="shared" si="94"/>
        <v>-1.8947806286936004E-14</v>
      </c>
      <c r="U2045" s="9">
        <f t="shared" si="95"/>
        <v>-1</v>
      </c>
    </row>
    <row r="2046" spans="1:21" outlineLevel="2">
      <c r="A2046" t="s">
        <v>561</v>
      </c>
      <c r="B2046" t="s">
        <v>562</v>
      </c>
      <c r="C2046" t="s">
        <v>150</v>
      </c>
      <c r="D2046" t="s">
        <v>151</v>
      </c>
      <c r="E2046" s="4">
        <v>0</v>
      </c>
      <c r="F2046" s="4">
        <v>0</v>
      </c>
      <c r="G2046" s="4">
        <v>0</v>
      </c>
      <c r="H2046" s="4">
        <v>0</v>
      </c>
      <c r="I2046" s="4">
        <v>0</v>
      </c>
      <c r="J2046" s="4">
        <v>0</v>
      </c>
      <c r="K2046" s="4">
        <v>0</v>
      </c>
      <c r="L2046" s="4">
        <v>0</v>
      </c>
      <c r="M2046" s="4">
        <v>0</v>
      </c>
      <c r="N2046" s="4">
        <v>0</v>
      </c>
      <c r="O2046" s="4">
        <v>0</v>
      </c>
      <c r="P2046" s="4">
        <v>0</v>
      </c>
      <c r="Q2046" s="4">
        <v>0</v>
      </c>
      <c r="S2046" s="8">
        <f t="shared" si="93"/>
        <v>0</v>
      </c>
      <c r="T2046" s="8">
        <f t="shared" si="94"/>
        <v>0</v>
      </c>
      <c r="U2046" s="9" t="e">
        <f t="shared" si="95"/>
        <v>#DIV/0!</v>
      </c>
    </row>
    <row r="2047" spans="1:21" outlineLevel="2">
      <c r="A2047" t="s">
        <v>561</v>
      </c>
      <c r="B2047" t="s">
        <v>562</v>
      </c>
      <c r="C2047" t="s">
        <v>152</v>
      </c>
      <c r="D2047" t="s">
        <v>153</v>
      </c>
      <c r="E2047" s="4">
        <v>2.8421709430404007E-14</v>
      </c>
      <c r="F2047" s="4">
        <v>2.8421709430404007E-14</v>
      </c>
      <c r="G2047" s="4">
        <v>-2.8421709430404007E-14</v>
      </c>
      <c r="H2047" s="4">
        <v>2.8421709430404007E-14</v>
      </c>
      <c r="I2047" s="4">
        <v>-5.6843418860808015E-14</v>
      </c>
      <c r="J2047" s="4">
        <v>-5.6843418860808015E-14</v>
      </c>
      <c r="K2047" s="4">
        <v>0</v>
      </c>
      <c r="L2047" s="4">
        <v>0</v>
      </c>
      <c r="M2047" s="4">
        <v>0</v>
      </c>
      <c r="N2047" s="4">
        <v>0</v>
      </c>
      <c r="O2047" s="4">
        <v>0</v>
      </c>
      <c r="P2047" s="4">
        <v>0</v>
      </c>
      <c r="Q2047" s="4">
        <v>0</v>
      </c>
      <c r="S2047" s="8">
        <f t="shared" si="93"/>
        <v>0</v>
      </c>
      <c r="T2047" s="8">
        <f t="shared" si="94"/>
        <v>0</v>
      </c>
      <c r="U2047" s="9" t="e">
        <f t="shared" si="95"/>
        <v>#DIV/0!</v>
      </c>
    </row>
    <row r="2048" spans="1:21" outlineLevel="2">
      <c r="A2048" t="s">
        <v>561</v>
      </c>
      <c r="B2048" t="s">
        <v>562</v>
      </c>
      <c r="C2048" t="s">
        <v>154</v>
      </c>
      <c r="D2048" t="s">
        <v>155</v>
      </c>
      <c r="E2048" s="4">
        <v>0</v>
      </c>
      <c r="F2048" s="4">
        <v>0</v>
      </c>
      <c r="G2048" s="4">
        <v>0</v>
      </c>
      <c r="H2048" s="4">
        <v>0</v>
      </c>
      <c r="I2048" s="4">
        <v>0</v>
      </c>
      <c r="J2048" s="4">
        <v>0</v>
      </c>
      <c r="K2048" s="4">
        <v>0</v>
      </c>
      <c r="L2048" s="4">
        <v>0</v>
      </c>
      <c r="M2048" s="4">
        <v>0</v>
      </c>
      <c r="N2048" s="4">
        <v>0</v>
      </c>
      <c r="O2048" s="4">
        <v>0</v>
      </c>
      <c r="P2048" s="4">
        <v>0</v>
      </c>
      <c r="Q2048" s="4">
        <v>0</v>
      </c>
      <c r="S2048" s="8">
        <f t="shared" si="93"/>
        <v>0</v>
      </c>
      <c r="T2048" s="8">
        <f t="shared" si="94"/>
        <v>0</v>
      </c>
      <c r="U2048" s="9" t="e">
        <f t="shared" si="95"/>
        <v>#DIV/0!</v>
      </c>
    </row>
    <row r="2049" spans="1:21" outlineLevel="2">
      <c r="A2049" t="s">
        <v>561</v>
      </c>
      <c r="B2049" t="s">
        <v>562</v>
      </c>
      <c r="C2049" t="s">
        <v>170</v>
      </c>
      <c r="D2049" t="s">
        <v>171</v>
      </c>
      <c r="E2049" s="4">
        <v>0</v>
      </c>
      <c r="F2049" s="4">
        <v>0</v>
      </c>
      <c r="G2049" s="4">
        <v>0</v>
      </c>
      <c r="H2049" s="4">
        <v>0</v>
      </c>
      <c r="I2049" s="4">
        <v>0</v>
      </c>
      <c r="J2049" s="4">
        <v>0</v>
      </c>
      <c r="K2049" s="4">
        <v>0</v>
      </c>
      <c r="L2049" s="4">
        <v>0</v>
      </c>
      <c r="M2049" s="4">
        <v>0</v>
      </c>
      <c r="N2049" s="4">
        <v>0</v>
      </c>
      <c r="O2049" s="4">
        <v>0</v>
      </c>
      <c r="P2049" s="4">
        <v>0</v>
      </c>
      <c r="Q2049" s="4">
        <v>0</v>
      </c>
      <c r="S2049" s="8">
        <f t="shared" si="93"/>
        <v>0</v>
      </c>
      <c r="T2049" s="8">
        <f t="shared" si="94"/>
        <v>0</v>
      </c>
      <c r="U2049" s="9" t="e">
        <f t="shared" si="95"/>
        <v>#DIV/0!</v>
      </c>
    </row>
    <row r="2050" spans="1:21" outlineLevel="1">
      <c r="A2050" s="1" t="s">
        <v>838</v>
      </c>
      <c r="E2050" s="4">
        <f>SUBTOTAL(9,E2043:E2049)</f>
        <v>9.0949470177292824E-13</v>
      </c>
      <c r="F2050" s="4">
        <f>SUBTOTAL(9,F2043:F2049)</f>
        <v>1.5631940186722204E-13</v>
      </c>
      <c r="G2050" s="4">
        <f>SUBTOTAL(9,G2043:G2049)</f>
        <v>5.4001247917767614E-13</v>
      </c>
      <c r="H2050" s="4">
        <f>SUBTOTAL(9,H2043:H2049)</f>
        <v>2.8421709430404007E-14</v>
      </c>
      <c r="I2050" s="4">
        <f>SUBTOTAL(9,I2043:I2049)</f>
        <v>-2.8421709430404007E-14</v>
      </c>
      <c r="J2050" s="4">
        <f>SUBTOTAL(9,J2043:J2049)</f>
        <v>5.6843418860808015E-14</v>
      </c>
      <c r="K2050" s="4">
        <f>SUBTOTAL(9,K2043:K2049)</f>
        <v>-5.6843418860808015E-14</v>
      </c>
      <c r="L2050" s="4">
        <f>SUBTOTAL(9,L2043:L2049)</f>
        <v>1.1368683772161603E-13</v>
      </c>
      <c r="M2050" s="4">
        <f>SUBTOTAL(9,M2043:M2049)</f>
        <v>0</v>
      </c>
      <c r="N2050" s="4">
        <f>SUBTOTAL(9,N2043:N2049)</f>
        <v>0</v>
      </c>
      <c r="O2050" s="4">
        <f>SUBTOTAL(9,O2043:O2049)</f>
        <v>0</v>
      </c>
      <c r="P2050" s="4">
        <f>SUBTOTAL(9,P2043:P2049)</f>
        <v>0</v>
      </c>
      <c r="Q2050" s="4">
        <f>SUBTOTAL(9,Q2043:Q2049)</f>
        <v>0</v>
      </c>
      <c r="R2050" s="4">
        <f>SUBTOTAL(9,R2043:R2049)</f>
        <v>0</v>
      </c>
      <c r="S2050" s="8">
        <f t="shared" si="93"/>
        <v>1.8947806286936004E-14</v>
      </c>
      <c r="T2050" s="8">
        <f t="shared" si="94"/>
        <v>-1.8947806286936004E-14</v>
      </c>
      <c r="U2050" s="9">
        <f t="shared" si="95"/>
        <v>-1</v>
      </c>
    </row>
    <row r="2051" spans="1:21" outlineLevel="2">
      <c r="A2051" t="s">
        <v>563</v>
      </c>
      <c r="B2051" t="s">
        <v>564</v>
      </c>
      <c r="C2051" t="s">
        <v>136</v>
      </c>
      <c r="D2051" t="s">
        <v>137</v>
      </c>
      <c r="E2051" s="4">
        <v>0</v>
      </c>
      <c r="F2051" s="4">
        <v>0</v>
      </c>
      <c r="G2051" s="4">
        <v>4.5474735088646412E-13</v>
      </c>
      <c r="H2051" s="4">
        <v>-4.5474735088646412E-13</v>
      </c>
      <c r="I2051" s="4">
        <v>9.0949470177292824E-13</v>
      </c>
      <c r="J2051" s="4">
        <v>4.5474735088646412E-13</v>
      </c>
      <c r="K2051" s="4">
        <v>0</v>
      </c>
      <c r="L2051" s="4">
        <v>9.0949470177292824E-13</v>
      </c>
      <c r="M2051" s="4">
        <v>0</v>
      </c>
      <c r="N2051" s="4">
        <v>0</v>
      </c>
      <c r="O2051" s="4">
        <v>0</v>
      </c>
      <c r="P2051" s="4">
        <v>0</v>
      </c>
      <c r="Q2051" s="4">
        <v>0</v>
      </c>
      <c r="S2051" s="8">
        <f t="shared" ref="S2051:S2114" si="96">AVERAGE(L2051:Q2051)</f>
        <v>1.5158245029548803E-13</v>
      </c>
      <c r="T2051" s="8">
        <f t="shared" ref="T2051:T2114" si="97">R2051-S2051</f>
        <v>-1.5158245029548803E-13</v>
      </c>
      <c r="U2051" s="9">
        <f t="shared" ref="U2051:U2114" si="98">(R2051-S2051)/S2051</f>
        <v>-1</v>
      </c>
    </row>
    <row r="2052" spans="1:21" outlineLevel="2">
      <c r="A2052" t="s">
        <v>563</v>
      </c>
      <c r="B2052" t="s">
        <v>564</v>
      </c>
      <c r="C2052" t="s">
        <v>138</v>
      </c>
      <c r="D2052" t="s">
        <v>139</v>
      </c>
      <c r="E2052" s="4">
        <v>0</v>
      </c>
      <c r="F2052" s="4">
        <v>2.2737367544323206E-13</v>
      </c>
      <c r="G2052" s="4">
        <v>0</v>
      </c>
      <c r="H2052" s="4">
        <v>2.2737367544323206E-13</v>
      </c>
      <c r="I2052" s="4">
        <v>2.2737367544323206E-13</v>
      </c>
      <c r="J2052" s="4">
        <v>0</v>
      </c>
      <c r="K2052" s="4">
        <v>-2.2737367544323206E-13</v>
      </c>
      <c r="L2052" s="4">
        <v>4.5474735088646412E-13</v>
      </c>
      <c r="M2052" s="4">
        <v>0</v>
      </c>
      <c r="N2052" s="4">
        <v>0</v>
      </c>
      <c r="O2052" s="4">
        <v>0</v>
      </c>
      <c r="P2052" s="4">
        <v>0</v>
      </c>
      <c r="Q2052" s="4">
        <v>0</v>
      </c>
      <c r="S2052" s="8">
        <f t="shared" si="96"/>
        <v>7.5791225147744016E-14</v>
      </c>
      <c r="T2052" s="8">
        <f t="shared" si="97"/>
        <v>-7.5791225147744016E-14</v>
      </c>
      <c r="U2052" s="9">
        <f t="shared" si="98"/>
        <v>-1</v>
      </c>
    </row>
    <row r="2053" spans="1:21" outlineLevel="2">
      <c r="A2053" t="s">
        <v>563</v>
      </c>
      <c r="B2053" t="s">
        <v>564</v>
      </c>
      <c r="C2053" t="s">
        <v>29</v>
      </c>
      <c r="D2053" t="s">
        <v>30</v>
      </c>
      <c r="E2053" s="4">
        <v>1.1368683772161603E-13</v>
      </c>
      <c r="F2053" s="4">
        <v>5.6843418860808015E-14</v>
      </c>
      <c r="G2053" s="4">
        <v>-5.6843418860808015E-14</v>
      </c>
      <c r="H2053" s="4">
        <v>-1.1368683772161603E-13</v>
      </c>
      <c r="I2053" s="4">
        <v>0</v>
      </c>
      <c r="J2053" s="4">
        <v>0</v>
      </c>
      <c r="K2053" s="4">
        <v>0</v>
      </c>
      <c r="L2053" s="4">
        <v>0</v>
      </c>
      <c r="M2053" s="4">
        <v>0</v>
      </c>
      <c r="N2053" s="4">
        <v>0</v>
      </c>
      <c r="O2053" s="4">
        <v>0</v>
      </c>
      <c r="P2053" s="4">
        <v>0</v>
      </c>
      <c r="Q2053" s="4">
        <v>0</v>
      </c>
      <c r="S2053" s="8">
        <f t="shared" si="96"/>
        <v>0</v>
      </c>
      <c r="T2053" s="8">
        <f t="shared" si="97"/>
        <v>0</v>
      </c>
      <c r="U2053" s="9" t="e">
        <f t="shared" si="98"/>
        <v>#DIV/0!</v>
      </c>
    </row>
    <row r="2054" spans="1:21" outlineLevel="2">
      <c r="A2054" t="s">
        <v>563</v>
      </c>
      <c r="B2054" t="s">
        <v>564</v>
      </c>
      <c r="C2054" t="s">
        <v>144</v>
      </c>
      <c r="D2054" t="s">
        <v>145</v>
      </c>
      <c r="E2054" s="4">
        <v>0</v>
      </c>
      <c r="F2054" s="4">
        <v>0</v>
      </c>
      <c r="G2054" s="4">
        <v>0</v>
      </c>
      <c r="H2054" s="4">
        <v>0</v>
      </c>
      <c r="I2054" s="4">
        <v>0</v>
      </c>
      <c r="J2054" s="4">
        <v>0</v>
      </c>
      <c r="K2054" s="4">
        <v>0</v>
      </c>
      <c r="L2054" s="4">
        <v>0</v>
      </c>
      <c r="M2054" s="4">
        <v>0</v>
      </c>
      <c r="N2054" s="4">
        <v>0</v>
      </c>
      <c r="O2054" s="4">
        <v>0</v>
      </c>
      <c r="P2054" s="4">
        <v>0</v>
      </c>
      <c r="Q2054" s="4">
        <v>0</v>
      </c>
      <c r="S2054" s="8">
        <f t="shared" si="96"/>
        <v>0</v>
      </c>
      <c r="T2054" s="8">
        <f t="shared" si="97"/>
        <v>0</v>
      </c>
      <c r="U2054" s="9" t="e">
        <f t="shared" si="98"/>
        <v>#DIV/0!</v>
      </c>
    </row>
    <row r="2055" spans="1:21" outlineLevel="2">
      <c r="A2055" t="s">
        <v>563</v>
      </c>
      <c r="B2055" t="s">
        <v>564</v>
      </c>
      <c r="C2055" t="s">
        <v>146</v>
      </c>
      <c r="D2055" t="s">
        <v>147</v>
      </c>
      <c r="E2055" s="4">
        <v>5.6843418860808015E-14</v>
      </c>
      <c r="F2055" s="4">
        <v>-1.4210854715202004E-14</v>
      </c>
      <c r="G2055" s="4">
        <v>0</v>
      </c>
      <c r="H2055" s="4">
        <v>1.1368683772161603E-13</v>
      </c>
      <c r="I2055" s="4">
        <v>5.6843418860808015E-14</v>
      </c>
      <c r="J2055" s="4">
        <v>1.7053025658242404E-13</v>
      </c>
      <c r="K2055" s="4">
        <v>3.4106051316484809E-13</v>
      </c>
      <c r="L2055" s="4">
        <v>0</v>
      </c>
      <c r="M2055" s="4">
        <v>0</v>
      </c>
      <c r="N2055" s="4">
        <v>0</v>
      </c>
      <c r="O2055" s="4">
        <v>0</v>
      </c>
      <c r="P2055" s="4">
        <v>0</v>
      </c>
      <c r="Q2055" s="4">
        <v>0</v>
      </c>
      <c r="S2055" s="8">
        <f t="shared" si="96"/>
        <v>0</v>
      </c>
      <c r="T2055" s="8">
        <f t="shared" si="97"/>
        <v>0</v>
      </c>
      <c r="U2055" s="9" t="e">
        <f t="shared" si="98"/>
        <v>#DIV/0!</v>
      </c>
    </row>
    <row r="2056" spans="1:21" outlineLevel="2">
      <c r="A2056" t="s">
        <v>563</v>
      </c>
      <c r="B2056" t="s">
        <v>564</v>
      </c>
      <c r="C2056" t="s">
        <v>150</v>
      </c>
      <c r="D2056" t="s">
        <v>151</v>
      </c>
      <c r="E2056" s="4">
        <v>0</v>
      </c>
      <c r="F2056" s="4">
        <v>0</v>
      </c>
      <c r="G2056" s="4">
        <v>-2.2737367544323206E-13</v>
      </c>
      <c r="H2056" s="4">
        <v>0</v>
      </c>
      <c r="I2056" s="4">
        <v>0</v>
      </c>
      <c r="J2056" s="4">
        <v>0</v>
      </c>
      <c r="K2056" s="4">
        <v>0</v>
      </c>
      <c r="L2056" s="4">
        <v>0</v>
      </c>
      <c r="M2056" s="4">
        <v>0</v>
      </c>
      <c r="N2056" s="4">
        <v>0</v>
      </c>
      <c r="O2056" s="4">
        <v>0</v>
      </c>
      <c r="P2056" s="4">
        <v>0</v>
      </c>
      <c r="Q2056" s="4">
        <v>0</v>
      </c>
      <c r="S2056" s="8">
        <f t="shared" si="96"/>
        <v>0</v>
      </c>
      <c r="T2056" s="8">
        <f t="shared" si="97"/>
        <v>0</v>
      </c>
      <c r="U2056" s="9" t="e">
        <f t="shared" si="98"/>
        <v>#DIV/0!</v>
      </c>
    </row>
    <row r="2057" spans="1:21" outlineLevel="2">
      <c r="A2057" t="s">
        <v>563</v>
      </c>
      <c r="B2057" t="s">
        <v>564</v>
      </c>
      <c r="C2057" t="s">
        <v>152</v>
      </c>
      <c r="D2057" t="s">
        <v>153</v>
      </c>
      <c r="E2057" s="4">
        <v>-1.7053025658242404E-13</v>
      </c>
      <c r="F2057" s="4">
        <v>-5.6843418860808015E-14</v>
      </c>
      <c r="G2057" s="4">
        <v>5.6843418860808015E-14</v>
      </c>
      <c r="H2057" s="4">
        <v>-5.6843418860808015E-14</v>
      </c>
      <c r="I2057" s="4">
        <v>5.6843418860808015E-14</v>
      </c>
      <c r="J2057" s="4">
        <v>1.1368683772161603E-13</v>
      </c>
      <c r="K2057" s="4">
        <v>0</v>
      </c>
      <c r="L2057" s="4">
        <v>0</v>
      </c>
      <c r="M2057" s="4">
        <v>0</v>
      </c>
      <c r="N2057" s="4">
        <v>0</v>
      </c>
      <c r="O2057" s="4">
        <v>0</v>
      </c>
      <c r="P2057" s="4">
        <v>0</v>
      </c>
      <c r="Q2057" s="4">
        <v>0</v>
      </c>
      <c r="S2057" s="8">
        <f t="shared" si="96"/>
        <v>0</v>
      </c>
      <c r="T2057" s="8">
        <f t="shared" si="97"/>
        <v>0</v>
      </c>
      <c r="U2057" s="9" t="e">
        <f t="shared" si="98"/>
        <v>#DIV/0!</v>
      </c>
    </row>
    <row r="2058" spans="1:21" outlineLevel="2">
      <c r="A2058" t="s">
        <v>563</v>
      </c>
      <c r="B2058" t="s">
        <v>564</v>
      </c>
      <c r="C2058" t="s">
        <v>154</v>
      </c>
      <c r="D2058" t="s">
        <v>155</v>
      </c>
      <c r="E2058" s="4">
        <v>2.8421709430404007E-14</v>
      </c>
      <c r="F2058" s="4">
        <v>-7.1054273576010019E-15</v>
      </c>
      <c r="G2058" s="4">
        <v>0</v>
      </c>
      <c r="H2058" s="4">
        <v>0</v>
      </c>
      <c r="I2058" s="4">
        <v>0</v>
      </c>
      <c r="J2058" s="4">
        <v>0</v>
      </c>
      <c r="K2058" s="4">
        <v>0</v>
      </c>
      <c r="L2058" s="4">
        <v>0</v>
      </c>
      <c r="M2058" s="4">
        <v>0</v>
      </c>
      <c r="N2058" s="4">
        <v>0</v>
      </c>
      <c r="O2058" s="4">
        <v>0</v>
      </c>
      <c r="P2058" s="4">
        <v>0</v>
      </c>
      <c r="Q2058" s="4">
        <v>0</v>
      </c>
      <c r="S2058" s="8">
        <f t="shared" si="96"/>
        <v>0</v>
      </c>
      <c r="T2058" s="8">
        <f t="shared" si="97"/>
        <v>0</v>
      </c>
      <c r="U2058" s="9" t="e">
        <f t="shared" si="98"/>
        <v>#DIV/0!</v>
      </c>
    </row>
    <row r="2059" spans="1:21" outlineLevel="2">
      <c r="A2059" t="s">
        <v>563</v>
      </c>
      <c r="B2059" t="s">
        <v>564</v>
      </c>
      <c r="C2059" t="s">
        <v>164</v>
      </c>
      <c r="D2059" t="s">
        <v>165</v>
      </c>
      <c r="E2059" s="4">
        <v>0</v>
      </c>
      <c r="F2059" s="4">
        <v>0</v>
      </c>
      <c r="G2059" s="4">
        <v>0</v>
      </c>
      <c r="H2059" s="4">
        <v>0</v>
      </c>
      <c r="I2059" s="4">
        <v>0</v>
      </c>
      <c r="J2059" s="4">
        <v>0</v>
      </c>
      <c r="K2059" s="4">
        <v>0</v>
      </c>
      <c r="L2059" s="4">
        <v>0</v>
      </c>
      <c r="M2059" s="4">
        <v>0</v>
      </c>
      <c r="N2059" s="4">
        <v>0</v>
      </c>
      <c r="O2059" s="4">
        <v>0</v>
      </c>
      <c r="P2059" s="4">
        <v>0</v>
      </c>
      <c r="Q2059" s="4">
        <v>0</v>
      </c>
      <c r="S2059" s="8">
        <f t="shared" si="96"/>
        <v>0</v>
      </c>
      <c r="T2059" s="8">
        <f t="shared" si="97"/>
        <v>0</v>
      </c>
      <c r="U2059" s="9" t="e">
        <f t="shared" si="98"/>
        <v>#DIV/0!</v>
      </c>
    </row>
    <row r="2060" spans="1:21" outlineLevel="2">
      <c r="A2060" t="s">
        <v>563</v>
      </c>
      <c r="B2060" t="s">
        <v>564</v>
      </c>
      <c r="C2060" t="s">
        <v>170</v>
      </c>
      <c r="D2060" t="s">
        <v>171</v>
      </c>
      <c r="E2060" s="4">
        <v>0</v>
      </c>
      <c r="F2060" s="4">
        <v>0</v>
      </c>
      <c r="G2060" s="4">
        <v>0</v>
      </c>
      <c r="H2060" s="4">
        <v>0</v>
      </c>
      <c r="I2060" s="4">
        <v>0</v>
      </c>
      <c r="J2060" s="4">
        <v>0</v>
      </c>
      <c r="K2060" s="4">
        <v>0</v>
      </c>
      <c r="L2060" s="4">
        <v>0</v>
      </c>
      <c r="M2060" s="4">
        <v>0</v>
      </c>
      <c r="N2060" s="4">
        <v>0</v>
      </c>
      <c r="O2060" s="4">
        <v>0</v>
      </c>
      <c r="P2060" s="4">
        <v>0</v>
      </c>
      <c r="Q2060" s="4">
        <v>0</v>
      </c>
      <c r="S2060" s="8">
        <f t="shared" si="96"/>
        <v>0</v>
      </c>
      <c r="T2060" s="8">
        <f t="shared" si="97"/>
        <v>0</v>
      </c>
      <c r="U2060" s="9" t="e">
        <f t="shared" si="98"/>
        <v>#DIV/0!</v>
      </c>
    </row>
    <row r="2061" spans="1:21" outlineLevel="1">
      <c r="A2061" s="1" t="s">
        <v>839</v>
      </c>
      <c r="E2061" s="4">
        <f>SUBTOTAL(9,E2051:E2060)</f>
        <v>2.8421709430404007E-14</v>
      </c>
      <c r="F2061" s="4">
        <f>SUBTOTAL(9,F2051:F2060)</f>
        <v>2.0605739337042905E-13</v>
      </c>
      <c r="G2061" s="4">
        <f>SUBTOTAL(9,G2051:G2060)</f>
        <v>2.2737367544323206E-13</v>
      </c>
      <c r="H2061" s="4">
        <f>SUBTOTAL(9,H2051:H2060)</f>
        <v>-2.8421709430404007E-13</v>
      </c>
      <c r="I2061" s="4">
        <f>SUBTOTAL(9,I2051:I2060)</f>
        <v>1.2505552149377763E-12</v>
      </c>
      <c r="J2061" s="4">
        <f>SUBTOTAL(9,J2051:J2060)</f>
        <v>7.3896444519050419E-13</v>
      </c>
      <c r="K2061" s="4">
        <f>SUBTOTAL(9,K2051:K2060)</f>
        <v>1.1368683772161603E-13</v>
      </c>
      <c r="L2061" s="4">
        <f>SUBTOTAL(9,L2051:L2060)</f>
        <v>1.3642420526593924E-12</v>
      </c>
      <c r="M2061" s="4">
        <f>SUBTOTAL(9,M2051:M2060)</f>
        <v>0</v>
      </c>
      <c r="N2061" s="4">
        <f>SUBTOTAL(9,N2051:N2060)</f>
        <v>0</v>
      </c>
      <c r="O2061" s="4">
        <f>SUBTOTAL(9,O2051:O2060)</f>
        <v>0</v>
      </c>
      <c r="P2061" s="4">
        <f>SUBTOTAL(9,P2051:P2060)</f>
        <v>0</v>
      </c>
      <c r="Q2061" s="4">
        <f>SUBTOTAL(9,Q2051:Q2060)</f>
        <v>0</v>
      </c>
      <c r="R2061" s="4">
        <f>SUBTOTAL(9,R2051:R2060)</f>
        <v>0</v>
      </c>
      <c r="S2061" s="8">
        <f t="shared" si="96"/>
        <v>2.2737367544323206E-13</v>
      </c>
      <c r="T2061" s="8">
        <f t="shared" si="97"/>
        <v>-2.2737367544323206E-13</v>
      </c>
      <c r="U2061" s="9">
        <f t="shared" si="98"/>
        <v>-1</v>
      </c>
    </row>
    <row r="2062" spans="1:21" outlineLevel="2">
      <c r="A2062" t="s">
        <v>565</v>
      </c>
      <c r="B2062" t="s">
        <v>566</v>
      </c>
      <c r="C2062" t="s">
        <v>136</v>
      </c>
      <c r="D2062" t="s">
        <v>137</v>
      </c>
      <c r="E2062" s="4">
        <v>0</v>
      </c>
      <c r="F2062" s="4">
        <v>4.5474735088646412E-13</v>
      </c>
      <c r="G2062" s="4">
        <v>-9.0949470177292824E-13</v>
      </c>
      <c r="H2062" s="4">
        <v>0</v>
      </c>
      <c r="I2062" s="4">
        <v>-9.0949470177292824E-13</v>
      </c>
      <c r="J2062" s="4">
        <v>-9.0949470177292824E-13</v>
      </c>
      <c r="K2062" s="4">
        <v>-3.637978807091713E-12</v>
      </c>
      <c r="L2062" s="4">
        <v>-1.8189894035458565E-12</v>
      </c>
      <c r="M2062" s="4">
        <v>0</v>
      </c>
      <c r="N2062" s="4">
        <v>0</v>
      </c>
      <c r="O2062" s="4">
        <v>0</v>
      </c>
      <c r="P2062" s="4">
        <v>0</v>
      </c>
      <c r="Q2062" s="4">
        <v>0</v>
      </c>
      <c r="S2062" s="8">
        <f t="shared" si="96"/>
        <v>-3.0316490059097606E-13</v>
      </c>
      <c r="T2062" s="8">
        <f t="shared" si="97"/>
        <v>3.0316490059097606E-13</v>
      </c>
      <c r="U2062" s="9">
        <f t="shared" si="98"/>
        <v>-1</v>
      </c>
    </row>
    <row r="2063" spans="1:21" outlineLevel="2">
      <c r="A2063" t="s">
        <v>565</v>
      </c>
      <c r="B2063" t="s">
        <v>566</v>
      </c>
      <c r="C2063" t="s">
        <v>144</v>
      </c>
      <c r="D2063" t="s">
        <v>145</v>
      </c>
      <c r="E2063" s="4">
        <v>-1.1368683772161603E-13</v>
      </c>
      <c r="F2063" s="4">
        <v>0</v>
      </c>
      <c r="G2063" s="4">
        <v>0</v>
      </c>
      <c r="H2063" s="4">
        <v>0</v>
      </c>
      <c r="I2063" s="4">
        <v>0</v>
      </c>
      <c r="J2063" s="4">
        <v>0</v>
      </c>
      <c r="K2063" s="4">
        <v>0</v>
      </c>
      <c r="L2063" s="4">
        <v>0</v>
      </c>
      <c r="M2063" s="4">
        <v>0</v>
      </c>
      <c r="N2063" s="4">
        <v>0</v>
      </c>
      <c r="O2063" s="4">
        <v>0</v>
      </c>
      <c r="P2063" s="4">
        <v>0</v>
      </c>
      <c r="Q2063" s="4">
        <v>0</v>
      </c>
      <c r="S2063" s="8">
        <f t="shared" si="96"/>
        <v>0</v>
      </c>
      <c r="T2063" s="8">
        <f t="shared" si="97"/>
        <v>0</v>
      </c>
      <c r="U2063" s="9" t="e">
        <f t="shared" si="98"/>
        <v>#DIV/0!</v>
      </c>
    </row>
    <row r="2064" spans="1:21" outlineLevel="2">
      <c r="A2064" t="s">
        <v>565</v>
      </c>
      <c r="B2064" t="s">
        <v>566</v>
      </c>
      <c r="C2064" t="s">
        <v>146</v>
      </c>
      <c r="D2064" t="s">
        <v>147</v>
      </c>
      <c r="E2064" s="4">
        <v>-1.1368683772161603E-13</v>
      </c>
      <c r="F2064" s="4">
        <v>-1.4210854715202004E-14</v>
      </c>
      <c r="G2064" s="4">
        <v>-5.6843418860808015E-14</v>
      </c>
      <c r="H2064" s="4">
        <v>0</v>
      </c>
      <c r="I2064" s="4">
        <v>0</v>
      </c>
      <c r="J2064" s="4">
        <v>-5.6843418860808015E-14</v>
      </c>
      <c r="K2064" s="4">
        <v>1.7053025658242404E-13</v>
      </c>
      <c r="L2064" s="4">
        <v>1.1368683772161603E-13</v>
      </c>
      <c r="M2064" s="4">
        <v>0</v>
      </c>
      <c r="N2064" s="4">
        <v>0</v>
      </c>
      <c r="O2064" s="4">
        <v>0</v>
      </c>
      <c r="P2064" s="4">
        <v>0</v>
      </c>
      <c r="Q2064" s="4">
        <v>0</v>
      </c>
      <c r="S2064" s="8">
        <f t="shared" si="96"/>
        <v>1.8947806286936004E-14</v>
      </c>
      <c r="T2064" s="8">
        <f t="shared" si="97"/>
        <v>-1.8947806286936004E-14</v>
      </c>
      <c r="U2064" s="9">
        <f t="shared" si="98"/>
        <v>-1</v>
      </c>
    </row>
    <row r="2065" spans="1:22" outlineLevel="2">
      <c r="A2065" t="s">
        <v>565</v>
      </c>
      <c r="B2065" t="s">
        <v>566</v>
      </c>
      <c r="C2065" t="s">
        <v>150</v>
      </c>
      <c r="D2065" t="s">
        <v>151</v>
      </c>
      <c r="E2065" s="4">
        <v>0</v>
      </c>
      <c r="F2065" s="4">
        <v>0</v>
      </c>
      <c r="G2065" s="4">
        <v>0</v>
      </c>
      <c r="H2065" s="4">
        <v>0</v>
      </c>
      <c r="I2065" s="4">
        <v>0</v>
      </c>
      <c r="J2065" s="4">
        <v>0</v>
      </c>
      <c r="K2065" s="4">
        <v>0</v>
      </c>
      <c r="L2065" s="4">
        <v>0</v>
      </c>
      <c r="M2065" s="4">
        <v>0</v>
      </c>
      <c r="N2065" s="4">
        <v>0</v>
      </c>
      <c r="O2065" s="4">
        <v>0</v>
      </c>
      <c r="P2065" s="4">
        <v>0</v>
      </c>
      <c r="Q2065" s="4">
        <v>0</v>
      </c>
      <c r="S2065" s="8">
        <f t="shared" si="96"/>
        <v>0</v>
      </c>
      <c r="T2065" s="8">
        <f t="shared" si="97"/>
        <v>0</v>
      </c>
      <c r="U2065" s="9" t="e">
        <f t="shared" si="98"/>
        <v>#DIV/0!</v>
      </c>
    </row>
    <row r="2066" spans="1:22" outlineLevel="2">
      <c r="A2066" t="s">
        <v>565</v>
      </c>
      <c r="B2066" t="s">
        <v>566</v>
      </c>
      <c r="C2066" t="s">
        <v>152</v>
      </c>
      <c r="D2066" t="s">
        <v>153</v>
      </c>
      <c r="E2066" s="4">
        <v>1.1368683772161603E-13</v>
      </c>
      <c r="F2066" s="4">
        <v>-2.8421709430404007E-14</v>
      </c>
      <c r="G2066" s="4">
        <v>0</v>
      </c>
      <c r="H2066" s="4">
        <v>1.1368683772161603E-13</v>
      </c>
      <c r="I2066" s="4">
        <v>-5.6843418860808015E-14</v>
      </c>
      <c r="J2066" s="4">
        <v>0</v>
      </c>
      <c r="K2066" s="4">
        <v>0</v>
      </c>
      <c r="L2066" s="4">
        <v>0</v>
      </c>
      <c r="M2066" s="4">
        <v>0</v>
      </c>
      <c r="N2066" s="4">
        <v>0</v>
      </c>
      <c r="O2066" s="4">
        <v>0</v>
      </c>
      <c r="P2066" s="4">
        <v>0</v>
      </c>
      <c r="Q2066" s="4">
        <v>0</v>
      </c>
      <c r="S2066" s="8">
        <f t="shared" si="96"/>
        <v>0</v>
      </c>
      <c r="T2066" s="8">
        <f t="shared" si="97"/>
        <v>0</v>
      </c>
      <c r="U2066" s="9" t="e">
        <f t="shared" si="98"/>
        <v>#DIV/0!</v>
      </c>
    </row>
    <row r="2067" spans="1:22" outlineLevel="2">
      <c r="A2067" t="s">
        <v>565</v>
      </c>
      <c r="B2067" t="s">
        <v>566</v>
      </c>
      <c r="C2067" t="s">
        <v>154</v>
      </c>
      <c r="D2067" t="s">
        <v>155</v>
      </c>
      <c r="E2067" s="4">
        <v>2.8421709430404007E-14</v>
      </c>
      <c r="F2067" s="4">
        <v>0</v>
      </c>
      <c r="G2067" s="4">
        <v>0</v>
      </c>
      <c r="H2067" s="4">
        <v>0</v>
      </c>
      <c r="I2067" s="4">
        <v>0</v>
      </c>
      <c r="J2067" s="4">
        <v>0</v>
      </c>
      <c r="K2067" s="4">
        <v>0</v>
      </c>
      <c r="L2067" s="4">
        <v>0</v>
      </c>
      <c r="M2067" s="4">
        <v>0</v>
      </c>
      <c r="N2067" s="4">
        <v>0</v>
      </c>
      <c r="O2067" s="4">
        <v>0</v>
      </c>
      <c r="P2067" s="4">
        <v>0</v>
      </c>
      <c r="Q2067" s="4">
        <v>0</v>
      </c>
      <c r="S2067" s="8">
        <f t="shared" si="96"/>
        <v>0</v>
      </c>
      <c r="T2067" s="8">
        <f t="shared" si="97"/>
        <v>0</v>
      </c>
      <c r="U2067" s="9" t="e">
        <f t="shared" si="98"/>
        <v>#DIV/0!</v>
      </c>
    </row>
    <row r="2068" spans="1:22" outlineLevel="2">
      <c r="A2068" t="s">
        <v>565</v>
      </c>
      <c r="B2068" t="s">
        <v>566</v>
      </c>
      <c r="C2068" t="s">
        <v>170</v>
      </c>
      <c r="D2068" t="s">
        <v>171</v>
      </c>
      <c r="E2068" s="4">
        <v>0</v>
      </c>
      <c r="F2068" s="4">
        <v>0</v>
      </c>
      <c r="G2068" s="4">
        <v>0</v>
      </c>
      <c r="H2068" s="4">
        <v>0</v>
      </c>
      <c r="I2068" s="4">
        <v>0</v>
      </c>
      <c r="J2068" s="4">
        <v>0</v>
      </c>
      <c r="K2068" s="4">
        <v>0</v>
      </c>
      <c r="L2068" s="4">
        <v>0</v>
      </c>
      <c r="M2068" s="4">
        <v>0</v>
      </c>
      <c r="N2068" s="4">
        <v>0</v>
      </c>
      <c r="O2068" s="4">
        <v>0</v>
      </c>
      <c r="P2068" s="4">
        <v>0</v>
      </c>
      <c r="Q2068" s="4">
        <v>0</v>
      </c>
      <c r="S2068" s="8">
        <f t="shared" si="96"/>
        <v>0</v>
      </c>
      <c r="T2068" s="8">
        <f t="shared" si="97"/>
        <v>0</v>
      </c>
      <c r="U2068" s="9" t="e">
        <f t="shared" si="98"/>
        <v>#DIV/0!</v>
      </c>
    </row>
    <row r="2069" spans="1:22" outlineLevel="1">
      <c r="A2069" s="1" t="s">
        <v>840</v>
      </c>
      <c r="E2069" s="4">
        <f>SUBTOTAL(9,E2062:E2068)</f>
        <v>-8.5265128291212022E-14</v>
      </c>
      <c r="F2069" s="4">
        <f>SUBTOTAL(9,F2062:F2068)</f>
        <v>4.1211478674085811E-13</v>
      </c>
      <c r="G2069" s="4">
        <f>SUBTOTAL(9,G2062:G2068)</f>
        <v>-9.6633812063373625E-13</v>
      </c>
      <c r="H2069" s="4">
        <f>SUBTOTAL(9,H2062:H2068)</f>
        <v>1.1368683772161603E-13</v>
      </c>
      <c r="I2069" s="4">
        <f>SUBTOTAL(9,I2062:I2068)</f>
        <v>-9.6633812063373625E-13</v>
      </c>
      <c r="J2069" s="4">
        <f>SUBTOTAL(9,J2062:J2068)</f>
        <v>-9.6633812063373625E-13</v>
      </c>
      <c r="K2069" s="4">
        <f>SUBTOTAL(9,K2062:K2068)</f>
        <v>-3.4674485505092889E-12</v>
      </c>
      <c r="L2069" s="4">
        <f>SUBTOTAL(9,L2062:L2068)</f>
        <v>-1.7053025658242404E-12</v>
      </c>
      <c r="M2069" s="4">
        <f>SUBTOTAL(9,M2062:M2068)</f>
        <v>0</v>
      </c>
      <c r="N2069" s="4">
        <f>SUBTOTAL(9,N2062:N2068)</f>
        <v>0</v>
      </c>
      <c r="O2069" s="4">
        <f>SUBTOTAL(9,O2062:O2068)</f>
        <v>0</v>
      </c>
      <c r="P2069" s="4">
        <f>SUBTOTAL(9,P2062:P2068)</f>
        <v>0</v>
      </c>
      <c r="Q2069" s="4">
        <f>SUBTOTAL(9,Q2062:Q2068)</f>
        <v>0</v>
      </c>
      <c r="R2069" s="4">
        <f>SUBTOTAL(9,R2062:R2068)</f>
        <v>0</v>
      </c>
      <c r="S2069" s="8">
        <f t="shared" si="96"/>
        <v>-2.8421709430404007E-13</v>
      </c>
      <c r="T2069" s="8">
        <f t="shared" si="97"/>
        <v>2.8421709430404007E-13</v>
      </c>
      <c r="U2069" s="9">
        <f t="shared" si="98"/>
        <v>-1</v>
      </c>
    </row>
    <row r="2070" spans="1:22" outlineLevel="2">
      <c r="A2070" t="s">
        <v>567</v>
      </c>
      <c r="B2070" t="s">
        <v>568</v>
      </c>
      <c r="C2070" t="s">
        <v>53</v>
      </c>
      <c r="D2070" t="s">
        <v>54</v>
      </c>
      <c r="E2070" s="4">
        <v>0</v>
      </c>
      <c r="F2070" s="4">
        <v>0</v>
      </c>
      <c r="G2070" s="4">
        <v>0</v>
      </c>
      <c r="H2070" s="4">
        <v>0</v>
      </c>
      <c r="I2070" s="4">
        <v>0</v>
      </c>
      <c r="J2070" s="4">
        <v>0</v>
      </c>
      <c r="K2070" s="4">
        <v>0</v>
      </c>
      <c r="L2070" s="4">
        <v>0</v>
      </c>
      <c r="M2070" s="4">
        <v>0</v>
      </c>
      <c r="N2070" s="4">
        <v>0</v>
      </c>
      <c r="O2070" s="4">
        <v>0</v>
      </c>
      <c r="P2070" s="4">
        <v>0</v>
      </c>
      <c r="Q2070" s="4">
        <v>0</v>
      </c>
      <c r="S2070" s="8">
        <f t="shared" si="96"/>
        <v>0</v>
      </c>
      <c r="T2070" s="8">
        <f t="shared" si="97"/>
        <v>0</v>
      </c>
      <c r="U2070" s="9" t="e">
        <f t="shared" si="98"/>
        <v>#DIV/0!</v>
      </c>
    </row>
    <row r="2071" spans="1:22" outlineLevel="2">
      <c r="A2071" t="s">
        <v>567</v>
      </c>
      <c r="B2071" t="s">
        <v>568</v>
      </c>
      <c r="C2071" t="s">
        <v>274</v>
      </c>
      <c r="D2071" t="s">
        <v>275</v>
      </c>
      <c r="E2071" s="4">
        <v>0</v>
      </c>
      <c r="F2071" s="4">
        <v>0</v>
      </c>
      <c r="G2071" s="4">
        <v>0</v>
      </c>
      <c r="H2071" s="4">
        <v>0</v>
      </c>
      <c r="I2071" s="4">
        <v>0</v>
      </c>
      <c r="J2071" s="4">
        <v>0</v>
      </c>
      <c r="K2071" s="4">
        <v>0</v>
      </c>
      <c r="L2071" s="4">
        <v>0</v>
      </c>
      <c r="M2071" s="4">
        <v>0</v>
      </c>
      <c r="N2071" s="4">
        <v>0</v>
      </c>
      <c r="O2071" s="4">
        <v>0</v>
      </c>
      <c r="P2071" s="4">
        <v>0</v>
      </c>
      <c r="Q2071" s="4">
        <v>0</v>
      </c>
      <c r="R2071" s="4">
        <v>-70000</v>
      </c>
      <c r="S2071" s="8">
        <f t="shared" si="96"/>
        <v>0</v>
      </c>
      <c r="T2071" s="8">
        <f t="shared" si="97"/>
        <v>-70000</v>
      </c>
      <c r="U2071" s="9" t="e">
        <f t="shared" si="98"/>
        <v>#DIV/0!</v>
      </c>
      <c r="V2071" t="s">
        <v>897</v>
      </c>
    </row>
    <row r="2072" spans="1:22" outlineLevel="1">
      <c r="A2072" s="1" t="s">
        <v>841</v>
      </c>
      <c r="E2072" s="4">
        <f>SUBTOTAL(9,E2070:E2071)</f>
        <v>0</v>
      </c>
      <c r="F2072" s="4">
        <f>SUBTOTAL(9,F2070:F2071)</f>
        <v>0</v>
      </c>
      <c r="G2072" s="4">
        <f>SUBTOTAL(9,G2070:G2071)</f>
        <v>0</v>
      </c>
      <c r="H2072" s="4">
        <f>SUBTOTAL(9,H2070:H2071)</f>
        <v>0</v>
      </c>
      <c r="I2072" s="4">
        <f>SUBTOTAL(9,I2070:I2071)</f>
        <v>0</v>
      </c>
      <c r="J2072" s="4">
        <f>SUBTOTAL(9,J2070:J2071)</f>
        <v>0</v>
      </c>
      <c r="K2072" s="4">
        <f>SUBTOTAL(9,K2070:K2071)</f>
        <v>0</v>
      </c>
      <c r="L2072" s="4">
        <f>SUBTOTAL(9,L2070:L2071)</f>
        <v>0</v>
      </c>
      <c r="M2072" s="4">
        <f>SUBTOTAL(9,M2070:M2071)</f>
        <v>0</v>
      </c>
      <c r="N2072" s="4">
        <f>SUBTOTAL(9,N2070:N2071)</f>
        <v>0</v>
      </c>
      <c r="O2072" s="4">
        <f>SUBTOTAL(9,O2070:O2071)</f>
        <v>0</v>
      </c>
      <c r="P2072" s="4">
        <f>SUBTOTAL(9,P2070:P2071)</f>
        <v>0</v>
      </c>
      <c r="Q2072" s="4">
        <f>SUBTOTAL(9,Q2070:Q2071)</f>
        <v>0</v>
      </c>
      <c r="R2072" s="4">
        <f>SUBTOTAL(9,R2070:R2071)</f>
        <v>-70000</v>
      </c>
      <c r="S2072" s="8">
        <f t="shared" si="96"/>
        <v>0</v>
      </c>
      <c r="T2072" s="8">
        <f t="shared" si="97"/>
        <v>-70000</v>
      </c>
      <c r="U2072" s="9" t="e">
        <f t="shared" si="98"/>
        <v>#DIV/0!</v>
      </c>
      <c r="V2072" t="s">
        <v>897</v>
      </c>
    </row>
    <row r="2073" spans="1:22" outlineLevel="2">
      <c r="A2073" t="s">
        <v>569</v>
      </c>
      <c r="B2073" t="s">
        <v>570</v>
      </c>
      <c r="C2073" t="s">
        <v>136</v>
      </c>
      <c r="D2073" t="s">
        <v>137</v>
      </c>
      <c r="E2073" s="4">
        <v>0</v>
      </c>
      <c r="F2073" s="4">
        <v>0</v>
      </c>
      <c r="G2073" s="4">
        <v>-9.0949470177292824E-13</v>
      </c>
      <c r="H2073" s="4">
        <v>-9.0949470177292824E-13</v>
      </c>
      <c r="I2073" s="4">
        <v>9.0949470177292824E-13</v>
      </c>
      <c r="J2073" s="4">
        <v>0</v>
      </c>
      <c r="K2073" s="4">
        <v>-1.8189894035458565E-12</v>
      </c>
      <c r="L2073" s="4">
        <v>-1.8189894035458565E-12</v>
      </c>
      <c r="M2073" s="4">
        <v>0</v>
      </c>
      <c r="N2073" s="4">
        <v>0</v>
      </c>
      <c r="O2073" s="4">
        <v>0</v>
      </c>
      <c r="P2073" s="4">
        <v>0</v>
      </c>
      <c r="Q2073" s="4">
        <v>0</v>
      </c>
      <c r="S2073" s="8">
        <f t="shared" si="96"/>
        <v>-3.0316490059097606E-13</v>
      </c>
      <c r="T2073" s="8">
        <f t="shared" si="97"/>
        <v>3.0316490059097606E-13</v>
      </c>
      <c r="U2073" s="9">
        <f t="shared" si="98"/>
        <v>-1</v>
      </c>
    </row>
    <row r="2074" spans="1:22" outlineLevel="2">
      <c r="A2074" t="s">
        <v>569</v>
      </c>
      <c r="B2074" t="s">
        <v>570</v>
      </c>
      <c r="C2074" t="s">
        <v>144</v>
      </c>
      <c r="D2074" t="s">
        <v>145</v>
      </c>
      <c r="E2074" s="4">
        <v>0</v>
      </c>
      <c r="F2074" s="4">
        <v>0</v>
      </c>
      <c r="G2074" s="4">
        <v>0</v>
      </c>
      <c r="H2074" s="4">
        <v>0</v>
      </c>
      <c r="I2074" s="4">
        <v>0</v>
      </c>
      <c r="J2074" s="4">
        <v>0</v>
      </c>
      <c r="K2074" s="4">
        <v>0</v>
      </c>
      <c r="L2074" s="4">
        <v>0</v>
      </c>
      <c r="M2074" s="4">
        <v>0</v>
      </c>
      <c r="N2074" s="4">
        <v>0</v>
      </c>
      <c r="O2074" s="4">
        <v>0</v>
      </c>
      <c r="P2074" s="4">
        <v>0</v>
      </c>
      <c r="Q2074" s="4">
        <v>0</v>
      </c>
      <c r="S2074" s="8">
        <f t="shared" si="96"/>
        <v>0</v>
      </c>
      <c r="T2074" s="8">
        <f t="shared" si="97"/>
        <v>0</v>
      </c>
      <c r="U2074" s="9" t="e">
        <f t="shared" si="98"/>
        <v>#DIV/0!</v>
      </c>
    </row>
    <row r="2075" spans="1:22" outlineLevel="2">
      <c r="A2075" t="s">
        <v>569</v>
      </c>
      <c r="B2075" t="s">
        <v>570</v>
      </c>
      <c r="C2075" t="s">
        <v>146</v>
      </c>
      <c r="D2075" t="s">
        <v>147</v>
      </c>
      <c r="E2075" s="4">
        <v>-5.6843418860808015E-14</v>
      </c>
      <c r="F2075" s="4">
        <v>0</v>
      </c>
      <c r="G2075" s="4">
        <v>0</v>
      </c>
      <c r="H2075" s="4">
        <v>1.1368683772161603E-13</v>
      </c>
      <c r="I2075" s="4">
        <v>0</v>
      </c>
      <c r="J2075" s="4">
        <v>2.2737367544323206E-13</v>
      </c>
      <c r="K2075" s="4">
        <v>1.1368683772161603E-13</v>
      </c>
      <c r="L2075" s="4">
        <v>-2.2737367544323206E-13</v>
      </c>
      <c r="M2075" s="4">
        <v>0</v>
      </c>
      <c r="N2075" s="4">
        <v>0</v>
      </c>
      <c r="O2075" s="4">
        <v>0</v>
      </c>
      <c r="P2075" s="4">
        <v>0</v>
      </c>
      <c r="Q2075" s="4">
        <v>0</v>
      </c>
      <c r="S2075" s="8">
        <f t="shared" si="96"/>
        <v>-3.7895612573872008E-14</v>
      </c>
      <c r="T2075" s="8">
        <f t="shared" si="97"/>
        <v>3.7895612573872008E-14</v>
      </c>
      <c r="U2075" s="9">
        <f t="shared" si="98"/>
        <v>-1</v>
      </c>
    </row>
    <row r="2076" spans="1:22" outlineLevel="2">
      <c r="A2076" t="s">
        <v>569</v>
      </c>
      <c r="B2076" t="s">
        <v>570</v>
      </c>
      <c r="C2076" t="s">
        <v>152</v>
      </c>
      <c r="D2076" t="s">
        <v>153</v>
      </c>
      <c r="E2076" s="4">
        <v>-1.1368683772161603E-13</v>
      </c>
      <c r="F2076" s="4">
        <v>0</v>
      </c>
      <c r="G2076" s="4">
        <v>0</v>
      </c>
      <c r="H2076" s="4">
        <v>0</v>
      </c>
      <c r="I2076" s="4">
        <v>-1.1368683772161603E-13</v>
      </c>
      <c r="J2076" s="4">
        <v>0</v>
      </c>
      <c r="K2076" s="4">
        <v>-1.1368683772161603E-13</v>
      </c>
      <c r="L2076" s="4">
        <v>-2.2737367544323206E-13</v>
      </c>
      <c r="M2076" s="4">
        <v>0</v>
      </c>
      <c r="N2076" s="4">
        <v>0</v>
      </c>
      <c r="O2076" s="4">
        <v>0</v>
      </c>
      <c r="P2076" s="4">
        <v>0</v>
      </c>
      <c r="Q2076" s="4">
        <v>0</v>
      </c>
      <c r="S2076" s="8">
        <f t="shared" si="96"/>
        <v>-3.7895612573872008E-14</v>
      </c>
      <c r="T2076" s="8">
        <f t="shared" si="97"/>
        <v>3.7895612573872008E-14</v>
      </c>
      <c r="U2076" s="9">
        <f t="shared" si="98"/>
        <v>-1</v>
      </c>
    </row>
    <row r="2077" spans="1:22" outlineLevel="2">
      <c r="A2077" t="s">
        <v>569</v>
      </c>
      <c r="B2077" t="s">
        <v>570</v>
      </c>
      <c r="C2077" t="s">
        <v>154</v>
      </c>
      <c r="D2077" t="s">
        <v>155</v>
      </c>
      <c r="E2077" s="4">
        <v>-7.1054273576010019E-15</v>
      </c>
      <c r="F2077" s="4">
        <v>0</v>
      </c>
      <c r="G2077" s="4">
        <v>0</v>
      </c>
      <c r="H2077" s="4">
        <v>0</v>
      </c>
      <c r="I2077" s="4">
        <v>0</v>
      </c>
      <c r="J2077" s="4">
        <v>0</v>
      </c>
      <c r="K2077" s="4">
        <v>0</v>
      </c>
      <c r="L2077" s="4">
        <v>0</v>
      </c>
      <c r="M2077" s="4">
        <v>0</v>
      </c>
      <c r="N2077" s="4">
        <v>0</v>
      </c>
      <c r="O2077" s="4">
        <v>0</v>
      </c>
      <c r="P2077" s="4">
        <v>0</v>
      </c>
      <c r="Q2077" s="4">
        <v>0</v>
      </c>
      <c r="S2077" s="8">
        <f t="shared" si="96"/>
        <v>0</v>
      </c>
      <c r="T2077" s="8">
        <f t="shared" si="97"/>
        <v>0</v>
      </c>
      <c r="U2077" s="9" t="e">
        <f t="shared" si="98"/>
        <v>#DIV/0!</v>
      </c>
    </row>
    <row r="2078" spans="1:22" outlineLevel="2">
      <c r="A2078" t="s">
        <v>569</v>
      </c>
      <c r="B2078" t="s">
        <v>570</v>
      </c>
      <c r="C2078" t="s">
        <v>170</v>
      </c>
      <c r="D2078" t="s">
        <v>171</v>
      </c>
      <c r="E2078" s="4">
        <v>0</v>
      </c>
      <c r="F2078" s="4">
        <v>0</v>
      </c>
      <c r="G2078" s="4">
        <v>0</v>
      </c>
      <c r="H2078" s="4">
        <v>0</v>
      </c>
      <c r="I2078" s="4">
        <v>0</v>
      </c>
      <c r="J2078" s="4">
        <v>0</v>
      </c>
      <c r="K2078" s="4">
        <v>0</v>
      </c>
      <c r="L2078" s="4">
        <v>0</v>
      </c>
      <c r="M2078" s="4">
        <v>0</v>
      </c>
      <c r="N2078" s="4">
        <v>0</v>
      </c>
      <c r="O2078" s="4">
        <v>0</v>
      </c>
      <c r="P2078" s="4">
        <v>0</v>
      </c>
      <c r="Q2078" s="4">
        <v>0</v>
      </c>
      <c r="S2078" s="8">
        <f t="shared" si="96"/>
        <v>0</v>
      </c>
      <c r="T2078" s="8">
        <f t="shared" si="97"/>
        <v>0</v>
      </c>
      <c r="U2078" s="9" t="e">
        <f t="shared" si="98"/>
        <v>#DIV/0!</v>
      </c>
    </row>
    <row r="2079" spans="1:22" outlineLevel="1">
      <c r="A2079" s="1" t="s">
        <v>842</v>
      </c>
      <c r="E2079" s="4">
        <f>SUBTOTAL(9,E2073:E2078)</f>
        <v>-1.7763568394002505E-13</v>
      </c>
      <c r="F2079" s="4">
        <f>SUBTOTAL(9,F2073:F2078)</f>
        <v>0</v>
      </c>
      <c r="G2079" s="4">
        <f>SUBTOTAL(9,G2073:G2078)</f>
        <v>-9.0949470177292824E-13</v>
      </c>
      <c r="H2079" s="4">
        <f>SUBTOTAL(9,H2073:H2078)</f>
        <v>-7.9580786405131221E-13</v>
      </c>
      <c r="I2079" s="4">
        <f>SUBTOTAL(9,I2073:I2078)</f>
        <v>7.9580786405131221E-13</v>
      </c>
      <c r="J2079" s="4">
        <f>SUBTOTAL(9,J2073:J2078)</f>
        <v>2.2737367544323206E-13</v>
      </c>
      <c r="K2079" s="4">
        <f>SUBTOTAL(9,K2073:K2078)</f>
        <v>-1.8189894035458565E-12</v>
      </c>
      <c r="L2079" s="4">
        <f>SUBTOTAL(9,L2073:L2078)</f>
        <v>-2.2737367544323206E-12</v>
      </c>
      <c r="M2079" s="4">
        <f>SUBTOTAL(9,M2073:M2078)</f>
        <v>0</v>
      </c>
      <c r="N2079" s="4">
        <f>SUBTOTAL(9,N2073:N2078)</f>
        <v>0</v>
      </c>
      <c r="O2079" s="4">
        <f>SUBTOTAL(9,O2073:O2078)</f>
        <v>0</v>
      </c>
      <c r="P2079" s="4">
        <f>SUBTOTAL(9,P2073:P2078)</f>
        <v>0</v>
      </c>
      <c r="Q2079" s="4">
        <f>SUBTOTAL(9,Q2073:Q2078)</f>
        <v>0</v>
      </c>
      <c r="R2079" s="4">
        <f>SUBTOTAL(9,R2073:R2078)</f>
        <v>0</v>
      </c>
      <c r="S2079" s="8">
        <f t="shared" si="96"/>
        <v>-3.7895612573872012E-13</v>
      </c>
      <c r="T2079" s="8">
        <f t="shared" si="97"/>
        <v>3.7895612573872012E-13</v>
      </c>
      <c r="U2079" s="9">
        <f t="shared" si="98"/>
        <v>-1</v>
      </c>
    </row>
    <row r="2080" spans="1:22" outlineLevel="2">
      <c r="A2080" t="s">
        <v>571</v>
      </c>
      <c r="B2080" t="s">
        <v>572</v>
      </c>
      <c r="C2080" t="s">
        <v>136</v>
      </c>
      <c r="D2080" t="s">
        <v>137</v>
      </c>
      <c r="E2080" s="4">
        <v>-7.2759576141834259E-12</v>
      </c>
      <c r="F2080" s="4">
        <v>0</v>
      </c>
      <c r="G2080" s="4">
        <v>3.637978807091713E-12</v>
      </c>
      <c r="H2080" s="4">
        <v>-3.637978807091713E-12</v>
      </c>
      <c r="I2080" s="4">
        <v>-7.2759576141834259E-12</v>
      </c>
      <c r="J2080" s="4">
        <v>0</v>
      </c>
      <c r="K2080" s="4">
        <v>7.2759576141834259E-12</v>
      </c>
      <c r="L2080" s="4">
        <v>-7.2759576141834259E-12</v>
      </c>
      <c r="M2080" s="4">
        <v>0</v>
      </c>
      <c r="N2080" s="4">
        <v>0</v>
      </c>
      <c r="O2080" s="4">
        <v>0</v>
      </c>
      <c r="P2080" s="4">
        <v>0</v>
      </c>
      <c r="Q2080" s="4">
        <v>0</v>
      </c>
      <c r="S2080" s="8">
        <f t="shared" si="96"/>
        <v>-1.2126596023639042E-12</v>
      </c>
      <c r="T2080" s="8">
        <f t="shared" si="97"/>
        <v>1.2126596023639042E-12</v>
      </c>
      <c r="U2080" s="9">
        <f t="shared" si="98"/>
        <v>-1</v>
      </c>
    </row>
    <row r="2081" spans="1:21" outlineLevel="2">
      <c r="A2081" t="s">
        <v>571</v>
      </c>
      <c r="B2081" t="s">
        <v>572</v>
      </c>
      <c r="C2081" t="s">
        <v>138</v>
      </c>
      <c r="D2081" t="s">
        <v>139</v>
      </c>
      <c r="E2081" s="4">
        <v>-4.5474735088646412E-13</v>
      </c>
      <c r="F2081" s="4">
        <v>-1.1368683772161603E-13</v>
      </c>
      <c r="G2081" s="4">
        <v>0</v>
      </c>
      <c r="H2081" s="4">
        <v>0</v>
      </c>
      <c r="I2081" s="4">
        <v>0</v>
      </c>
      <c r="J2081" s="4">
        <v>-4.5474735088646412E-13</v>
      </c>
      <c r="K2081" s="4">
        <v>-4.5474735088646412E-13</v>
      </c>
      <c r="L2081" s="4">
        <v>0</v>
      </c>
      <c r="M2081" s="4">
        <v>0</v>
      </c>
      <c r="N2081" s="4">
        <v>0</v>
      </c>
      <c r="O2081" s="4">
        <v>0</v>
      </c>
      <c r="P2081" s="4">
        <v>0</v>
      </c>
      <c r="Q2081" s="4">
        <v>0</v>
      </c>
      <c r="S2081" s="8">
        <f t="shared" si="96"/>
        <v>0</v>
      </c>
      <c r="T2081" s="8">
        <f t="shared" si="97"/>
        <v>0</v>
      </c>
      <c r="U2081" s="9" t="e">
        <f t="shared" si="98"/>
        <v>#DIV/0!</v>
      </c>
    </row>
    <row r="2082" spans="1:21" outlineLevel="2">
      <c r="A2082" t="s">
        <v>571</v>
      </c>
      <c r="B2082" t="s">
        <v>572</v>
      </c>
      <c r="C2082" t="s">
        <v>29</v>
      </c>
      <c r="D2082" t="s">
        <v>30</v>
      </c>
      <c r="E2082" s="4">
        <v>3.5527136788005009E-15</v>
      </c>
      <c r="F2082" s="4">
        <v>3.5527136788005009E-15</v>
      </c>
      <c r="G2082" s="4">
        <v>0</v>
      </c>
      <c r="H2082" s="4">
        <v>0</v>
      </c>
      <c r="I2082" s="4">
        <v>7.1054273576010019E-15</v>
      </c>
      <c r="J2082" s="4">
        <v>1.4210854715202004E-14</v>
      </c>
      <c r="K2082" s="4">
        <v>-1.4210854715202004E-14</v>
      </c>
      <c r="L2082" s="4">
        <v>-2.8421709430404007E-14</v>
      </c>
      <c r="M2082" s="4">
        <v>0</v>
      </c>
      <c r="N2082" s="4">
        <v>0</v>
      </c>
      <c r="O2082" s="4">
        <v>0</v>
      </c>
      <c r="P2082" s="4">
        <v>0</v>
      </c>
      <c r="Q2082" s="4">
        <v>0</v>
      </c>
      <c r="S2082" s="8">
        <f t="shared" si="96"/>
        <v>-4.736951571734001E-15</v>
      </c>
      <c r="T2082" s="8">
        <f t="shared" si="97"/>
        <v>4.736951571734001E-15</v>
      </c>
      <c r="U2082" s="9">
        <f t="shared" si="98"/>
        <v>-1</v>
      </c>
    </row>
    <row r="2083" spans="1:21" outlineLevel="2">
      <c r="A2083" t="s">
        <v>571</v>
      </c>
      <c r="B2083" t="s">
        <v>572</v>
      </c>
      <c r="C2083" t="s">
        <v>144</v>
      </c>
      <c r="D2083" t="s">
        <v>145</v>
      </c>
      <c r="E2083" s="4">
        <v>0</v>
      </c>
      <c r="F2083" s="4">
        <v>0</v>
      </c>
      <c r="G2083" s="4">
        <v>0</v>
      </c>
      <c r="H2083" s="4">
        <v>-2.2737367544323206E-13</v>
      </c>
      <c r="I2083" s="4">
        <v>0</v>
      </c>
      <c r="J2083" s="4">
        <v>1.1368683772161603E-13</v>
      </c>
      <c r="K2083" s="4">
        <v>0</v>
      </c>
      <c r="L2083" s="4">
        <v>0</v>
      </c>
      <c r="M2083" s="4">
        <v>0</v>
      </c>
      <c r="N2083" s="4">
        <v>0</v>
      </c>
      <c r="O2083" s="4">
        <v>0</v>
      </c>
      <c r="P2083" s="4">
        <v>0</v>
      </c>
      <c r="Q2083" s="4">
        <v>0</v>
      </c>
      <c r="S2083" s="8">
        <f t="shared" si="96"/>
        <v>0</v>
      </c>
      <c r="T2083" s="8">
        <f t="shared" si="97"/>
        <v>0</v>
      </c>
      <c r="U2083" s="9" t="e">
        <f t="shared" si="98"/>
        <v>#DIV/0!</v>
      </c>
    </row>
    <row r="2084" spans="1:21" outlineLevel="2">
      <c r="A2084" t="s">
        <v>571</v>
      </c>
      <c r="B2084" t="s">
        <v>572</v>
      </c>
      <c r="C2084" t="s">
        <v>146</v>
      </c>
      <c r="D2084" t="s">
        <v>147</v>
      </c>
      <c r="E2084" s="4">
        <v>2.2737367544323206E-13</v>
      </c>
      <c r="F2084" s="4">
        <v>2.2737367544323206E-13</v>
      </c>
      <c r="G2084" s="4">
        <v>4.5474735088646412E-13</v>
      </c>
      <c r="H2084" s="4">
        <v>4.5474735088646412E-13</v>
      </c>
      <c r="I2084" s="4">
        <v>-4.5474735088646412E-13</v>
      </c>
      <c r="J2084" s="4">
        <v>-4.5474735088646412E-13</v>
      </c>
      <c r="K2084" s="4">
        <v>9.0949470177292824E-13</v>
      </c>
      <c r="L2084" s="4">
        <v>-9.0949470177292824E-13</v>
      </c>
      <c r="M2084" s="4">
        <v>0</v>
      </c>
      <c r="N2084" s="4">
        <v>0</v>
      </c>
      <c r="O2084" s="4">
        <v>0</v>
      </c>
      <c r="P2084" s="4">
        <v>0</v>
      </c>
      <c r="Q2084" s="4">
        <v>0</v>
      </c>
      <c r="S2084" s="8">
        <f t="shared" si="96"/>
        <v>-1.5158245029548803E-13</v>
      </c>
      <c r="T2084" s="8">
        <f t="shared" si="97"/>
        <v>1.5158245029548803E-13</v>
      </c>
      <c r="U2084" s="9">
        <f t="shared" si="98"/>
        <v>-1</v>
      </c>
    </row>
    <row r="2085" spans="1:21" outlineLevel="2">
      <c r="A2085" t="s">
        <v>571</v>
      </c>
      <c r="B2085" t="s">
        <v>572</v>
      </c>
      <c r="C2085" t="s">
        <v>150</v>
      </c>
      <c r="D2085" t="s">
        <v>151</v>
      </c>
      <c r="E2085" s="4">
        <v>0</v>
      </c>
      <c r="F2085" s="4">
        <v>0</v>
      </c>
      <c r="G2085" s="4">
        <v>1.8189894035458565E-12</v>
      </c>
      <c r="H2085" s="4">
        <v>0</v>
      </c>
      <c r="I2085" s="4">
        <v>0</v>
      </c>
      <c r="J2085" s="4">
        <v>0</v>
      </c>
      <c r="K2085" s="4">
        <v>0</v>
      </c>
      <c r="L2085" s="4">
        <v>0</v>
      </c>
      <c r="M2085" s="4">
        <v>0</v>
      </c>
      <c r="N2085" s="4">
        <v>0</v>
      </c>
      <c r="O2085" s="4">
        <v>0</v>
      </c>
      <c r="P2085" s="4">
        <v>0</v>
      </c>
      <c r="Q2085" s="4">
        <v>0</v>
      </c>
      <c r="S2085" s="8">
        <f t="shared" si="96"/>
        <v>0</v>
      </c>
      <c r="T2085" s="8">
        <f t="shared" si="97"/>
        <v>0</v>
      </c>
      <c r="U2085" s="9" t="e">
        <f t="shared" si="98"/>
        <v>#DIV/0!</v>
      </c>
    </row>
    <row r="2086" spans="1:21" outlineLevel="2">
      <c r="A2086" t="s">
        <v>571</v>
      </c>
      <c r="B2086" t="s">
        <v>572</v>
      </c>
      <c r="C2086" t="s">
        <v>152</v>
      </c>
      <c r="D2086" t="s">
        <v>153</v>
      </c>
      <c r="E2086" s="4">
        <v>0</v>
      </c>
      <c r="F2086" s="4">
        <v>1.1368683772161603E-13</v>
      </c>
      <c r="G2086" s="4">
        <v>4.5474735088646412E-13</v>
      </c>
      <c r="H2086" s="4">
        <v>0</v>
      </c>
      <c r="I2086" s="4">
        <v>-4.5474735088646412E-13</v>
      </c>
      <c r="J2086" s="4">
        <v>0</v>
      </c>
      <c r="K2086" s="4">
        <v>0</v>
      </c>
      <c r="L2086" s="4">
        <v>-9.0949470177292824E-13</v>
      </c>
      <c r="M2086" s="4">
        <v>0</v>
      </c>
      <c r="N2086" s="4">
        <v>0</v>
      </c>
      <c r="O2086" s="4">
        <v>0</v>
      </c>
      <c r="P2086" s="4">
        <v>0</v>
      </c>
      <c r="Q2086" s="4">
        <v>0</v>
      </c>
      <c r="S2086" s="8">
        <f t="shared" si="96"/>
        <v>-1.5158245029548803E-13</v>
      </c>
      <c r="T2086" s="8">
        <f t="shared" si="97"/>
        <v>1.5158245029548803E-13</v>
      </c>
      <c r="U2086" s="9">
        <f t="shared" si="98"/>
        <v>-1</v>
      </c>
    </row>
    <row r="2087" spans="1:21" outlineLevel="2">
      <c r="A2087" t="s">
        <v>571</v>
      </c>
      <c r="B2087" t="s">
        <v>572</v>
      </c>
      <c r="C2087" t="s">
        <v>154</v>
      </c>
      <c r="D2087" t="s">
        <v>155</v>
      </c>
      <c r="E2087" s="4">
        <v>1.7053025658242404E-13</v>
      </c>
      <c r="F2087" s="4">
        <v>-7.1054273576010019E-15</v>
      </c>
      <c r="G2087" s="4">
        <v>0</v>
      </c>
      <c r="H2087" s="4">
        <v>0</v>
      </c>
      <c r="I2087" s="4">
        <v>0</v>
      </c>
      <c r="J2087" s="4">
        <v>0</v>
      </c>
      <c r="K2087" s="4">
        <v>0</v>
      </c>
      <c r="L2087" s="4">
        <v>0</v>
      </c>
      <c r="M2087" s="4">
        <v>0</v>
      </c>
      <c r="N2087" s="4">
        <v>0</v>
      </c>
      <c r="O2087" s="4">
        <v>0</v>
      </c>
      <c r="P2087" s="4">
        <v>0</v>
      </c>
      <c r="Q2087" s="4">
        <v>0</v>
      </c>
      <c r="S2087" s="8">
        <f t="shared" si="96"/>
        <v>0</v>
      </c>
      <c r="T2087" s="8">
        <f t="shared" si="97"/>
        <v>0</v>
      </c>
      <c r="U2087" s="9" t="e">
        <f t="shared" si="98"/>
        <v>#DIV/0!</v>
      </c>
    </row>
    <row r="2088" spans="1:21" outlineLevel="2">
      <c r="A2088" t="s">
        <v>571</v>
      </c>
      <c r="B2088" t="s">
        <v>572</v>
      </c>
      <c r="C2088" t="s">
        <v>59</v>
      </c>
      <c r="D2088" t="s">
        <v>60</v>
      </c>
      <c r="E2088" s="4">
        <v>0</v>
      </c>
      <c r="F2088" s="4">
        <v>0</v>
      </c>
      <c r="G2088" s="4">
        <v>0</v>
      </c>
      <c r="H2088" s="4">
        <v>0</v>
      </c>
      <c r="I2088" s="4">
        <v>0</v>
      </c>
      <c r="J2088" s="4">
        <v>0</v>
      </c>
      <c r="K2088" s="4">
        <v>0</v>
      </c>
      <c r="L2088" s="4">
        <v>0</v>
      </c>
      <c r="M2088" s="4">
        <v>0</v>
      </c>
      <c r="N2088" s="4">
        <v>0</v>
      </c>
      <c r="O2088" s="4">
        <v>0</v>
      </c>
      <c r="P2088" s="4">
        <v>0</v>
      </c>
      <c r="Q2088" s="4">
        <v>0</v>
      </c>
      <c r="S2088" s="8">
        <f t="shared" si="96"/>
        <v>0</v>
      </c>
      <c r="T2088" s="8">
        <f t="shared" si="97"/>
        <v>0</v>
      </c>
      <c r="U2088" s="9" t="e">
        <f t="shared" si="98"/>
        <v>#DIV/0!</v>
      </c>
    </row>
    <row r="2089" spans="1:21" outlineLevel="2">
      <c r="A2089" t="s">
        <v>571</v>
      </c>
      <c r="B2089" t="s">
        <v>572</v>
      </c>
      <c r="C2089" t="s">
        <v>170</v>
      </c>
      <c r="D2089" t="s">
        <v>171</v>
      </c>
      <c r="E2089" s="4">
        <v>0</v>
      </c>
      <c r="F2089" s="4">
        <v>0</v>
      </c>
      <c r="G2089" s="4">
        <v>0</v>
      </c>
      <c r="H2089" s="4">
        <v>0</v>
      </c>
      <c r="I2089" s="4">
        <v>0</v>
      </c>
      <c r="J2089" s="4">
        <v>0</v>
      </c>
      <c r="K2089" s="4">
        <v>0</v>
      </c>
      <c r="L2089" s="4">
        <v>0</v>
      </c>
      <c r="M2089" s="4">
        <v>0</v>
      </c>
      <c r="N2089" s="4">
        <v>0</v>
      </c>
      <c r="O2089" s="4">
        <v>0</v>
      </c>
      <c r="P2089" s="4">
        <v>0</v>
      </c>
      <c r="Q2089" s="4">
        <v>0</v>
      </c>
      <c r="S2089" s="8">
        <f t="shared" si="96"/>
        <v>0</v>
      </c>
      <c r="T2089" s="8">
        <f t="shared" si="97"/>
        <v>0</v>
      </c>
      <c r="U2089" s="9" t="e">
        <f t="shared" si="98"/>
        <v>#DIV/0!</v>
      </c>
    </row>
    <row r="2090" spans="1:21" outlineLevel="1">
      <c r="A2090" s="1" t="s">
        <v>843</v>
      </c>
      <c r="E2090" s="4">
        <f>SUBTOTAL(9,E2080:E2089)</f>
        <v>-7.3292483193654334E-12</v>
      </c>
      <c r="F2090" s="4">
        <f>SUBTOTAL(9,F2080:F2089)</f>
        <v>2.2382096176443156E-13</v>
      </c>
      <c r="G2090" s="4">
        <f>SUBTOTAL(9,G2080:G2089)</f>
        <v>6.3664629124104977E-12</v>
      </c>
      <c r="H2090" s="4">
        <f>SUBTOTAL(9,H2080:H2089)</f>
        <v>-3.4106051316484809E-12</v>
      </c>
      <c r="I2090" s="4">
        <f>SUBTOTAL(9,I2080:I2089)</f>
        <v>-8.1783468885987531E-12</v>
      </c>
      <c r="J2090" s="4">
        <f>SUBTOTAL(9,J2080:J2089)</f>
        <v>-7.815970093361102E-13</v>
      </c>
      <c r="K2090" s="4">
        <f>SUBTOTAL(9,K2080:K2089)</f>
        <v>7.716494110354688E-12</v>
      </c>
      <c r="L2090" s="4">
        <f>SUBTOTAL(9,L2080:L2089)</f>
        <v>-9.1233687271596864E-12</v>
      </c>
      <c r="M2090" s="4">
        <f>SUBTOTAL(9,M2080:M2089)</f>
        <v>0</v>
      </c>
      <c r="N2090" s="4">
        <f>SUBTOTAL(9,N2080:N2089)</f>
        <v>0</v>
      </c>
      <c r="O2090" s="4">
        <f>SUBTOTAL(9,O2080:O2089)</f>
        <v>0</v>
      </c>
      <c r="P2090" s="4">
        <f>SUBTOTAL(9,P2080:P2089)</f>
        <v>0</v>
      </c>
      <c r="Q2090" s="4">
        <f>SUBTOTAL(9,Q2080:Q2089)</f>
        <v>0</v>
      </c>
      <c r="R2090" s="4">
        <f>SUBTOTAL(9,R2080:R2089)</f>
        <v>0</v>
      </c>
      <c r="S2090" s="8">
        <f t="shared" si="96"/>
        <v>-1.5205614545266144E-12</v>
      </c>
      <c r="T2090" s="8">
        <f t="shared" si="97"/>
        <v>1.5205614545266144E-12</v>
      </c>
      <c r="U2090" s="9">
        <f t="shared" si="98"/>
        <v>-1</v>
      </c>
    </row>
    <row r="2091" spans="1:21" outlineLevel="2">
      <c r="A2091" t="s">
        <v>573</v>
      </c>
      <c r="B2091" t="s">
        <v>574</v>
      </c>
      <c r="C2091" t="s">
        <v>136</v>
      </c>
      <c r="D2091" t="s">
        <v>137</v>
      </c>
      <c r="E2091" s="4">
        <v>1.4551915228366852E-11</v>
      </c>
      <c r="F2091" s="4">
        <v>-1.8189894035458565E-12</v>
      </c>
      <c r="G2091" s="4">
        <v>0</v>
      </c>
      <c r="H2091" s="4">
        <v>7.2759576141834259E-12</v>
      </c>
      <c r="I2091" s="4">
        <v>0</v>
      </c>
      <c r="J2091" s="4">
        <v>0</v>
      </c>
      <c r="K2091" s="4">
        <v>7.2759576141834259E-12</v>
      </c>
      <c r="L2091" s="4">
        <v>-2.9103830456733704E-11</v>
      </c>
      <c r="M2091" s="4">
        <v>0</v>
      </c>
      <c r="N2091" s="4">
        <v>0</v>
      </c>
      <c r="O2091" s="4">
        <v>0</v>
      </c>
      <c r="P2091" s="4">
        <v>0</v>
      </c>
      <c r="Q2091" s="4">
        <v>0</v>
      </c>
      <c r="S2091" s="8">
        <f t="shared" si="96"/>
        <v>-4.850638409455617E-12</v>
      </c>
      <c r="T2091" s="8">
        <f t="shared" si="97"/>
        <v>4.850638409455617E-12</v>
      </c>
      <c r="U2091" s="9">
        <f t="shared" si="98"/>
        <v>-1</v>
      </c>
    </row>
    <row r="2092" spans="1:21" outlineLevel="2">
      <c r="A2092" t="s">
        <v>573</v>
      </c>
      <c r="B2092" t="s">
        <v>574</v>
      </c>
      <c r="C2092" t="s">
        <v>575</v>
      </c>
      <c r="D2092" t="s">
        <v>576</v>
      </c>
      <c r="E2092" s="4">
        <v>0</v>
      </c>
      <c r="F2092" s="4">
        <v>0</v>
      </c>
      <c r="G2092" s="4">
        <v>0</v>
      </c>
      <c r="H2092" s="4">
        <v>0</v>
      </c>
      <c r="I2092" s="4">
        <v>0</v>
      </c>
      <c r="J2092" s="4">
        <v>0</v>
      </c>
      <c r="K2092" s="4">
        <v>-566.8599999999999</v>
      </c>
      <c r="L2092" s="4">
        <v>0</v>
      </c>
      <c r="M2092" s="4">
        <v>0</v>
      </c>
      <c r="N2092" s="4">
        <v>0</v>
      </c>
      <c r="O2092" s="4">
        <v>0</v>
      </c>
      <c r="P2092" s="4">
        <v>-4.2721381987576024E-13</v>
      </c>
      <c r="Q2092" s="4">
        <v>0</v>
      </c>
      <c r="S2092" s="8">
        <f t="shared" si="96"/>
        <v>-7.120230331262671E-14</v>
      </c>
      <c r="T2092" s="8">
        <f t="shared" si="97"/>
        <v>7.120230331262671E-14</v>
      </c>
      <c r="U2092" s="9">
        <f t="shared" si="98"/>
        <v>-1</v>
      </c>
    </row>
    <row r="2093" spans="1:21" outlineLevel="2">
      <c r="A2093" t="s">
        <v>573</v>
      </c>
      <c r="B2093" t="s">
        <v>574</v>
      </c>
      <c r="C2093" t="s">
        <v>144</v>
      </c>
      <c r="D2093" t="s">
        <v>145</v>
      </c>
      <c r="E2093" s="4">
        <v>-2.8421709430404007E-14</v>
      </c>
      <c r="F2093" s="4">
        <v>0</v>
      </c>
      <c r="G2093" s="4">
        <v>-2.2737367544323206E-13</v>
      </c>
      <c r="H2093" s="4">
        <v>2.2737367544323206E-13</v>
      </c>
      <c r="I2093" s="4">
        <v>0</v>
      </c>
      <c r="J2093" s="4">
        <v>0</v>
      </c>
      <c r="K2093" s="4">
        <v>0</v>
      </c>
      <c r="L2093" s="4">
        <v>0</v>
      </c>
      <c r="M2093" s="4">
        <v>0</v>
      </c>
      <c r="N2093" s="4">
        <v>0</v>
      </c>
      <c r="O2093" s="4">
        <v>0</v>
      </c>
      <c r="P2093" s="4">
        <v>0</v>
      </c>
      <c r="Q2093" s="4">
        <v>0</v>
      </c>
      <c r="S2093" s="8">
        <f t="shared" si="96"/>
        <v>0</v>
      </c>
      <c r="T2093" s="8">
        <f t="shared" si="97"/>
        <v>0</v>
      </c>
      <c r="U2093" s="9" t="e">
        <f t="shared" si="98"/>
        <v>#DIV/0!</v>
      </c>
    </row>
    <row r="2094" spans="1:21" outlineLevel="2">
      <c r="A2094" t="s">
        <v>573</v>
      </c>
      <c r="B2094" t="s">
        <v>574</v>
      </c>
      <c r="C2094" t="s">
        <v>146</v>
      </c>
      <c r="D2094" t="s">
        <v>147</v>
      </c>
      <c r="E2094" s="4">
        <v>9.0949470177292824E-13</v>
      </c>
      <c r="F2094" s="4">
        <v>0</v>
      </c>
      <c r="G2094" s="4">
        <v>4.5474735088646412E-13</v>
      </c>
      <c r="H2094" s="4">
        <v>0</v>
      </c>
      <c r="I2094" s="4">
        <v>9.0949470177292824E-13</v>
      </c>
      <c r="J2094" s="4">
        <v>4.5474735088646412E-13</v>
      </c>
      <c r="K2094" s="4">
        <v>-1.2505552149377763E-12</v>
      </c>
      <c r="L2094" s="4">
        <v>0</v>
      </c>
      <c r="M2094" s="4">
        <v>0</v>
      </c>
      <c r="N2094" s="4">
        <v>0</v>
      </c>
      <c r="O2094" s="4">
        <v>0</v>
      </c>
      <c r="P2094" s="4">
        <v>0</v>
      </c>
      <c r="Q2094" s="4">
        <v>0</v>
      </c>
      <c r="S2094" s="8">
        <f t="shared" si="96"/>
        <v>0</v>
      </c>
      <c r="T2094" s="8">
        <f t="shared" si="97"/>
        <v>0</v>
      </c>
      <c r="U2094" s="9" t="e">
        <f t="shared" si="98"/>
        <v>#DIV/0!</v>
      </c>
    </row>
    <row r="2095" spans="1:21" outlineLevel="2">
      <c r="A2095" t="s">
        <v>573</v>
      </c>
      <c r="B2095" t="s">
        <v>574</v>
      </c>
      <c r="C2095" t="s">
        <v>150</v>
      </c>
      <c r="D2095" t="s">
        <v>151</v>
      </c>
      <c r="E2095" s="4">
        <v>0</v>
      </c>
      <c r="F2095" s="4">
        <v>0</v>
      </c>
      <c r="G2095" s="4">
        <v>0</v>
      </c>
      <c r="H2095" s="4">
        <v>0</v>
      </c>
      <c r="I2095" s="4">
        <v>0</v>
      </c>
      <c r="J2095" s="4">
        <v>0</v>
      </c>
      <c r="K2095" s="4">
        <v>0</v>
      </c>
      <c r="L2095" s="4">
        <v>0</v>
      </c>
      <c r="M2095" s="4">
        <v>0</v>
      </c>
      <c r="N2095" s="4">
        <v>0</v>
      </c>
      <c r="O2095" s="4">
        <v>0</v>
      </c>
      <c r="P2095" s="4">
        <v>0</v>
      </c>
      <c r="Q2095" s="4">
        <v>0</v>
      </c>
      <c r="S2095" s="8">
        <f t="shared" si="96"/>
        <v>0</v>
      </c>
      <c r="T2095" s="8">
        <f t="shared" si="97"/>
        <v>0</v>
      </c>
      <c r="U2095" s="9" t="e">
        <f t="shared" si="98"/>
        <v>#DIV/0!</v>
      </c>
    </row>
    <row r="2096" spans="1:21" outlineLevel="2">
      <c r="A2096" t="s">
        <v>573</v>
      </c>
      <c r="B2096" t="s">
        <v>574</v>
      </c>
      <c r="C2096" t="s">
        <v>152</v>
      </c>
      <c r="D2096" t="s">
        <v>153</v>
      </c>
      <c r="E2096" s="4">
        <v>0</v>
      </c>
      <c r="F2096" s="4">
        <v>-9.0949470177292824E-13</v>
      </c>
      <c r="G2096" s="4">
        <v>-4.5474735088646412E-13</v>
      </c>
      <c r="H2096" s="4">
        <v>0</v>
      </c>
      <c r="I2096" s="4">
        <v>4.5474735088646412E-13</v>
      </c>
      <c r="J2096" s="4">
        <v>9.0949470177292824E-13</v>
      </c>
      <c r="K2096" s="4">
        <v>0</v>
      </c>
      <c r="L2096" s="4">
        <v>0</v>
      </c>
      <c r="M2096" s="4">
        <v>0</v>
      </c>
      <c r="N2096" s="4">
        <v>0</v>
      </c>
      <c r="O2096" s="4">
        <v>0</v>
      </c>
      <c r="P2096" s="4">
        <v>0</v>
      </c>
      <c r="Q2096" s="4">
        <v>0</v>
      </c>
      <c r="S2096" s="8">
        <f t="shared" si="96"/>
        <v>0</v>
      </c>
      <c r="T2096" s="8">
        <f t="shared" si="97"/>
        <v>0</v>
      </c>
      <c r="U2096" s="9" t="e">
        <f t="shared" si="98"/>
        <v>#DIV/0!</v>
      </c>
    </row>
    <row r="2097" spans="1:21" outlineLevel="2">
      <c r="A2097" t="s">
        <v>573</v>
      </c>
      <c r="B2097" t="s">
        <v>574</v>
      </c>
      <c r="C2097" t="s">
        <v>154</v>
      </c>
      <c r="D2097" t="s">
        <v>155</v>
      </c>
      <c r="E2097" s="4">
        <v>1.1368683772161603E-13</v>
      </c>
      <c r="F2097" s="4">
        <v>1.4210854715202004E-14</v>
      </c>
      <c r="G2097" s="4">
        <v>-2.8421709430404007E-14</v>
      </c>
      <c r="H2097" s="4">
        <v>0</v>
      </c>
      <c r="I2097" s="4">
        <v>-1.4210854715202004E-14</v>
      </c>
      <c r="J2097" s="4">
        <v>0</v>
      </c>
      <c r="K2097" s="4">
        <v>0</v>
      </c>
      <c r="L2097" s="4">
        <v>0</v>
      </c>
      <c r="M2097" s="4">
        <v>0</v>
      </c>
      <c r="N2097" s="4">
        <v>0</v>
      </c>
      <c r="O2097" s="4">
        <v>0</v>
      </c>
      <c r="P2097" s="4">
        <v>0</v>
      </c>
      <c r="Q2097" s="4">
        <v>0</v>
      </c>
      <c r="S2097" s="8">
        <f t="shared" si="96"/>
        <v>0</v>
      </c>
      <c r="T2097" s="8">
        <f t="shared" si="97"/>
        <v>0</v>
      </c>
      <c r="U2097" s="9" t="e">
        <f t="shared" si="98"/>
        <v>#DIV/0!</v>
      </c>
    </row>
    <row r="2098" spans="1:21" outlineLevel="2">
      <c r="A2098" t="s">
        <v>573</v>
      </c>
      <c r="B2098" t="s">
        <v>574</v>
      </c>
      <c r="C2098" t="s">
        <v>87</v>
      </c>
      <c r="D2098" t="s">
        <v>88</v>
      </c>
      <c r="E2098" s="4">
        <v>0</v>
      </c>
      <c r="F2098" s="4">
        <v>0</v>
      </c>
      <c r="G2098" s="4">
        <v>0</v>
      </c>
      <c r="H2098" s="4">
        <v>0</v>
      </c>
      <c r="I2098" s="4">
        <v>0</v>
      </c>
      <c r="J2098" s="4">
        <v>0</v>
      </c>
      <c r="K2098" s="4">
        <v>0</v>
      </c>
      <c r="L2098" s="4">
        <v>230.25</v>
      </c>
      <c r="M2098" s="4">
        <v>0</v>
      </c>
      <c r="N2098" s="4">
        <v>0</v>
      </c>
      <c r="O2098" s="4">
        <v>0</v>
      </c>
      <c r="P2098" s="4">
        <v>0</v>
      </c>
      <c r="Q2098" s="4">
        <v>0</v>
      </c>
      <c r="S2098" s="8">
        <f t="shared" si="96"/>
        <v>38.375</v>
      </c>
      <c r="T2098" s="8">
        <f t="shared" si="97"/>
        <v>-38.375</v>
      </c>
      <c r="U2098" s="9">
        <f t="shared" si="98"/>
        <v>-1</v>
      </c>
    </row>
    <row r="2099" spans="1:21" outlineLevel="2">
      <c r="A2099" t="s">
        <v>573</v>
      </c>
      <c r="B2099" t="s">
        <v>574</v>
      </c>
      <c r="C2099" t="s">
        <v>170</v>
      </c>
      <c r="D2099" t="s">
        <v>171</v>
      </c>
      <c r="E2099" s="4">
        <v>0</v>
      </c>
      <c r="F2099" s="4">
        <v>0</v>
      </c>
      <c r="G2099" s="4">
        <v>0</v>
      </c>
      <c r="H2099" s="4">
        <v>0</v>
      </c>
      <c r="I2099" s="4">
        <v>0</v>
      </c>
      <c r="J2099" s="4">
        <v>0</v>
      </c>
      <c r="K2099" s="4">
        <v>0</v>
      </c>
      <c r="L2099" s="4">
        <v>0</v>
      </c>
      <c r="M2099" s="4">
        <v>0</v>
      </c>
      <c r="N2099" s="4">
        <v>0</v>
      </c>
      <c r="O2099" s="4">
        <v>0</v>
      </c>
      <c r="P2099" s="4">
        <v>0</v>
      </c>
      <c r="Q2099" s="4">
        <v>0</v>
      </c>
      <c r="S2099" s="8">
        <f t="shared" si="96"/>
        <v>0</v>
      </c>
      <c r="T2099" s="8">
        <f t="shared" si="97"/>
        <v>0</v>
      </c>
      <c r="U2099" s="9" t="e">
        <f t="shared" si="98"/>
        <v>#DIV/0!</v>
      </c>
    </row>
    <row r="2100" spans="1:21" outlineLevel="1">
      <c r="A2100" s="1" t="s">
        <v>844</v>
      </c>
      <c r="E2100" s="4">
        <f>SUBTOTAL(9,E2091:E2099)</f>
        <v>1.5546675058430992E-11</v>
      </c>
      <c r="F2100" s="4">
        <f>SUBTOTAL(9,F2091:F2099)</f>
        <v>-2.7142732506035827E-12</v>
      </c>
      <c r="G2100" s="4">
        <f>SUBTOTAL(9,G2091:G2099)</f>
        <v>-2.5579538487363607E-13</v>
      </c>
      <c r="H2100" s="4">
        <f>SUBTOTAL(9,H2091:H2099)</f>
        <v>7.503331289626658E-12</v>
      </c>
      <c r="I2100" s="4">
        <f>SUBTOTAL(9,I2091:I2099)</f>
        <v>1.3500311979441904E-12</v>
      </c>
      <c r="J2100" s="4">
        <f>SUBTOTAL(9,J2091:J2099)</f>
        <v>1.3642420526593924E-12</v>
      </c>
      <c r="K2100" s="4">
        <f>SUBTOTAL(9,K2091:K2099)</f>
        <v>-566.85999999999387</v>
      </c>
      <c r="L2100" s="4">
        <f>SUBTOTAL(9,L2091:L2099)</f>
        <v>230.2499999999709</v>
      </c>
      <c r="M2100" s="4">
        <f>SUBTOTAL(9,M2091:M2099)</f>
        <v>0</v>
      </c>
      <c r="N2100" s="4">
        <f>SUBTOTAL(9,N2091:N2099)</f>
        <v>0</v>
      </c>
      <c r="O2100" s="4">
        <f>SUBTOTAL(9,O2091:O2099)</f>
        <v>0</v>
      </c>
      <c r="P2100" s="4">
        <f>SUBTOTAL(9,P2091:P2099)</f>
        <v>-4.2721381987576024E-13</v>
      </c>
      <c r="Q2100" s="4">
        <f>SUBTOTAL(9,Q2091:Q2099)</f>
        <v>0</v>
      </c>
      <c r="R2100" s="4">
        <f>SUBTOTAL(9,R2091:R2099)</f>
        <v>0</v>
      </c>
      <c r="S2100" s="8">
        <f t="shared" si="96"/>
        <v>38.374999999995076</v>
      </c>
      <c r="T2100" s="8">
        <f t="shared" si="97"/>
        <v>-38.374999999995076</v>
      </c>
      <c r="U2100" s="9">
        <f t="shared" si="98"/>
        <v>-1</v>
      </c>
    </row>
    <row r="2101" spans="1:21" outlineLevel="2">
      <c r="A2101" t="s">
        <v>577</v>
      </c>
      <c r="B2101" t="s">
        <v>578</v>
      </c>
      <c r="C2101" t="s">
        <v>136</v>
      </c>
      <c r="D2101" t="s">
        <v>137</v>
      </c>
      <c r="E2101" s="4">
        <v>-9.0949470177292824E-13</v>
      </c>
      <c r="F2101" s="4">
        <v>-1.1368683772161603E-13</v>
      </c>
      <c r="G2101" s="4">
        <v>0</v>
      </c>
      <c r="H2101" s="4">
        <v>0</v>
      </c>
      <c r="I2101" s="4">
        <v>0</v>
      </c>
      <c r="J2101" s="4">
        <v>0</v>
      </c>
      <c r="K2101" s="4">
        <v>4.5474735088646412E-13</v>
      </c>
      <c r="L2101" s="4">
        <v>0</v>
      </c>
      <c r="M2101" s="4">
        <v>0</v>
      </c>
      <c r="N2101" s="4">
        <v>0</v>
      </c>
      <c r="O2101" s="4">
        <v>0</v>
      </c>
      <c r="P2101" s="4">
        <v>0</v>
      </c>
      <c r="Q2101" s="4">
        <v>0</v>
      </c>
      <c r="S2101" s="8">
        <f t="shared" si="96"/>
        <v>0</v>
      </c>
      <c r="T2101" s="8">
        <f t="shared" si="97"/>
        <v>0</v>
      </c>
      <c r="U2101" s="9" t="e">
        <f t="shared" si="98"/>
        <v>#DIV/0!</v>
      </c>
    </row>
    <row r="2102" spans="1:21" outlineLevel="2">
      <c r="A2102" t="s">
        <v>577</v>
      </c>
      <c r="B2102" t="s">
        <v>578</v>
      </c>
      <c r="C2102" t="s">
        <v>138</v>
      </c>
      <c r="D2102" t="s">
        <v>139</v>
      </c>
      <c r="E2102" s="4">
        <v>0</v>
      </c>
      <c r="F2102" s="4">
        <v>9.0949470177292824E-13</v>
      </c>
      <c r="G2102" s="4">
        <v>-1.8189894035458565E-12</v>
      </c>
      <c r="H2102" s="4">
        <v>-1.8189894035458565E-12</v>
      </c>
      <c r="I2102" s="4">
        <v>0</v>
      </c>
      <c r="J2102" s="4">
        <v>0</v>
      </c>
      <c r="K2102" s="4">
        <v>1.8189894035458565E-12</v>
      </c>
      <c r="L2102" s="4">
        <v>3.637978807091713E-12</v>
      </c>
      <c r="M2102" s="4">
        <v>0</v>
      </c>
      <c r="N2102" s="4">
        <v>0</v>
      </c>
      <c r="O2102" s="4">
        <v>0</v>
      </c>
      <c r="P2102" s="4">
        <v>0</v>
      </c>
      <c r="Q2102" s="4">
        <v>0</v>
      </c>
      <c r="S2102" s="8">
        <f t="shared" si="96"/>
        <v>6.0632980118195212E-13</v>
      </c>
      <c r="T2102" s="8">
        <f t="shared" si="97"/>
        <v>-6.0632980118195212E-13</v>
      </c>
      <c r="U2102" s="9">
        <f t="shared" si="98"/>
        <v>-1</v>
      </c>
    </row>
    <row r="2103" spans="1:21" outlineLevel="2">
      <c r="A2103" t="s">
        <v>577</v>
      </c>
      <c r="B2103" t="s">
        <v>578</v>
      </c>
      <c r="C2103" t="s">
        <v>29</v>
      </c>
      <c r="D2103" t="s">
        <v>30</v>
      </c>
      <c r="E2103" s="4">
        <v>1.1368683772161603E-13</v>
      </c>
      <c r="F2103" s="4">
        <v>0</v>
      </c>
      <c r="G2103" s="4">
        <v>-2.2737367544323206E-13</v>
      </c>
      <c r="H2103" s="4">
        <v>-2.2737367544323206E-13</v>
      </c>
      <c r="I2103" s="4">
        <v>0</v>
      </c>
      <c r="J2103" s="4">
        <v>-2.2737367544323206E-13</v>
      </c>
      <c r="K2103" s="4">
        <v>-9.0949470177292824E-13</v>
      </c>
      <c r="L2103" s="4">
        <v>-9.0949470177292824E-13</v>
      </c>
      <c r="M2103" s="4">
        <v>0</v>
      </c>
      <c r="N2103" s="4">
        <v>0</v>
      </c>
      <c r="O2103" s="4">
        <v>0</v>
      </c>
      <c r="P2103" s="4">
        <v>0</v>
      </c>
      <c r="Q2103" s="4">
        <v>0</v>
      </c>
      <c r="S2103" s="8">
        <f t="shared" si="96"/>
        <v>-1.5158245029548803E-13</v>
      </c>
      <c r="T2103" s="8">
        <f t="shared" si="97"/>
        <v>1.5158245029548803E-13</v>
      </c>
      <c r="U2103" s="9">
        <f t="shared" si="98"/>
        <v>-1</v>
      </c>
    </row>
    <row r="2104" spans="1:21" outlineLevel="2">
      <c r="A2104" t="s">
        <v>577</v>
      </c>
      <c r="B2104" t="s">
        <v>578</v>
      </c>
      <c r="C2104" t="s">
        <v>144</v>
      </c>
      <c r="D2104" t="s">
        <v>145</v>
      </c>
      <c r="E2104" s="4">
        <v>5.6843418860808015E-14</v>
      </c>
      <c r="F2104" s="4">
        <v>0</v>
      </c>
      <c r="G2104" s="4">
        <v>0</v>
      </c>
      <c r="H2104" s="4">
        <v>0</v>
      </c>
      <c r="I2104" s="4">
        <v>0</v>
      </c>
      <c r="J2104" s="4">
        <v>0</v>
      </c>
      <c r="K2104" s="4">
        <v>-2.8421709430404007E-14</v>
      </c>
      <c r="L2104" s="4">
        <v>0</v>
      </c>
      <c r="M2104" s="4">
        <v>0</v>
      </c>
      <c r="N2104" s="4">
        <v>0</v>
      </c>
      <c r="O2104" s="4">
        <v>0</v>
      </c>
      <c r="P2104" s="4">
        <v>0</v>
      </c>
      <c r="Q2104" s="4">
        <v>0</v>
      </c>
      <c r="S2104" s="8">
        <f t="shared" si="96"/>
        <v>0</v>
      </c>
      <c r="T2104" s="8">
        <f t="shared" si="97"/>
        <v>0</v>
      </c>
      <c r="U2104" s="9" t="e">
        <f t="shared" si="98"/>
        <v>#DIV/0!</v>
      </c>
    </row>
    <row r="2105" spans="1:21" outlineLevel="2">
      <c r="A2105" t="s">
        <v>577</v>
      </c>
      <c r="B2105" t="s">
        <v>578</v>
      </c>
      <c r="C2105" t="s">
        <v>146</v>
      </c>
      <c r="D2105" t="s">
        <v>147</v>
      </c>
      <c r="E2105" s="4">
        <v>0</v>
      </c>
      <c r="F2105" s="4">
        <v>-1.1368683772161603E-13</v>
      </c>
      <c r="G2105" s="4">
        <v>-2.2737367544323206E-13</v>
      </c>
      <c r="H2105" s="4">
        <v>0</v>
      </c>
      <c r="I2105" s="4">
        <v>-2.2737367544323206E-13</v>
      </c>
      <c r="J2105" s="4">
        <v>-2.2737367544323206E-13</v>
      </c>
      <c r="K2105" s="4">
        <v>-2.2737367544323206E-13</v>
      </c>
      <c r="L2105" s="4">
        <v>4.5474735088646412E-13</v>
      </c>
      <c r="M2105" s="4">
        <v>0</v>
      </c>
      <c r="N2105" s="4">
        <v>0</v>
      </c>
      <c r="O2105" s="4">
        <v>0</v>
      </c>
      <c r="P2105" s="4">
        <v>0</v>
      </c>
      <c r="Q2105" s="4">
        <v>0</v>
      </c>
      <c r="S2105" s="8">
        <f t="shared" si="96"/>
        <v>7.5791225147744016E-14</v>
      </c>
      <c r="T2105" s="8">
        <f t="shared" si="97"/>
        <v>-7.5791225147744016E-14</v>
      </c>
      <c r="U2105" s="9">
        <f t="shared" si="98"/>
        <v>-1</v>
      </c>
    </row>
    <row r="2106" spans="1:21" outlineLevel="2">
      <c r="A2106" t="s">
        <v>577</v>
      </c>
      <c r="B2106" t="s">
        <v>578</v>
      </c>
      <c r="C2106" t="s">
        <v>150</v>
      </c>
      <c r="D2106" t="s">
        <v>151</v>
      </c>
      <c r="E2106" s="4">
        <v>0</v>
      </c>
      <c r="F2106" s="4">
        <v>0</v>
      </c>
      <c r="G2106" s="4">
        <v>-9.0949470177292824E-13</v>
      </c>
      <c r="H2106" s="4">
        <v>0</v>
      </c>
      <c r="I2106" s="4">
        <v>0</v>
      </c>
      <c r="J2106" s="4">
        <v>0</v>
      </c>
      <c r="K2106" s="4">
        <v>0</v>
      </c>
      <c r="L2106" s="4">
        <v>0</v>
      </c>
      <c r="M2106" s="4">
        <v>0</v>
      </c>
      <c r="N2106" s="4">
        <v>0</v>
      </c>
      <c r="O2106" s="4">
        <v>0</v>
      </c>
      <c r="P2106" s="4">
        <v>0</v>
      </c>
      <c r="Q2106" s="4">
        <v>0</v>
      </c>
      <c r="S2106" s="8">
        <f t="shared" si="96"/>
        <v>0</v>
      </c>
      <c r="T2106" s="8">
        <f t="shared" si="97"/>
        <v>0</v>
      </c>
      <c r="U2106" s="9" t="e">
        <f t="shared" si="98"/>
        <v>#DIV/0!</v>
      </c>
    </row>
    <row r="2107" spans="1:21" outlineLevel="2">
      <c r="A2107" t="s">
        <v>577</v>
      </c>
      <c r="B2107" t="s">
        <v>578</v>
      </c>
      <c r="C2107" t="s">
        <v>152</v>
      </c>
      <c r="D2107" t="s">
        <v>153</v>
      </c>
      <c r="E2107" s="4">
        <v>-4.5474735088646412E-13</v>
      </c>
      <c r="F2107" s="4">
        <v>-2.8421709430404007E-13</v>
      </c>
      <c r="G2107" s="4">
        <v>0</v>
      </c>
      <c r="H2107" s="4">
        <v>2.2737367544323206E-13</v>
      </c>
      <c r="I2107" s="4">
        <v>0</v>
      </c>
      <c r="J2107" s="4">
        <v>0</v>
      </c>
      <c r="K2107" s="4">
        <v>0</v>
      </c>
      <c r="L2107" s="4">
        <v>0</v>
      </c>
      <c r="M2107" s="4">
        <v>0</v>
      </c>
      <c r="N2107" s="4">
        <v>0</v>
      </c>
      <c r="O2107" s="4">
        <v>0</v>
      </c>
      <c r="P2107" s="4">
        <v>0</v>
      </c>
      <c r="Q2107" s="4">
        <v>0</v>
      </c>
      <c r="S2107" s="8">
        <f t="shared" si="96"/>
        <v>0</v>
      </c>
      <c r="T2107" s="8">
        <f t="shared" si="97"/>
        <v>0</v>
      </c>
      <c r="U2107" s="9" t="e">
        <f t="shared" si="98"/>
        <v>#DIV/0!</v>
      </c>
    </row>
    <row r="2108" spans="1:21" outlineLevel="2">
      <c r="A2108" t="s">
        <v>577</v>
      </c>
      <c r="B2108" t="s">
        <v>578</v>
      </c>
      <c r="C2108" t="s">
        <v>154</v>
      </c>
      <c r="D2108" t="s">
        <v>155</v>
      </c>
      <c r="E2108" s="4">
        <v>5.6843418860808015E-14</v>
      </c>
      <c r="F2108" s="4">
        <v>0</v>
      </c>
      <c r="G2108" s="4">
        <v>7.1054273576010019E-15</v>
      </c>
      <c r="H2108" s="4">
        <v>0</v>
      </c>
      <c r="I2108" s="4">
        <v>0</v>
      </c>
      <c r="J2108" s="4">
        <v>0</v>
      </c>
      <c r="K2108" s="4">
        <v>-7.1054273576010019E-15</v>
      </c>
      <c r="L2108" s="4">
        <v>0</v>
      </c>
      <c r="M2108" s="4">
        <v>0</v>
      </c>
      <c r="N2108" s="4">
        <v>0</v>
      </c>
      <c r="O2108" s="4">
        <v>0</v>
      </c>
      <c r="P2108" s="4">
        <v>0</v>
      </c>
      <c r="Q2108" s="4">
        <v>0</v>
      </c>
      <c r="S2108" s="8">
        <f t="shared" si="96"/>
        <v>0</v>
      </c>
      <c r="T2108" s="8">
        <f t="shared" si="97"/>
        <v>0</v>
      </c>
      <c r="U2108" s="9" t="e">
        <f t="shared" si="98"/>
        <v>#DIV/0!</v>
      </c>
    </row>
    <row r="2109" spans="1:21" outlineLevel="2">
      <c r="A2109" t="s">
        <v>577</v>
      </c>
      <c r="B2109" t="s">
        <v>578</v>
      </c>
      <c r="C2109" t="s">
        <v>164</v>
      </c>
      <c r="D2109" t="s">
        <v>165</v>
      </c>
      <c r="E2109" s="4">
        <v>0</v>
      </c>
      <c r="F2109" s="4">
        <v>0</v>
      </c>
      <c r="G2109" s="4">
        <v>0</v>
      </c>
      <c r="H2109" s="4">
        <v>0</v>
      </c>
      <c r="I2109" s="4">
        <v>0</v>
      </c>
      <c r="J2109" s="4">
        <v>0</v>
      </c>
      <c r="K2109" s="4">
        <v>0</v>
      </c>
      <c r="L2109" s="4">
        <v>0</v>
      </c>
      <c r="M2109" s="4">
        <v>0</v>
      </c>
      <c r="N2109" s="4">
        <v>0</v>
      </c>
      <c r="O2109" s="4">
        <v>0</v>
      </c>
      <c r="P2109" s="4">
        <v>0</v>
      </c>
      <c r="Q2109" s="4">
        <v>0</v>
      </c>
      <c r="S2109" s="8">
        <f t="shared" si="96"/>
        <v>0</v>
      </c>
      <c r="T2109" s="8">
        <f t="shared" si="97"/>
        <v>0</v>
      </c>
      <c r="U2109" s="9" t="e">
        <f t="shared" si="98"/>
        <v>#DIV/0!</v>
      </c>
    </row>
    <row r="2110" spans="1:21" outlineLevel="2">
      <c r="A2110" t="s">
        <v>577</v>
      </c>
      <c r="B2110" t="s">
        <v>578</v>
      </c>
      <c r="C2110" t="s">
        <v>170</v>
      </c>
      <c r="D2110" t="s">
        <v>171</v>
      </c>
      <c r="E2110" s="4">
        <v>0</v>
      </c>
      <c r="F2110" s="4">
        <v>0</v>
      </c>
      <c r="G2110" s="4">
        <v>0</v>
      </c>
      <c r="H2110" s="4">
        <v>0</v>
      </c>
      <c r="I2110" s="4">
        <v>0</v>
      </c>
      <c r="J2110" s="4">
        <v>0</v>
      </c>
      <c r="K2110" s="4">
        <v>0</v>
      </c>
      <c r="L2110" s="4">
        <v>0</v>
      </c>
      <c r="M2110" s="4">
        <v>0</v>
      </c>
      <c r="N2110" s="4">
        <v>0</v>
      </c>
      <c r="O2110" s="4">
        <v>0</v>
      </c>
      <c r="P2110" s="4">
        <v>0</v>
      </c>
      <c r="Q2110" s="4">
        <v>0</v>
      </c>
      <c r="S2110" s="8">
        <f t="shared" si="96"/>
        <v>0</v>
      </c>
      <c r="T2110" s="8">
        <f t="shared" si="97"/>
        <v>0</v>
      </c>
      <c r="U2110" s="9" t="e">
        <f t="shared" si="98"/>
        <v>#DIV/0!</v>
      </c>
    </row>
    <row r="2111" spans="1:21" outlineLevel="1">
      <c r="A2111" s="1" t="s">
        <v>845</v>
      </c>
      <c r="E2111" s="4">
        <f>SUBTOTAL(9,E2101:E2110)</f>
        <v>-1.1368683772161603E-12</v>
      </c>
      <c r="F2111" s="4">
        <f>SUBTOTAL(9,F2101:F2110)</f>
        <v>3.979039320256561E-13</v>
      </c>
      <c r="G2111" s="4">
        <f>SUBTOTAL(9,G2101:G2110)</f>
        <v>-3.1761260288476478E-12</v>
      </c>
      <c r="H2111" s="4">
        <f>SUBTOTAL(9,H2101:H2110)</f>
        <v>-1.8189894035458565E-12</v>
      </c>
      <c r="I2111" s="4">
        <f>SUBTOTAL(9,I2101:I2110)</f>
        <v>-2.2737367544323206E-13</v>
      </c>
      <c r="J2111" s="4">
        <f>SUBTOTAL(9,J2101:J2110)</f>
        <v>-4.5474735088646412E-13</v>
      </c>
      <c r="K2111" s="4">
        <f>SUBTOTAL(9,K2101:K2110)</f>
        <v>1.1013412404281553E-12</v>
      </c>
      <c r="L2111" s="4">
        <f>SUBTOTAL(9,L2101:L2110)</f>
        <v>3.1832314562052488E-12</v>
      </c>
      <c r="M2111" s="4">
        <f>SUBTOTAL(9,M2101:M2110)</f>
        <v>0</v>
      </c>
      <c r="N2111" s="4">
        <f>SUBTOTAL(9,N2101:N2110)</f>
        <v>0</v>
      </c>
      <c r="O2111" s="4">
        <f>SUBTOTAL(9,O2101:O2110)</f>
        <v>0</v>
      </c>
      <c r="P2111" s="4">
        <f>SUBTOTAL(9,P2101:P2110)</f>
        <v>0</v>
      </c>
      <c r="Q2111" s="4">
        <f>SUBTOTAL(9,Q2101:Q2110)</f>
        <v>0</v>
      </c>
      <c r="R2111" s="4">
        <f>SUBTOTAL(9,R2101:R2110)</f>
        <v>0</v>
      </c>
      <c r="S2111" s="8">
        <f t="shared" si="96"/>
        <v>5.3053857603420817E-13</v>
      </c>
      <c r="T2111" s="8">
        <f t="shared" si="97"/>
        <v>-5.3053857603420817E-13</v>
      </c>
      <c r="U2111" s="9">
        <f t="shared" si="98"/>
        <v>-1</v>
      </c>
    </row>
    <row r="2112" spans="1:21" outlineLevel="2">
      <c r="A2112" t="s">
        <v>579</v>
      </c>
      <c r="B2112" t="s">
        <v>580</v>
      </c>
      <c r="C2112" t="s">
        <v>19</v>
      </c>
      <c r="D2112" t="s">
        <v>20</v>
      </c>
      <c r="E2112" s="4">
        <v>0</v>
      </c>
      <c r="F2112" s="4">
        <v>0</v>
      </c>
      <c r="G2112" s="4">
        <v>0</v>
      </c>
      <c r="H2112" s="4">
        <v>0</v>
      </c>
      <c r="I2112" s="4">
        <v>0</v>
      </c>
      <c r="J2112" s="4">
        <v>0</v>
      </c>
      <c r="K2112" s="4">
        <v>6909.36</v>
      </c>
      <c r="L2112" s="4">
        <v>0</v>
      </c>
      <c r="M2112" s="4">
        <v>2083.0100000000002</v>
      </c>
      <c r="N2112" s="4">
        <v>0</v>
      </c>
      <c r="O2112" s="4">
        <v>0</v>
      </c>
      <c r="P2112" s="4">
        <v>0</v>
      </c>
      <c r="Q2112" s="4">
        <v>0</v>
      </c>
      <c r="S2112" s="8">
        <f t="shared" si="96"/>
        <v>347.16833333333335</v>
      </c>
      <c r="T2112" s="8">
        <f t="shared" si="97"/>
        <v>-347.16833333333335</v>
      </c>
      <c r="U2112" s="9">
        <f t="shared" si="98"/>
        <v>-1</v>
      </c>
    </row>
    <row r="2113" spans="1:21" outlineLevel="2">
      <c r="A2113" t="s">
        <v>579</v>
      </c>
      <c r="B2113" t="s">
        <v>580</v>
      </c>
      <c r="C2113" t="s">
        <v>127</v>
      </c>
      <c r="D2113" t="s">
        <v>120</v>
      </c>
      <c r="E2113" s="4">
        <v>0</v>
      </c>
      <c r="F2113" s="4">
        <v>0</v>
      </c>
      <c r="G2113" s="4">
        <v>0</v>
      </c>
      <c r="H2113" s="4">
        <v>0</v>
      </c>
      <c r="I2113" s="4">
        <v>0</v>
      </c>
      <c r="J2113" s="4">
        <v>0</v>
      </c>
      <c r="K2113" s="4">
        <v>0</v>
      </c>
      <c r="L2113" s="4">
        <v>0</v>
      </c>
      <c r="M2113" s="4">
        <v>746</v>
      </c>
      <c r="N2113" s="4">
        <v>0</v>
      </c>
      <c r="O2113" s="4">
        <v>0</v>
      </c>
      <c r="P2113" s="4">
        <v>0</v>
      </c>
      <c r="Q2113" s="4">
        <v>0</v>
      </c>
      <c r="S2113" s="8">
        <f t="shared" si="96"/>
        <v>124.33333333333333</v>
      </c>
      <c r="T2113" s="8">
        <f t="shared" si="97"/>
        <v>-124.33333333333333</v>
      </c>
      <c r="U2113" s="9">
        <f t="shared" si="98"/>
        <v>-1</v>
      </c>
    </row>
    <row r="2114" spans="1:21" outlineLevel="1">
      <c r="A2114" s="1" t="s">
        <v>846</v>
      </c>
      <c r="E2114" s="4">
        <f>SUBTOTAL(9,E2112:E2113)</f>
        <v>0</v>
      </c>
      <c r="F2114" s="4">
        <f>SUBTOTAL(9,F2112:F2113)</f>
        <v>0</v>
      </c>
      <c r="G2114" s="4">
        <f>SUBTOTAL(9,G2112:G2113)</f>
        <v>0</v>
      </c>
      <c r="H2114" s="4">
        <f>SUBTOTAL(9,H2112:H2113)</f>
        <v>0</v>
      </c>
      <c r="I2114" s="4">
        <f>SUBTOTAL(9,I2112:I2113)</f>
        <v>0</v>
      </c>
      <c r="J2114" s="4">
        <f>SUBTOTAL(9,J2112:J2113)</f>
        <v>0</v>
      </c>
      <c r="K2114" s="4">
        <f>SUBTOTAL(9,K2112:K2113)</f>
        <v>6909.36</v>
      </c>
      <c r="L2114" s="4">
        <f>SUBTOTAL(9,L2112:L2113)</f>
        <v>0</v>
      </c>
      <c r="M2114" s="4">
        <f>SUBTOTAL(9,M2112:M2113)</f>
        <v>2829.01</v>
      </c>
      <c r="N2114" s="4">
        <f>SUBTOTAL(9,N2112:N2113)</f>
        <v>0</v>
      </c>
      <c r="O2114" s="4">
        <f>SUBTOTAL(9,O2112:O2113)</f>
        <v>0</v>
      </c>
      <c r="P2114" s="4">
        <f>SUBTOTAL(9,P2112:P2113)</f>
        <v>0</v>
      </c>
      <c r="Q2114" s="4">
        <f>SUBTOTAL(9,Q2112:Q2113)</f>
        <v>0</v>
      </c>
      <c r="R2114" s="4">
        <f>SUBTOTAL(9,R2112:R2113)</f>
        <v>0</v>
      </c>
      <c r="S2114" s="8">
        <f t="shared" si="96"/>
        <v>471.50166666666672</v>
      </c>
      <c r="T2114" s="8">
        <f t="shared" si="97"/>
        <v>-471.50166666666672</v>
      </c>
      <c r="U2114" s="9">
        <f t="shared" si="98"/>
        <v>-1</v>
      </c>
    </row>
    <row r="2115" spans="1:21" outlineLevel="2">
      <c r="A2115" t="s">
        <v>581</v>
      </c>
      <c r="B2115" t="s">
        <v>582</v>
      </c>
      <c r="C2115" t="s">
        <v>138</v>
      </c>
      <c r="D2115" t="s">
        <v>139</v>
      </c>
      <c r="E2115" s="4">
        <v>4.5474735088646412E-13</v>
      </c>
      <c r="F2115" s="4">
        <v>1.1368683772161603E-13</v>
      </c>
      <c r="G2115" s="4">
        <v>2.2737367544323206E-13</v>
      </c>
      <c r="H2115" s="4">
        <v>-2.2737367544323206E-13</v>
      </c>
      <c r="I2115" s="4">
        <v>9.0949470177292824E-13</v>
      </c>
      <c r="J2115" s="4">
        <v>0</v>
      </c>
      <c r="K2115" s="4">
        <v>-4.5474735088646412E-13</v>
      </c>
      <c r="L2115" s="4">
        <v>4.5474735088646412E-13</v>
      </c>
      <c r="M2115" s="4">
        <v>0</v>
      </c>
      <c r="N2115" s="4">
        <v>0</v>
      </c>
      <c r="O2115" s="4">
        <v>0</v>
      </c>
      <c r="P2115" s="4">
        <v>0</v>
      </c>
      <c r="Q2115" s="4">
        <v>0</v>
      </c>
      <c r="S2115" s="8">
        <f t="shared" ref="S2115:S2178" si="99">AVERAGE(L2115:Q2115)</f>
        <v>7.5791225147744016E-14</v>
      </c>
      <c r="T2115" s="8">
        <f t="shared" ref="T2115:T2178" si="100">R2115-S2115</f>
        <v>-7.5791225147744016E-14</v>
      </c>
      <c r="U2115" s="9">
        <f t="shared" ref="U2115:U2178" si="101">(R2115-S2115)/S2115</f>
        <v>-1</v>
      </c>
    </row>
    <row r="2116" spans="1:21" outlineLevel="2">
      <c r="A2116" t="s">
        <v>581</v>
      </c>
      <c r="B2116" t="s">
        <v>582</v>
      </c>
      <c r="C2116" t="s">
        <v>29</v>
      </c>
      <c r="D2116" t="s">
        <v>30</v>
      </c>
      <c r="E2116" s="4">
        <v>2.2737367544323206E-13</v>
      </c>
      <c r="F2116" s="4">
        <v>-2.2737367544323206E-13</v>
      </c>
      <c r="G2116" s="4">
        <v>0</v>
      </c>
      <c r="H2116" s="4">
        <v>0</v>
      </c>
      <c r="I2116" s="4">
        <v>-2.2737367544323206E-13</v>
      </c>
      <c r="J2116" s="4">
        <v>4.5474735088646412E-13</v>
      </c>
      <c r="K2116" s="4">
        <v>-2.2737367544323206E-13</v>
      </c>
      <c r="L2116" s="4">
        <v>4.5474735088646412E-13</v>
      </c>
      <c r="M2116" s="4">
        <v>0</v>
      </c>
      <c r="N2116" s="4">
        <v>0</v>
      </c>
      <c r="O2116" s="4">
        <v>0</v>
      </c>
      <c r="P2116" s="4">
        <v>0</v>
      </c>
      <c r="Q2116" s="4">
        <v>0</v>
      </c>
      <c r="S2116" s="8">
        <f t="shared" si="99"/>
        <v>7.5791225147744016E-14</v>
      </c>
      <c r="T2116" s="8">
        <f t="shared" si="100"/>
        <v>-7.5791225147744016E-14</v>
      </c>
      <c r="U2116" s="9">
        <f t="shared" si="101"/>
        <v>-1</v>
      </c>
    </row>
    <row r="2117" spans="1:21" outlineLevel="2">
      <c r="A2117" t="s">
        <v>581</v>
      </c>
      <c r="B2117" t="s">
        <v>582</v>
      </c>
      <c r="C2117" t="s">
        <v>144</v>
      </c>
      <c r="D2117" t="s">
        <v>145</v>
      </c>
      <c r="E2117" s="4">
        <v>5.6843418860808015E-14</v>
      </c>
      <c r="F2117" s="4">
        <v>0</v>
      </c>
      <c r="G2117" s="4">
        <v>0</v>
      </c>
      <c r="H2117" s="4">
        <v>0</v>
      </c>
      <c r="I2117" s="4">
        <v>0</v>
      </c>
      <c r="J2117" s="4">
        <v>0</v>
      </c>
      <c r="K2117" s="4">
        <v>0</v>
      </c>
      <c r="L2117" s="4">
        <v>0</v>
      </c>
      <c r="M2117" s="4">
        <v>0</v>
      </c>
      <c r="N2117" s="4">
        <v>0</v>
      </c>
      <c r="O2117" s="4">
        <v>0</v>
      </c>
      <c r="P2117" s="4">
        <v>0</v>
      </c>
      <c r="Q2117" s="4">
        <v>0</v>
      </c>
      <c r="S2117" s="8">
        <f t="shared" si="99"/>
        <v>0</v>
      </c>
      <c r="T2117" s="8">
        <f t="shared" si="100"/>
        <v>0</v>
      </c>
      <c r="U2117" s="9" t="e">
        <f t="shared" si="101"/>
        <v>#DIV/0!</v>
      </c>
    </row>
    <row r="2118" spans="1:21" outlineLevel="2">
      <c r="A2118" t="s">
        <v>581</v>
      </c>
      <c r="B2118" t="s">
        <v>582</v>
      </c>
      <c r="C2118" t="s">
        <v>146</v>
      </c>
      <c r="D2118" t="s">
        <v>147</v>
      </c>
      <c r="E2118" s="4">
        <v>0</v>
      </c>
      <c r="F2118" s="4">
        <v>4.2632564145606011E-14</v>
      </c>
      <c r="G2118" s="4">
        <v>5.6843418860808015E-14</v>
      </c>
      <c r="H2118" s="4">
        <v>-5.6843418860808015E-14</v>
      </c>
      <c r="I2118" s="4">
        <v>5.6843418860808015E-14</v>
      </c>
      <c r="J2118" s="4">
        <v>-5.6843418860808015E-14</v>
      </c>
      <c r="K2118" s="4">
        <v>-1.7053025658242404E-13</v>
      </c>
      <c r="L2118" s="4">
        <v>0</v>
      </c>
      <c r="M2118" s="4">
        <v>0</v>
      </c>
      <c r="N2118" s="4">
        <v>0</v>
      </c>
      <c r="O2118" s="4">
        <v>0</v>
      </c>
      <c r="P2118" s="4">
        <v>0</v>
      </c>
      <c r="Q2118" s="4">
        <v>0</v>
      </c>
      <c r="S2118" s="8">
        <f t="shared" si="99"/>
        <v>0</v>
      </c>
      <c r="T2118" s="8">
        <f t="shared" si="100"/>
        <v>0</v>
      </c>
      <c r="U2118" s="9" t="e">
        <f t="shared" si="101"/>
        <v>#DIV/0!</v>
      </c>
    </row>
    <row r="2119" spans="1:21" outlineLevel="2">
      <c r="A2119" t="s">
        <v>581</v>
      </c>
      <c r="B2119" t="s">
        <v>582</v>
      </c>
      <c r="C2119" t="s">
        <v>150</v>
      </c>
      <c r="D2119" t="s">
        <v>151</v>
      </c>
      <c r="E2119" s="4">
        <v>0</v>
      </c>
      <c r="F2119" s="4">
        <v>0</v>
      </c>
      <c r="G2119" s="4">
        <v>0</v>
      </c>
      <c r="H2119" s="4">
        <v>0</v>
      </c>
      <c r="I2119" s="4">
        <v>0</v>
      </c>
      <c r="J2119" s="4">
        <v>0</v>
      </c>
      <c r="K2119" s="4">
        <v>0</v>
      </c>
      <c r="L2119" s="4">
        <v>0</v>
      </c>
      <c r="M2119" s="4">
        <v>0</v>
      </c>
      <c r="N2119" s="4">
        <v>0</v>
      </c>
      <c r="O2119" s="4">
        <v>0</v>
      </c>
      <c r="P2119" s="4">
        <v>0</v>
      </c>
      <c r="Q2119" s="4">
        <v>0</v>
      </c>
      <c r="S2119" s="8">
        <f t="shared" si="99"/>
        <v>0</v>
      </c>
      <c r="T2119" s="8">
        <f t="shared" si="100"/>
        <v>0</v>
      </c>
      <c r="U2119" s="9" t="e">
        <f t="shared" si="101"/>
        <v>#DIV/0!</v>
      </c>
    </row>
    <row r="2120" spans="1:21" outlineLevel="2">
      <c r="A2120" t="s">
        <v>581</v>
      </c>
      <c r="B2120" t="s">
        <v>582</v>
      </c>
      <c r="C2120" t="s">
        <v>152</v>
      </c>
      <c r="D2120" t="s">
        <v>153</v>
      </c>
      <c r="E2120" s="4">
        <v>-5.6843418860808015E-14</v>
      </c>
      <c r="F2120" s="4">
        <v>1.4210854715202004E-14</v>
      </c>
      <c r="G2120" s="4">
        <v>0</v>
      </c>
      <c r="H2120" s="4">
        <v>0</v>
      </c>
      <c r="I2120" s="4">
        <v>2.8421709430404007E-14</v>
      </c>
      <c r="J2120" s="4">
        <v>0</v>
      </c>
      <c r="K2120" s="4">
        <v>0</v>
      </c>
      <c r="L2120" s="4">
        <v>0</v>
      </c>
      <c r="M2120" s="4">
        <v>0</v>
      </c>
      <c r="N2120" s="4">
        <v>0</v>
      </c>
      <c r="O2120" s="4">
        <v>0</v>
      </c>
      <c r="P2120" s="4">
        <v>0</v>
      </c>
      <c r="Q2120" s="4">
        <v>0</v>
      </c>
      <c r="S2120" s="8">
        <f t="shared" si="99"/>
        <v>0</v>
      </c>
      <c r="T2120" s="8">
        <f t="shared" si="100"/>
        <v>0</v>
      </c>
      <c r="U2120" s="9" t="e">
        <f t="shared" si="101"/>
        <v>#DIV/0!</v>
      </c>
    </row>
    <row r="2121" spans="1:21" outlineLevel="2">
      <c r="A2121" t="s">
        <v>581</v>
      </c>
      <c r="B2121" t="s">
        <v>582</v>
      </c>
      <c r="C2121" t="s">
        <v>154</v>
      </c>
      <c r="D2121" t="s">
        <v>155</v>
      </c>
      <c r="E2121" s="4">
        <v>1.4210854715202004E-14</v>
      </c>
      <c r="F2121" s="4">
        <v>0</v>
      </c>
      <c r="G2121" s="4">
        <v>0</v>
      </c>
      <c r="H2121" s="4">
        <v>0</v>
      </c>
      <c r="I2121" s="4">
        <v>0</v>
      </c>
      <c r="J2121" s="4">
        <v>0</v>
      </c>
      <c r="K2121" s="4">
        <v>0</v>
      </c>
      <c r="L2121" s="4">
        <v>0</v>
      </c>
      <c r="M2121" s="4">
        <v>0</v>
      </c>
      <c r="N2121" s="4">
        <v>0</v>
      </c>
      <c r="O2121" s="4">
        <v>0</v>
      </c>
      <c r="P2121" s="4">
        <v>0</v>
      </c>
      <c r="Q2121" s="4">
        <v>0</v>
      </c>
      <c r="S2121" s="8">
        <f t="shared" si="99"/>
        <v>0</v>
      </c>
      <c r="T2121" s="8">
        <f t="shared" si="100"/>
        <v>0</v>
      </c>
      <c r="U2121" s="9" t="e">
        <f t="shared" si="101"/>
        <v>#DIV/0!</v>
      </c>
    </row>
    <row r="2122" spans="1:21" outlineLevel="2">
      <c r="A2122" t="s">
        <v>581</v>
      </c>
      <c r="B2122" t="s">
        <v>582</v>
      </c>
      <c r="C2122" t="s">
        <v>164</v>
      </c>
      <c r="D2122" t="s">
        <v>165</v>
      </c>
      <c r="E2122" s="4">
        <v>0</v>
      </c>
      <c r="F2122" s="4">
        <v>0</v>
      </c>
      <c r="G2122" s="4">
        <v>0</v>
      </c>
      <c r="H2122" s="4">
        <v>0</v>
      </c>
      <c r="I2122" s="4">
        <v>0</v>
      </c>
      <c r="J2122" s="4">
        <v>0</v>
      </c>
      <c r="K2122" s="4">
        <v>0</v>
      </c>
      <c r="L2122" s="4">
        <v>0</v>
      </c>
      <c r="M2122" s="4">
        <v>0</v>
      </c>
      <c r="N2122" s="4">
        <v>0</v>
      </c>
      <c r="O2122" s="4">
        <v>0</v>
      </c>
      <c r="P2122" s="4">
        <v>0</v>
      </c>
      <c r="Q2122" s="4">
        <v>0</v>
      </c>
      <c r="S2122" s="8">
        <f t="shared" si="99"/>
        <v>0</v>
      </c>
      <c r="T2122" s="8">
        <f t="shared" si="100"/>
        <v>0</v>
      </c>
      <c r="U2122" s="9" t="e">
        <f t="shared" si="101"/>
        <v>#DIV/0!</v>
      </c>
    </row>
    <row r="2123" spans="1:21" outlineLevel="1">
      <c r="A2123" s="1" t="s">
        <v>847</v>
      </c>
      <c r="E2123" s="4">
        <f>SUBTOTAL(9,E2115:E2122)</f>
        <v>6.9633188104489818E-13</v>
      </c>
      <c r="F2123" s="4">
        <f>SUBTOTAL(9,F2115:F2122)</f>
        <v>-5.6843418860808015E-14</v>
      </c>
      <c r="G2123" s="4">
        <f>SUBTOTAL(9,G2115:G2122)</f>
        <v>2.8421709430404007E-13</v>
      </c>
      <c r="H2123" s="4">
        <f>SUBTOTAL(9,H2115:H2122)</f>
        <v>-2.8421709430404007E-13</v>
      </c>
      <c r="I2123" s="4">
        <f>SUBTOTAL(9,I2115:I2122)</f>
        <v>7.673861546209082E-13</v>
      </c>
      <c r="J2123" s="4">
        <f>SUBTOTAL(9,J2115:J2122)</f>
        <v>3.979039320256561E-13</v>
      </c>
      <c r="K2123" s="4">
        <f>SUBTOTAL(9,K2115:K2122)</f>
        <v>-8.5265128291212022E-13</v>
      </c>
      <c r="L2123" s="4">
        <f>SUBTOTAL(9,L2115:L2122)</f>
        <v>9.0949470177292824E-13</v>
      </c>
      <c r="M2123" s="4">
        <f>SUBTOTAL(9,M2115:M2122)</f>
        <v>0</v>
      </c>
      <c r="N2123" s="4">
        <f>SUBTOTAL(9,N2115:N2122)</f>
        <v>0</v>
      </c>
      <c r="O2123" s="4">
        <f>SUBTOTAL(9,O2115:O2122)</f>
        <v>0</v>
      </c>
      <c r="P2123" s="4">
        <f>SUBTOTAL(9,P2115:P2122)</f>
        <v>0</v>
      </c>
      <c r="Q2123" s="4">
        <f>SUBTOTAL(9,Q2115:Q2122)</f>
        <v>0</v>
      </c>
      <c r="R2123" s="4">
        <f>SUBTOTAL(9,R2115:R2122)</f>
        <v>0</v>
      </c>
      <c r="S2123" s="8">
        <f t="shared" si="99"/>
        <v>1.5158245029548803E-13</v>
      </c>
      <c r="T2123" s="8">
        <f t="shared" si="100"/>
        <v>-1.5158245029548803E-13</v>
      </c>
      <c r="U2123" s="9">
        <f t="shared" si="101"/>
        <v>-1</v>
      </c>
    </row>
    <row r="2124" spans="1:21" outlineLevel="2">
      <c r="A2124" t="s">
        <v>583</v>
      </c>
      <c r="B2124" t="s">
        <v>584</v>
      </c>
      <c r="C2124" t="s">
        <v>136</v>
      </c>
      <c r="D2124" t="s">
        <v>137</v>
      </c>
      <c r="E2124" s="4">
        <v>0</v>
      </c>
      <c r="F2124" s="4">
        <v>0</v>
      </c>
      <c r="G2124" s="4">
        <v>0</v>
      </c>
      <c r="H2124" s="4">
        <v>0</v>
      </c>
      <c r="I2124" s="4">
        <v>-4.5474735088646412E-13</v>
      </c>
      <c r="J2124" s="4">
        <v>9.0949470177292824E-13</v>
      </c>
      <c r="K2124" s="4">
        <v>-1.8189894035458565E-12</v>
      </c>
      <c r="L2124" s="4">
        <v>0</v>
      </c>
      <c r="M2124" s="4">
        <v>0</v>
      </c>
      <c r="N2124" s="4">
        <v>0</v>
      </c>
      <c r="O2124" s="4">
        <v>0</v>
      </c>
      <c r="P2124" s="4">
        <v>0</v>
      </c>
      <c r="Q2124" s="4">
        <v>0</v>
      </c>
      <c r="S2124" s="8">
        <f t="shared" si="99"/>
        <v>0</v>
      </c>
      <c r="T2124" s="8">
        <f t="shared" si="100"/>
        <v>0</v>
      </c>
      <c r="U2124" s="9" t="e">
        <f t="shared" si="101"/>
        <v>#DIV/0!</v>
      </c>
    </row>
    <row r="2125" spans="1:21" outlineLevel="2">
      <c r="A2125" t="s">
        <v>583</v>
      </c>
      <c r="B2125" t="s">
        <v>584</v>
      </c>
      <c r="C2125" t="s">
        <v>146</v>
      </c>
      <c r="D2125" t="s">
        <v>147</v>
      </c>
      <c r="E2125" s="4">
        <v>0</v>
      </c>
      <c r="F2125" s="4">
        <v>0</v>
      </c>
      <c r="G2125" s="4">
        <v>0</v>
      </c>
      <c r="H2125" s="4">
        <v>-2.8421709430404007E-14</v>
      </c>
      <c r="I2125" s="4">
        <v>2.8421709430404007E-14</v>
      </c>
      <c r="J2125" s="4">
        <v>2.8421709430404007E-14</v>
      </c>
      <c r="K2125" s="4">
        <v>0</v>
      </c>
      <c r="L2125" s="4">
        <v>-5.6843418860808015E-14</v>
      </c>
      <c r="M2125" s="4">
        <v>0</v>
      </c>
      <c r="N2125" s="4">
        <v>0</v>
      </c>
      <c r="O2125" s="4">
        <v>0</v>
      </c>
      <c r="P2125" s="4">
        <v>0</v>
      </c>
      <c r="Q2125" s="4">
        <v>0</v>
      </c>
      <c r="S2125" s="8">
        <f t="shared" si="99"/>
        <v>-9.473903143468002E-15</v>
      </c>
      <c r="T2125" s="8">
        <f t="shared" si="100"/>
        <v>9.473903143468002E-15</v>
      </c>
      <c r="U2125" s="9">
        <f t="shared" si="101"/>
        <v>-1</v>
      </c>
    </row>
    <row r="2126" spans="1:21" outlineLevel="2">
      <c r="A2126" t="s">
        <v>583</v>
      </c>
      <c r="B2126" t="s">
        <v>584</v>
      </c>
      <c r="C2126" t="s">
        <v>152</v>
      </c>
      <c r="D2126" t="s">
        <v>153</v>
      </c>
      <c r="E2126" s="4">
        <v>0</v>
      </c>
      <c r="F2126" s="4">
        <v>0</v>
      </c>
      <c r="G2126" s="4">
        <v>8.5265128291212022E-14</v>
      </c>
      <c r="H2126" s="4">
        <v>-2.8421709430404007E-14</v>
      </c>
      <c r="I2126" s="4">
        <v>5.6843418860808015E-14</v>
      </c>
      <c r="J2126" s="4">
        <v>0</v>
      </c>
      <c r="K2126" s="4">
        <v>1.1368683772161603E-13</v>
      </c>
      <c r="L2126" s="4">
        <v>-1.1368683772161603E-13</v>
      </c>
      <c r="M2126" s="4">
        <v>0</v>
      </c>
      <c r="N2126" s="4">
        <v>0</v>
      </c>
      <c r="O2126" s="4">
        <v>0</v>
      </c>
      <c r="P2126" s="4">
        <v>0</v>
      </c>
      <c r="Q2126" s="4">
        <v>0</v>
      </c>
      <c r="S2126" s="8">
        <f t="shared" si="99"/>
        <v>-1.8947806286936004E-14</v>
      </c>
      <c r="T2126" s="8">
        <f t="shared" si="100"/>
        <v>1.8947806286936004E-14</v>
      </c>
      <c r="U2126" s="9">
        <f t="shared" si="101"/>
        <v>-1</v>
      </c>
    </row>
    <row r="2127" spans="1:21" outlineLevel="2">
      <c r="A2127" t="s">
        <v>583</v>
      </c>
      <c r="B2127" t="s">
        <v>584</v>
      </c>
      <c r="C2127" t="s">
        <v>154</v>
      </c>
      <c r="D2127" t="s">
        <v>155</v>
      </c>
      <c r="E2127" s="4">
        <v>0</v>
      </c>
      <c r="F2127" s="4">
        <v>0</v>
      </c>
      <c r="G2127" s="4">
        <v>1.4210854715202004E-14</v>
      </c>
      <c r="H2127" s="4">
        <v>0</v>
      </c>
      <c r="I2127" s="4">
        <v>0</v>
      </c>
      <c r="J2127" s="4">
        <v>0</v>
      </c>
      <c r="K2127" s="4">
        <v>0</v>
      </c>
      <c r="L2127" s="4">
        <v>0</v>
      </c>
      <c r="M2127" s="4">
        <v>0</v>
      </c>
      <c r="N2127" s="4">
        <v>0</v>
      </c>
      <c r="O2127" s="4">
        <v>0</v>
      </c>
      <c r="P2127" s="4">
        <v>0</v>
      </c>
      <c r="Q2127" s="4">
        <v>0</v>
      </c>
      <c r="S2127" s="8">
        <f t="shared" si="99"/>
        <v>0</v>
      </c>
      <c r="T2127" s="8">
        <f t="shared" si="100"/>
        <v>0</v>
      </c>
      <c r="U2127" s="9" t="e">
        <f t="shared" si="101"/>
        <v>#DIV/0!</v>
      </c>
    </row>
    <row r="2128" spans="1:21" outlineLevel="2">
      <c r="A2128" t="s">
        <v>583</v>
      </c>
      <c r="B2128" t="s">
        <v>584</v>
      </c>
      <c r="C2128" t="s">
        <v>170</v>
      </c>
      <c r="D2128" t="s">
        <v>171</v>
      </c>
      <c r="E2128" s="4">
        <v>0</v>
      </c>
      <c r="F2128" s="4">
        <v>0</v>
      </c>
      <c r="G2128" s="4">
        <v>0</v>
      </c>
      <c r="H2128" s="4">
        <v>0</v>
      </c>
      <c r="I2128" s="4">
        <v>0</v>
      </c>
      <c r="J2128" s="4">
        <v>0</v>
      </c>
      <c r="K2128" s="4">
        <v>0</v>
      </c>
      <c r="L2128" s="4">
        <v>0</v>
      </c>
      <c r="M2128" s="4">
        <v>0</v>
      </c>
      <c r="N2128" s="4">
        <v>0</v>
      </c>
      <c r="O2128" s="4">
        <v>0</v>
      </c>
      <c r="P2128" s="4">
        <v>0</v>
      </c>
      <c r="Q2128" s="4">
        <v>0</v>
      </c>
      <c r="S2128" s="8">
        <f t="shared" si="99"/>
        <v>0</v>
      </c>
      <c r="T2128" s="8">
        <f t="shared" si="100"/>
        <v>0</v>
      </c>
      <c r="U2128" s="9" t="e">
        <f t="shared" si="101"/>
        <v>#DIV/0!</v>
      </c>
    </row>
    <row r="2129" spans="1:21" outlineLevel="1">
      <c r="A2129" s="1" t="s">
        <v>848</v>
      </c>
      <c r="E2129" s="4">
        <f>SUBTOTAL(9,E2124:E2128)</f>
        <v>0</v>
      </c>
      <c r="F2129" s="4">
        <f>SUBTOTAL(9,F2124:F2128)</f>
        <v>0</v>
      </c>
      <c r="G2129" s="4">
        <f>SUBTOTAL(9,G2124:G2128)</f>
        <v>9.9475983006414026E-14</v>
      </c>
      <c r="H2129" s="4">
        <f>SUBTOTAL(9,H2124:H2128)</f>
        <v>-5.6843418860808015E-14</v>
      </c>
      <c r="I2129" s="4">
        <f>SUBTOTAL(9,I2124:I2128)</f>
        <v>-3.694822225952521E-13</v>
      </c>
      <c r="J2129" s="4">
        <f>SUBTOTAL(9,J2124:J2128)</f>
        <v>9.3791641120333225E-13</v>
      </c>
      <c r="K2129" s="4">
        <f>SUBTOTAL(9,K2124:K2128)</f>
        <v>-1.7053025658242404E-12</v>
      </c>
      <c r="L2129" s="4">
        <f>SUBTOTAL(9,L2124:L2128)</f>
        <v>-1.7053025658242404E-13</v>
      </c>
      <c r="M2129" s="4">
        <f>SUBTOTAL(9,M2124:M2128)</f>
        <v>0</v>
      </c>
      <c r="N2129" s="4">
        <f>SUBTOTAL(9,N2124:N2128)</f>
        <v>0</v>
      </c>
      <c r="O2129" s="4">
        <f>SUBTOTAL(9,O2124:O2128)</f>
        <v>0</v>
      </c>
      <c r="P2129" s="4">
        <f>SUBTOTAL(9,P2124:P2128)</f>
        <v>0</v>
      </c>
      <c r="Q2129" s="4">
        <f>SUBTOTAL(9,Q2124:Q2128)</f>
        <v>0</v>
      </c>
      <c r="R2129" s="4">
        <f>SUBTOTAL(9,R2124:R2128)</f>
        <v>0</v>
      </c>
      <c r="S2129" s="8">
        <f t="shared" si="99"/>
        <v>-2.8421709430404007E-14</v>
      </c>
      <c r="T2129" s="8">
        <f t="shared" si="100"/>
        <v>2.8421709430404007E-14</v>
      </c>
      <c r="U2129" s="9">
        <f t="shared" si="101"/>
        <v>-1</v>
      </c>
    </row>
    <row r="2130" spans="1:21" outlineLevel="2">
      <c r="A2130" t="s">
        <v>585</v>
      </c>
      <c r="B2130" t="s">
        <v>586</v>
      </c>
      <c r="C2130" t="s">
        <v>21</v>
      </c>
      <c r="D2130" t="s">
        <v>22</v>
      </c>
      <c r="E2130" s="4">
        <v>199.85000000000002</v>
      </c>
      <c r="F2130" s="4">
        <v>302.31</v>
      </c>
      <c r="G2130" s="4">
        <v>482.5</v>
      </c>
      <c r="H2130" s="4">
        <v>381.65</v>
      </c>
      <c r="I2130" s="4">
        <v>407.49</v>
      </c>
      <c r="J2130" s="4">
        <v>283.16000000000003</v>
      </c>
      <c r="K2130" s="4">
        <v>384.29</v>
      </c>
      <c r="L2130" s="4">
        <v>340.94000000000005</v>
      </c>
      <c r="M2130" s="4">
        <v>169.70999999999998</v>
      </c>
      <c r="N2130" s="4">
        <v>85.35</v>
      </c>
      <c r="O2130" s="4">
        <v>720.24</v>
      </c>
      <c r="P2130" s="4">
        <v>77.849999999999994</v>
      </c>
      <c r="Q2130" s="4">
        <v>726.33999999999992</v>
      </c>
      <c r="S2130" s="8">
        <f t="shared" si="99"/>
        <v>353.40499999999997</v>
      </c>
      <c r="T2130" s="8">
        <f t="shared" si="100"/>
        <v>-353.40499999999997</v>
      </c>
      <c r="U2130" s="9">
        <f t="shared" si="101"/>
        <v>-1</v>
      </c>
    </row>
    <row r="2131" spans="1:21" outlineLevel="2">
      <c r="A2131" t="s">
        <v>585</v>
      </c>
      <c r="B2131" t="s">
        <v>586</v>
      </c>
      <c r="C2131" t="s">
        <v>23</v>
      </c>
      <c r="D2131" t="s">
        <v>24</v>
      </c>
      <c r="E2131" s="4">
        <v>340.96000000000004</v>
      </c>
      <c r="F2131" s="4">
        <v>1325.54</v>
      </c>
      <c r="G2131" s="4">
        <v>780.04</v>
      </c>
      <c r="H2131" s="4">
        <v>1099.46</v>
      </c>
      <c r="I2131" s="4">
        <v>732.81999999999994</v>
      </c>
      <c r="J2131" s="4">
        <v>1095.02</v>
      </c>
      <c r="K2131" s="4">
        <v>74.069999999999993</v>
      </c>
      <c r="L2131" s="4">
        <v>1157.4000000000003</v>
      </c>
      <c r="M2131" s="4">
        <v>0</v>
      </c>
      <c r="N2131" s="4">
        <v>0</v>
      </c>
      <c r="O2131" s="4">
        <v>11.25</v>
      </c>
      <c r="P2131" s="4">
        <v>959.04</v>
      </c>
      <c r="Q2131" s="4">
        <v>344.25</v>
      </c>
      <c r="S2131" s="8">
        <f t="shared" si="99"/>
        <v>411.99000000000007</v>
      </c>
      <c r="T2131" s="8">
        <f t="shared" si="100"/>
        <v>-411.99000000000007</v>
      </c>
      <c r="U2131" s="9">
        <f t="shared" si="101"/>
        <v>-1</v>
      </c>
    </row>
    <row r="2132" spans="1:21" outlineLevel="2">
      <c r="A2132" t="s">
        <v>585</v>
      </c>
      <c r="B2132" t="s">
        <v>586</v>
      </c>
      <c r="C2132" t="s">
        <v>25</v>
      </c>
      <c r="D2132" t="s">
        <v>26</v>
      </c>
      <c r="E2132" s="4">
        <v>0</v>
      </c>
      <c r="F2132" s="4">
        <v>1050.44</v>
      </c>
      <c r="G2132" s="4">
        <v>357.57</v>
      </c>
      <c r="H2132" s="4">
        <v>0</v>
      </c>
      <c r="I2132" s="4">
        <v>0</v>
      </c>
      <c r="J2132" s="4">
        <v>0</v>
      </c>
      <c r="K2132" s="4">
        <v>0</v>
      </c>
      <c r="L2132" s="4">
        <v>0</v>
      </c>
      <c r="M2132" s="4">
        <v>487.96</v>
      </c>
      <c r="N2132" s="4">
        <v>436.78</v>
      </c>
      <c r="O2132" s="4">
        <v>966.3599999999999</v>
      </c>
      <c r="P2132" s="4">
        <v>366.92</v>
      </c>
      <c r="Q2132" s="4">
        <v>371.01</v>
      </c>
      <c r="S2132" s="8">
        <f t="shared" si="99"/>
        <v>438.17166666666662</v>
      </c>
      <c r="T2132" s="8">
        <f t="shared" si="100"/>
        <v>-438.17166666666662</v>
      </c>
      <c r="U2132" s="9">
        <f t="shared" si="101"/>
        <v>-1</v>
      </c>
    </row>
    <row r="2133" spans="1:21" outlineLevel="2">
      <c r="A2133" t="s">
        <v>585</v>
      </c>
      <c r="B2133" t="s">
        <v>586</v>
      </c>
      <c r="C2133" t="s">
        <v>27</v>
      </c>
      <c r="D2133" t="s">
        <v>28</v>
      </c>
      <c r="E2133" s="4">
        <v>0</v>
      </c>
      <c r="F2133" s="4">
        <v>0</v>
      </c>
      <c r="G2133" s="4">
        <v>0</v>
      </c>
      <c r="H2133" s="4">
        <v>0</v>
      </c>
      <c r="I2133" s="4">
        <v>0</v>
      </c>
      <c r="J2133" s="4">
        <v>0</v>
      </c>
      <c r="K2133" s="4">
        <v>0</v>
      </c>
      <c r="L2133" s="4">
        <v>0</v>
      </c>
      <c r="M2133" s="4">
        <v>177.79</v>
      </c>
      <c r="N2133" s="4">
        <v>0</v>
      </c>
      <c r="O2133" s="4">
        <v>1230.4000000000001</v>
      </c>
      <c r="P2133" s="4">
        <v>1049.5900000000001</v>
      </c>
      <c r="Q2133" s="4">
        <v>1437.1</v>
      </c>
      <c r="S2133" s="8">
        <f t="shared" si="99"/>
        <v>649.14666666666665</v>
      </c>
      <c r="T2133" s="8">
        <f t="shared" si="100"/>
        <v>-649.14666666666665</v>
      </c>
      <c r="U2133" s="9">
        <f t="shared" si="101"/>
        <v>-1</v>
      </c>
    </row>
    <row r="2134" spans="1:21" outlineLevel="2">
      <c r="A2134" t="s">
        <v>585</v>
      </c>
      <c r="B2134" t="s">
        <v>586</v>
      </c>
      <c r="C2134" t="s">
        <v>194</v>
      </c>
      <c r="D2134" t="s">
        <v>195</v>
      </c>
      <c r="E2134" s="4">
        <v>0</v>
      </c>
      <c r="F2134" s="4">
        <v>0</v>
      </c>
      <c r="G2134" s="4">
        <v>0</v>
      </c>
      <c r="H2134" s="4">
        <v>0</v>
      </c>
      <c r="I2134" s="4">
        <v>0</v>
      </c>
      <c r="J2134" s="4">
        <v>0</v>
      </c>
      <c r="K2134" s="4">
        <v>0</v>
      </c>
      <c r="L2134" s="4">
        <v>0</v>
      </c>
      <c r="M2134" s="4">
        <v>0</v>
      </c>
      <c r="N2134" s="4">
        <v>85.39</v>
      </c>
      <c r="O2134" s="4">
        <v>227.7</v>
      </c>
      <c r="P2134" s="4">
        <v>2846.25</v>
      </c>
      <c r="Q2134" s="4">
        <v>0</v>
      </c>
      <c r="S2134" s="8">
        <f t="shared" si="99"/>
        <v>526.55666666666673</v>
      </c>
      <c r="T2134" s="8">
        <f t="shared" si="100"/>
        <v>-526.55666666666673</v>
      </c>
      <c r="U2134" s="9">
        <f t="shared" si="101"/>
        <v>-1</v>
      </c>
    </row>
    <row r="2135" spans="1:21" outlineLevel="2">
      <c r="A2135" t="s">
        <v>585</v>
      </c>
      <c r="B2135" t="s">
        <v>586</v>
      </c>
      <c r="C2135" t="s">
        <v>136</v>
      </c>
      <c r="D2135" t="s">
        <v>137</v>
      </c>
      <c r="E2135" s="4">
        <v>781126.15</v>
      </c>
      <c r="F2135" s="4">
        <v>674902.33</v>
      </c>
      <c r="G2135" s="4">
        <v>704475.85000000009</v>
      </c>
      <c r="H2135" s="4">
        <v>632196.49</v>
      </c>
      <c r="I2135" s="4">
        <v>563277.92000000004</v>
      </c>
      <c r="J2135" s="4">
        <v>657966.92000000004</v>
      </c>
      <c r="K2135" s="4">
        <v>592714.93000000005</v>
      </c>
      <c r="L2135" s="4">
        <v>606055.18999999994</v>
      </c>
      <c r="M2135" s="4">
        <v>602763.57999999996</v>
      </c>
      <c r="N2135" s="4">
        <v>607527.98</v>
      </c>
      <c r="O2135" s="4">
        <v>542978.15</v>
      </c>
      <c r="P2135" s="4">
        <v>691515.82</v>
      </c>
      <c r="Q2135" s="4">
        <v>674607.12</v>
      </c>
      <c r="S2135" s="8">
        <f t="shared" si="99"/>
        <v>620907.97333333327</v>
      </c>
      <c r="T2135" s="8">
        <f t="shared" si="100"/>
        <v>-620907.97333333327</v>
      </c>
      <c r="U2135" s="9">
        <f t="shared" si="101"/>
        <v>-1</v>
      </c>
    </row>
    <row r="2136" spans="1:21" outlineLevel="2">
      <c r="A2136" t="s">
        <v>585</v>
      </c>
      <c r="B2136" t="s">
        <v>586</v>
      </c>
      <c r="C2136" t="s">
        <v>138</v>
      </c>
      <c r="D2136" t="s">
        <v>139</v>
      </c>
      <c r="E2136" s="4">
        <v>51893.34</v>
      </c>
      <c r="F2136" s="4">
        <v>45502.090000000004</v>
      </c>
      <c r="G2136" s="4">
        <v>53084.01</v>
      </c>
      <c r="H2136" s="4">
        <v>45864.51</v>
      </c>
      <c r="I2136" s="4">
        <v>30954.25</v>
      </c>
      <c r="J2136" s="4">
        <v>32691.39</v>
      </c>
      <c r="K2136" s="4">
        <v>31769.47</v>
      </c>
      <c r="L2136" s="4">
        <v>29304.99</v>
      </c>
      <c r="M2136" s="4">
        <v>28832.260000000002</v>
      </c>
      <c r="N2136" s="4">
        <v>28822.440000000002</v>
      </c>
      <c r="O2136" s="4">
        <v>27674.71</v>
      </c>
      <c r="P2136" s="4">
        <v>31790.68</v>
      </c>
      <c r="Q2136" s="4">
        <v>30250.639999999999</v>
      </c>
      <c r="S2136" s="8">
        <f t="shared" si="99"/>
        <v>29445.953333333327</v>
      </c>
      <c r="T2136" s="8">
        <f t="shared" si="100"/>
        <v>-29445.953333333327</v>
      </c>
      <c r="U2136" s="9">
        <f t="shared" si="101"/>
        <v>-1</v>
      </c>
    </row>
    <row r="2137" spans="1:21" outlineLevel="2">
      <c r="A2137" t="s">
        <v>585</v>
      </c>
      <c r="B2137" t="s">
        <v>586</v>
      </c>
      <c r="C2137" t="s">
        <v>29</v>
      </c>
      <c r="D2137" t="s">
        <v>30</v>
      </c>
      <c r="E2137" s="4">
        <v>11602.130000000001</v>
      </c>
      <c r="F2137" s="4">
        <v>14422.990000000002</v>
      </c>
      <c r="G2137" s="4">
        <v>14708.5</v>
      </c>
      <c r="H2137" s="4">
        <v>8757.9500000000007</v>
      </c>
      <c r="I2137" s="4">
        <v>10241.529999999999</v>
      </c>
      <c r="J2137" s="4">
        <v>5965.29</v>
      </c>
      <c r="K2137" s="4">
        <v>9529.58</v>
      </c>
      <c r="L2137" s="4">
        <v>8633.75</v>
      </c>
      <c r="M2137" s="4">
        <v>6845.66</v>
      </c>
      <c r="N2137" s="4">
        <v>8369.56</v>
      </c>
      <c r="O2137" s="4">
        <v>8626.7099999999991</v>
      </c>
      <c r="P2137" s="4">
        <v>4602.66</v>
      </c>
      <c r="Q2137" s="4">
        <v>9064.14</v>
      </c>
      <c r="S2137" s="8">
        <f t="shared" si="99"/>
        <v>7690.413333333333</v>
      </c>
      <c r="T2137" s="8">
        <f t="shared" si="100"/>
        <v>-7690.413333333333</v>
      </c>
      <c r="U2137" s="9">
        <f t="shared" si="101"/>
        <v>-1</v>
      </c>
    </row>
    <row r="2138" spans="1:21" outlineLevel="2">
      <c r="A2138" t="s">
        <v>585</v>
      </c>
      <c r="B2138" t="s">
        <v>586</v>
      </c>
      <c r="C2138" t="s">
        <v>140</v>
      </c>
      <c r="D2138" t="s">
        <v>141</v>
      </c>
      <c r="E2138" s="4">
        <v>31928.04</v>
      </c>
      <c r="F2138" s="4">
        <v>51868.12</v>
      </c>
      <c r="G2138" s="4">
        <v>11686.82</v>
      </c>
      <c r="H2138" s="4">
        <v>470</v>
      </c>
      <c r="I2138" s="4">
        <v>0</v>
      </c>
      <c r="J2138" s="4">
        <v>40984</v>
      </c>
      <c r="K2138" s="4">
        <v>62839</v>
      </c>
      <c r="L2138" s="4">
        <v>12032</v>
      </c>
      <c r="M2138" s="4">
        <v>52875.040000000001</v>
      </c>
      <c r="N2138" s="4">
        <v>0</v>
      </c>
      <c r="O2138" s="4">
        <v>15243.12</v>
      </c>
      <c r="P2138" s="4">
        <v>24795.360000000001</v>
      </c>
      <c r="Q2138" s="4">
        <v>3085.62</v>
      </c>
      <c r="S2138" s="8">
        <f t="shared" si="99"/>
        <v>18005.189999999999</v>
      </c>
      <c r="T2138" s="8">
        <f t="shared" si="100"/>
        <v>-18005.189999999999</v>
      </c>
      <c r="U2138" s="9">
        <f t="shared" si="101"/>
        <v>-1</v>
      </c>
    </row>
    <row r="2139" spans="1:21" outlineLevel="2">
      <c r="A2139" t="s">
        <v>585</v>
      </c>
      <c r="B2139" t="s">
        <v>586</v>
      </c>
      <c r="C2139" t="s">
        <v>144</v>
      </c>
      <c r="D2139" t="s">
        <v>145</v>
      </c>
      <c r="E2139" s="4">
        <v>-49711.55</v>
      </c>
      <c r="F2139" s="4">
        <v>-1343.940000000003</v>
      </c>
      <c r="G2139" s="4">
        <v>6510.4700000000012</v>
      </c>
      <c r="H2139" s="4">
        <v>81.149999999996908</v>
      </c>
      <c r="I2139" s="4">
        <v>10919.599999999999</v>
      </c>
      <c r="J2139" s="4">
        <v>-3746.21</v>
      </c>
      <c r="K2139" s="4">
        <v>3344.1700000000005</v>
      </c>
      <c r="L2139" s="4">
        <v>1957.0700000000008</v>
      </c>
      <c r="M2139" s="4">
        <v>8812.16</v>
      </c>
      <c r="N2139" s="4">
        <v>10108.219999999998</v>
      </c>
      <c r="O2139" s="4">
        <v>-1583.2999999999988</v>
      </c>
      <c r="P2139" s="4">
        <v>6622.6999999999989</v>
      </c>
      <c r="Q2139" s="4">
        <v>-41423.61</v>
      </c>
      <c r="S2139" s="8">
        <f t="shared" si="99"/>
        <v>-2584.4600000000005</v>
      </c>
      <c r="T2139" s="8">
        <f t="shared" si="100"/>
        <v>2584.4600000000005</v>
      </c>
      <c r="U2139" s="9">
        <f t="shared" si="101"/>
        <v>-1</v>
      </c>
    </row>
    <row r="2140" spans="1:21" outlineLevel="2">
      <c r="A2140" t="s">
        <v>585</v>
      </c>
      <c r="B2140" t="s">
        <v>586</v>
      </c>
      <c r="C2140" t="s">
        <v>146</v>
      </c>
      <c r="D2140" t="s">
        <v>147</v>
      </c>
      <c r="E2140" s="4">
        <v>68234.960000000006</v>
      </c>
      <c r="F2140" s="4">
        <v>59723.789999999994</v>
      </c>
      <c r="G2140" s="4">
        <v>73558.87999999999</v>
      </c>
      <c r="H2140" s="4">
        <v>48988.21</v>
      </c>
      <c r="I2140" s="4">
        <v>47642.84</v>
      </c>
      <c r="J2140" s="4">
        <v>55404.68</v>
      </c>
      <c r="K2140" s="4">
        <v>51210.810000000005</v>
      </c>
      <c r="L2140" s="4">
        <v>51531.34</v>
      </c>
      <c r="M2140" s="4">
        <v>67435.19</v>
      </c>
      <c r="N2140" s="4">
        <v>54454.25</v>
      </c>
      <c r="O2140" s="4">
        <v>49812.07</v>
      </c>
      <c r="P2140" s="4">
        <v>66768.710000000006</v>
      </c>
      <c r="Q2140" s="4">
        <v>61170.61</v>
      </c>
      <c r="S2140" s="8">
        <f t="shared" si="99"/>
        <v>58528.695</v>
      </c>
      <c r="T2140" s="8">
        <f t="shared" si="100"/>
        <v>-58528.695</v>
      </c>
      <c r="U2140" s="9">
        <f t="shared" si="101"/>
        <v>-1</v>
      </c>
    </row>
    <row r="2141" spans="1:21" outlineLevel="2">
      <c r="A2141" t="s">
        <v>585</v>
      </c>
      <c r="B2141" t="s">
        <v>586</v>
      </c>
      <c r="C2141" t="s">
        <v>148</v>
      </c>
      <c r="D2141" t="s">
        <v>149</v>
      </c>
      <c r="E2141" s="4">
        <v>15927.619999999999</v>
      </c>
      <c r="F2141" s="4">
        <v>46400</v>
      </c>
      <c r="G2141" s="4">
        <v>-39900</v>
      </c>
      <c r="H2141" s="4">
        <v>0</v>
      </c>
      <c r="I2141" s="4">
        <v>1992.5</v>
      </c>
      <c r="J2141" s="4">
        <v>0</v>
      </c>
      <c r="K2141" s="4">
        <v>1992.5</v>
      </c>
      <c r="L2141" s="4">
        <v>0</v>
      </c>
      <c r="M2141" s="4">
        <v>0</v>
      </c>
      <c r="N2141" s="4">
        <v>1992.5</v>
      </c>
      <c r="O2141" s="4">
        <v>0</v>
      </c>
      <c r="P2141" s="4">
        <v>0</v>
      </c>
      <c r="Q2141" s="4">
        <v>0</v>
      </c>
      <c r="R2141" s="4">
        <v>1992.5</v>
      </c>
      <c r="S2141" s="8">
        <f t="shared" si="99"/>
        <v>332.08333333333331</v>
      </c>
      <c r="T2141" s="8">
        <f t="shared" si="100"/>
        <v>1660.4166666666667</v>
      </c>
      <c r="U2141" s="9">
        <f t="shared" si="101"/>
        <v>5.0000000000000009</v>
      </c>
    </row>
    <row r="2142" spans="1:21" outlineLevel="2">
      <c r="A2142" t="s">
        <v>585</v>
      </c>
      <c r="B2142" t="s">
        <v>586</v>
      </c>
      <c r="C2142" t="s">
        <v>152</v>
      </c>
      <c r="D2142" t="s">
        <v>153</v>
      </c>
      <c r="E2142" s="4">
        <v>62170.21</v>
      </c>
      <c r="F2142" s="4">
        <v>53890.62</v>
      </c>
      <c r="G2142" s="4">
        <v>72634.55</v>
      </c>
      <c r="H2142" s="4">
        <v>47865.55</v>
      </c>
      <c r="I2142" s="4">
        <v>43428.39</v>
      </c>
      <c r="J2142" s="4">
        <v>59929.009999999995</v>
      </c>
      <c r="K2142" s="4">
        <v>46230.65</v>
      </c>
      <c r="L2142" s="4">
        <v>47767.93</v>
      </c>
      <c r="M2142" s="4">
        <v>49792.439999999995</v>
      </c>
      <c r="N2142" s="4">
        <v>47214.26</v>
      </c>
      <c r="O2142" s="4">
        <v>43159.69</v>
      </c>
      <c r="P2142" s="4">
        <v>57820.180000000008</v>
      </c>
      <c r="Q2142" s="4">
        <v>52235.670000000006</v>
      </c>
      <c r="S2142" s="8">
        <f t="shared" si="99"/>
        <v>49665.028333333328</v>
      </c>
      <c r="T2142" s="8">
        <f t="shared" si="100"/>
        <v>-49665.028333333328</v>
      </c>
      <c r="U2142" s="9">
        <f t="shared" si="101"/>
        <v>-1</v>
      </c>
    </row>
    <row r="2143" spans="1:21" outlineLevel="2">
      <c r="A2143" t="s">
        <v>585</v>
      </c>
      <c r="B2143" t="s">
        <v>586</v>
      </c>
      <c r="C2143" t="s">
        <v>154</v>
      </c>
      <c r="D2143" t="s">
        <v>155</v>
      </c>
      <c r="E2143" s="4">
        <v>15899.25</v>
      </c>
      <c r="F2143" s="4">
        <v>2021.2099999999998</v>
      </c>
      <c r="G2143" s="4">
        <v>1795.89</v>
      </c>
      <c r="H2143" s="4">
        <v>589.48</v>
      </c>
      <c r="I2143" s="4">
        <v>966.55</v>
      </c>
      <c r="J2143" s="4">
        <v>221.6</v>
      </c>
      <c r="K2143" s="4">
        <v>618.01</v>
      </c>
      <c r="L2143" s="4">
        <v>231.64</v>
      </c>
      <c r="M2143" s="4">
        <v>74.78</v>
      </c>
      <c r="N2143" s="4">
        <v>369.38</v>
      </c>
      <c r="O2143" s="4">
        <v>688.62</v>
      </c>
      <c r="P2143" s="4">
        <v>188.25</v>
      </c>
      <c r="Q2143" s="4">
        <v>13701.21</v>
      </c>
      <c r="S2143" s="8">
        <f t="shared" si="99"/>
        <v>2542.313333333333</v>
      </c>
      <c r="T2143" s="8">
        <f t="shared" si="100"/>
        <v>-2542.313333333333</v>
      </c>
      <c r="U2143" s="9">
        <f t="shared" si="101"/>
        <v>-1</v>
      </c>
    </row>
    <row r="2144" spans="1:21" outlineLevel="2">
      <c r="A2144" t="s">
        <v>585</v>
      </c>
      <c r="B2144" t="s">
        <v>586</v>
      </c>
      <c r="C2144" t="s">
        <v>212</v>
      </c>
      <c r="D2144" t="s">
        <v>213</v>
      </c>
      <c r="E2144" s="4">
        <v>0</v>
      </c>
      <c r="F2144" s="4">
        <v>0</v>
      </c>
      <c r="G2144" s="4">
        <v>0</v>
      </c>
      <c r="H2144" s="4">
        <v>0</v>
      </c>
      <c r="I2144" s="4">
        <v>0</v>
      </c>
      <c r="J2144" s="4">
        <v>0</v>
      </c>
      <c r="K2144" s="4">
        <v>0</v>
      </c>
      <c r="L2144" s="4">
        <v>3</v>
      </c>
      <c r="M2144" s="4">
        <v>0</v>
      </c>
      <c r="N2144" s="4">
        <v>0</v>
      </c>
      <c r="O2144" s="4">
        <v>0</v>
      </c>
      <c r="P2144" s="4">
        <v>0</v>
      </c>
      <c r="Q2144" s="4">
        <v>0</v>
      </c>
      <c r="S2144" s="8">
        <f t="shared" si="99"/>
        <v>0.5</v>
      </c>
      <c r="T2144" s="8">
        <f t="shared" si="100"/>
        <v>-0.5</v>
      </c>
      <c r="U2144" s="9">
        <f t="shared" si="101"/>
        <v>-1</v>
      </c>
    </row>
    <row r="2145" spans="1:22" outlineLevel="2">
      <c r="A2145" t="s">
        <v>585</v>
      </c>
      <c r="B2145" t="s">
        <v>586</v>
      </c>
      <c r="C2145" t="s">
        <v>35</v>
      </c>
      <c r="D2145" t="s">
        <v>36</v>
      </c>
      <c r="E2145" s="4">
        <v>0</v>
      </c>
      <c r="F2145" s="4">
        <v>0</v>
      </c>
      <c r="G2145" s="4">
        <v>0</v>
      </c>
      <c r="H2145" s="4">
        <v>0</v>
      </c>
      <c r="I2145" s="4">
        <v>0</v>
      </c>
      <c r="J2145" s="4">
        <v>0</v>
      </c>
      <c r="K2145" s="4">
        <v>0</v>
      </c>
      <c r="L2145" s="4">
        <v>0</v>
      </c>
      <c r="M2145" s="4">
        <v>0</v>
      </c>
      <c r="N2145" s="4">
        <v>0</v>
      </c>
      <c r="O2145" s="4">
        <v>0</v>
      </c>
      <c r="P2145" s="4">
        <v>0</v>
      </c>
      <c r="Q2145" s="4">
        <v>0</v>
      </c>
      <c r="R2145" s="4">
        <v>5578.65</v>
      </c>
      <c r="S2145" s="8">
        <f t="shared" si="99"/>
        <v>0</v>
      </c>
      <c r="T2145" s="8">
        <f t="shared" si="100"/>
        <v>5578.65</v>
      </c>
      <c r="U2145" s="9" t="e">
        <f t="shared" si="101"/>
        <v>#DIV/0!</v>
      </c>
      <c r="V2145" t="s">
        <v>895</v>
      </c>
    </row>
    <row r="2146" spans="1:22" outlineLevel="2">
      <c r="A2146" t="s">
        <v>585</v>
      </c>
      <c r="B2146" t="s">
        <v>586</v>
      </c>
      <c r="C2146" t="s">
        <v>156</v>
      </c>
      <c r="D2146" t="s">
        <v>157</v>
      </c>
      <c r="E2146" s="4">
        <v>0</v>
      </c>
      <c r="F2146" s="4">
        <v>95.81</v>
      </c>
      <c r="G2146" s="4">
        <v>0</v>
      </c>
      <c r="H2146" s="4">
        <v>0</v>
      </c>
      <c r="I2146" s="4">
        <v>0</v>
      </c>
      <c r="J2146" s="4">
        <v>0</v>
      </c>
      <c r="K2146" s="4">
        <v>0</v>
      </c>
      <c r="L2146" s="4">
        <v>0</v>
      </c>
      <c r="M2146" s="4">
        <v>0</v>
      </c>
      <c r="N2146" s="4">
        <v>0</v>
      </c>
      <c r="O2146" s="4">
        <v>0</v>
      </c>
      <c r="P2146" s="4">
        <v>0</v>
      </c>
      <c r="Q2146" s="4">
        <v>0</v>
      </c>
      <c r="S2146" s="8">
        <f t="shared" si="99"/>
        <v>0</v>
      </c>
      <c r="T2146" s="8">
        <f t="shared" si="100"/>
        <v>0</v>
      </c>
      <c r="U2146" s="9" t="e">
        <f t="shared" si="101"/>
        <v>#DIV/0!</v>
      </c>
    </row>
    <row r="2147" spans="1:22" outlineLevel="2">
      <c r="A2147" t="s">
        <v>585</v>
      </c>
      <c r="B2147" t="s">
        <v>586</v>
      </c>
      <c r="C2147" t="s">
        <v>304</v>
      </c>
      <c r="D2147" t="s">
        <v>305</v>
      </c>
      <c r="E2147" s="4">
        <v>490.75</v>
      </c>
      <c r="F2147" s="4">
        <v>19</v>
      </c>
      <c r="G2147" s="4">
        <v>0</v>
      </c>
      <c r="H2147" s="4">
        <v>0</v>
      </c>
      <c r="I2147" s="4">
        <v>0</v>
      </c>
      <c r="J2147" s="4">
        <v>0</v>
      </c>
      <c r="K2147" s="4">
        <v>0</v>
      </c>
      <c r="L2147" s="4">
        <v>0</v>
      </c>
      <c r="M2147" s="4">
        <v>0</v>
      </c>
      <c r="N2147" s="4">
        <v>0</v>
      </c>
      <c r="O2147" s="4">
        <v>0</v>
      </c>
      <c r="P2147" s="4">
        <v>0</v>
      </c>
      <c r="Q2147" s="4">
        <v>0</v>
      </c>
      <c r="S2147" s="8">
        <f t="shared" si="99"/>
        <v>0</v>
      </c>
      <c r="T2147" s="8">
        <f t="shared" si="100"/>
        <v>0</v>
      </c>
      <c r="U2147" s="9" t="e">
        <f t="shared" si="101"/>
        <v>#DIV/0!</v>
      </c>
    </row>
    <row r="2148" spans="1:22" outlineLevel="2">
      <c r="A2148" t="s">
        <v>585</v>
      </c>
      <c r="B2148" t="s">
        <v>586</v>
      </c>
      <c r="C2148" t="s">
        <v>587</v>
      </c>
      <c r="D2148" t="s">
        <v>588</v>
      </c>
      <c r="E2148" s="4">
        <v>22</v>
      </c>
      <c r="F2148" s="4">
        <v>0</v>
      </c>
      <c r="G2148" s="4">
        <v>0</v>
      </c>
      <c r="H2148" s="4">
        <v>0</v>
      </c>
      <c r="I2148" s="4">
        <v>0</v>
      </c>
      <c r="J2148" s="4">
        <v>0</v>
      </c>
      <c r="K2148" s="4">
        <v>0</v>
      </c>
      <c r="L2148" s="4">
        <v>0</v>
      </c>
      <c r="M2148" s="4">
        <v>0</v>
      </c>
      <c r="N2148" s="4">
        <v>0</v>
      </c>
      <c r="O2148" s="4">
        <v>0</v>
      </c>
      <c r="P2148" s="4">
        <v>0</v>
      </c>
      <c r="Q2148" s="4">
        <v>35</v>
      </c>
      <c r="S2148" s="8">
        <f t="shared" si="99"/>
        <v>5.833333333333333</v>
      </c>
      <c r="T2148" s="8">
        <f t="shared" si="100"/>
        <v>-5.833333333333333</v>
      </c>
      <c r="U2148" s="9">
        <f t="shared" si="101"/>
        <v>-1</v>
      </c>
    </row>
    <row r="2149" spans="1:22" outlineLevel="2">
      <c r="A2149" t="s">
        <v>585</v>
      </c>
      <c r="B2149" t="s">
        <v>586</v>
      </c>
      <c r="C2149" t="s">
        <v>37</v>
      </c>
      <c r="D2149" t="s">
        <v>38</v>
      </c>
      <c r="E2149" s="4">
        <v>15093.359999999997</v>
      </c>
      <c r="F2149" s="4">
        <v>8310.59</v>
      </c>
      <c r="G2149" s="4">
        <v>8738.2500000000018</v>
      </c>
      <c r="H2149" s="4">
        <v>20630.840000000004</v>
      </c>
      <c r="I2149" s="4">
        <v>10286.660000000007</v>
      </c>
      <c r="J2149" s="4">
        <v>6891.98</v>
      </c>
      <c r="K2149" s="4">
        <v>2707.2</v>
      </c>
      <c r="L2149" s="4">
        <v>2675.4499999999994</v>
      </c>
      <c r="M2149" s="4">
        <v>14822.470000000023</v>
      </c>
      <c r="N2149" s="4">
        <v>16073.820000000029</v>
      </c>
      <c r="O2149" s="4">
        <v>6605.0599999999868</v>
      </c>
      <c r="P2149" s="4">
        <v>3445.42</v>
      </c>
      <c r="Q2149" s="4">
        <v>2361.2400000000002</v>
      </c>
      <c r="R2149" s="4">
        <v>7069.1500000000005</v>
      </c>
      <c r="S2149" s="8">
        <f t="shared" si="99"/>
        <v>7663.9100000000044</v>
      </c>
      <c r="T2149" s="8">
        <f t="shared" si="100"/>
        <v>-594.76000000000386</v>
      </c>
      <c r="U2149" s="9">
        <f t="shared" si="101"/>
        <v>-7.7605295469284408E-2</v>
      </c>
    </row>
    <row r="2150" spans="1:22" outlineLevel="2">
      <c r="A2150" t="s">
        <v>585</v>
      </c>
      <c r="B2150" t="s">
        <v>586</v>
      </c>
      <c r="C2150" t="s">
        <v>180</v>
      </c>
      <c r="D2150" t="s">
        <v>181</v>
      </c>
      <c r="E2150" s="4">
        <v>4352.6100000000006</v>
      </c>
      <c r="F2150" s="4">
        <v>866.61000000000013</v>
      </c>
      <c r="G2150" s="4">
        <v>6091.0100000000011</v>
      </c>
      <c r="H2150" s="4">
        <v>4100.07</v>
      </c>
      <c r="I2150" s="4">
        <v>3995.72</v>
      </c>
      <c r="J2150" s="4">
        <v>3575.89</v>
      </c>
      <c r="K2150" s="4">
        <v>4053.92</v>
      </c>
      <c r="L2150" s="4">
        <v>4442.2700000000004</v>
      </c>
      <c r="M2150" s="4">
        <v>1971.1399999999999</v>
      </c>
      <c r="N2150" s="4">
        <v>3086.9499999999994</v>
      </c>
      <c r="O2150" s="4">
        <v>1884.6999999999998</v>
      </c>
      <c r="P2150" s="4">
        <v>30781.629999999986</v>
      </c>
      <c r="Q2150" s="4">
        <v>5155.28</v>
      </c>
      <c r="R2150" s="4">
        <v>2768.94</v>
      </c>
      <c r="S2150" s="8">
        <f t="shared" si="99"/>
        <v>7886.9949999999981</v>
      </c>
      <c r="T2150" s="8">
        <f t="shared" si="100"/>
        <v>-5118.0549999999985</v>
      </c>
      <c r="U2150" s="9">
        <f t="shared" si="101"/>
        <v>-0.64892332250749485</v>
      </c>
    </row>
    <row r="2151" spans="1:22" outlineLevel="2">
      <c r="A2151" t="s">
        <v>585</v>
      </c>
      <c r="B2151" t="s">
        <v>586</v>
      </c>
      <c r="C2151" t="s">
        <v>160</v>
      </c>
      <c r="D2151" t="s">
        <v>161</v>
      </c>
      <c r="E2151" s="4">
        <v>0</v>
      </c>
      <c r="F2151" s="4">
        <v>0</v>
      </c>
      <c r="G2151" s="4">
        <v>0</v>
      </c>
      <c r="H2151" s="4">
        <v>0</v>
      </c>
      <c r="I2151" s="4">
        <v>0</v>
      </c>
      <c r="J2151" s="4">
        <v>0</v>
      </c>
      <c r="K2151" s="4">
        <v>0</v>
      </c>
      <c r="L2151" s="4">
        <v>0</v>
      </c>
      <c r="M2151" s="4">
        <v>219.49</v>
      </c>
      <c r="N2151" s="4">
        <v>0</v>
      </c>
      <c r="O2151" s="4">
        <v>0</v>
      </c>
      <c r="P2151" s="4">
        <v>40.53</v>
      </c>
      <c r="Q2151" s="4">
        <v>0</v>
      </c>
      <c r="S2151" s="8">
        <f t="shared" si="99"/>
        <v>43.336666666666666</v>
      </c>
      <c r="T2151" s="8">
        <f t="shared" si="100"/>
        <v>-43.336666666666666</v>
      </c>
      <c r="U2151" s="9">
        <f t="shared" si="101"/>
        <v>-1</v>
      </c>
    </row>
    <row r="2152" spans="1:22" outlineLevel="2">
      <c r="A2152" t="s">
        <v>585</v>
      </c>
      <c r="B2152" t="s">
        <v>586</v>
      </c>
      <c r="C2152" t="s">
        <v>39</v>
      </c>
      <c r="D2152" t="s">
        <v>40</v>
      </c>
      <c r="E2152" s="4">
        <v>2466.8099999999995</v>
      </c>
      <c r="F2152" s="4">
        <v>1751.25</v>
      </c>
      <c r="G2152" s="4">
        <v>2823.5200000000004</v>
      </c>
      <c r="H2152" s="4">
        <v>2179.02</v>
      </c>
      <c r="I2152" s="4">
        <v>2096.75</v>
      </c>
      <c r="J2152" s="4">
        <v>1352.0999999999997</v>
      </c>
      <c r="K2152" s="4">
        <v>1774.1299999999999</v>
      </c>
      <c r="L2152" s="4">
        <v>1716.9099999999999</v>
      </c>
      <c r="M2152" s="4">
        <v>1575.1499999999999</v>
      </c>
      <c r="N2152" s="4">
        <v>1893.08</v>
      </c>
      <c r="O2152" s="4">
        <v>1165.0899999999999</v>
      </c>
      <c r="P2152" s="4">
        <v>2165.98</v>
      </c>
      <c r="Q2152" s="4">
        <v>139.29000000000002</v>
      </c>
      <c r="R2152" s="4">
        <v>1898.0100000000002</v>
      </c>
      <c r="S2152" s="8">
        <f t="shared" si="99"/>
        <v>1442.5833333333333</v>
      </c>
      <c r="T2152" s="8">
        <f t="shared" si="100"/>
        <v>455.42666666666696</v>
      </c>
      <c r="U2152" s="9">
        <f t="shared" si="101"/>
        <v>0.31570215469932433</v>
      </c>
    </row>
    <row r="2153" spans="1:22" outlineLevel="2">
      <c r="A2153" t="s">
        <v>585</v>
      </c>
      <c r="B2153" t="s">
        <v>586</v>
      </c>
      <c r="C2153" t="s">
        <v>458</v>
      </c>
      <c r="D2153" t="s">
        <v>459</v>
      </c>
      <c r="E2153" s="4">
        <v>477.39</v>
      </c>
      <c r="F2153" s="4">
        <v>885.84</v>
      </c>
      <c r="G2153" s="4">
        <v>772.78</v>
      </c>
      <c r="H2153" s="4">
        <v>132.80000000000001</v>
      </c>
      <c r="I2153" s="4">
        <v>248.51</v>
      </c>
      <c r="J2153" s="4">
        <v>43.56</v>
      </c>
      <c r="K2153" s="4">
        <v>45.24</v>
      </c>
      <c r="L2153" s="4">
        <v>50.91</v>
      </c>
      <c r="M2153" s="4">
        <v>48.68</v>
      </c>
      <c r="N2153" s="4">
        <v>53.21</v>
      </c>
      <c r="O2153" s="4">
        <v>50.98</v>
      </c>
      <c r="P2153" s="4">
        <v>187.3</v>
      </c>
      <c r="Q2153" s="4">
        <v>579.27</v>
      </c>
      <c r="R2153" s="4">
        <v>568.11</v>
      </c>
      <c r="S2153" s="8">
        <f t="shared" si="99"/>
        <v>161.72499999999999</v>
      </c>
      <c r="T2153" s="8">
        <f t="shared" si="100"/>
        <v>406.38499999999999</v>
      </c>
      <c r="U2153" s="9">
        <f t="shared" si="101"/>
        <v>2.5128149636729016</v>
      </c>
    </row>
    <row r="2154" spans="1:22" outlineLevel="2">
      <c r="A2154" t="s">
        <v>585</v>
      </c>
      <c r="B2154" t="s">
        <v>586</v>
      </c>
      <c r="C2154" t="s">
        <v>41</v>
      </c>
      <c r="D2154" t="s">
        <v>42</v>
      </c>
      <c r="E2154" s="4">
        <v>1288.05</v>
      </c>
      <c r="F2154" s="4">
        <v>1179.1599999999999</v>
      </c>
      <c r="G2154" s="4">
        <v>1045.6599999999999</v>
      </c>
      <c r="H2154" s="4">
        <v>809.42</v>
      </c>
      <c r="I2154" s="4">
        <v>1471.94</v>
      </c>
      <c r="J2154" s="4">
        <v>870.74</v>
      </c>
      <c r="K2154" s="4">
        <v>986.51</v>
      </c>
      <c r="L2154" s="4">
        <v>1156.29</v>
      </c>
      <c r="M2154" s="4">
        <v>781.55</v>
      </c>
      <c r="N2154" s="4">
        <v>1099.95</v>
      </c>
      <c r="O2154" s="4">
        <v>822.19999999999993</v>
      </c>
      <c r="P2154" s="4">
        <v>1056.8900000000001</v>
      </c>
      <c r="Q2154" s="4">
        <v>977.44</v>
      </c>
      <c r="R2154" s="4">
        <v>978.32</v>
      </c>
      <c r="S2154" s="8">
        <f t="shared" si="99"/>
        <v>982.38666666666666</v>
      </c>
      <c r="T2154" s="8">
        <f t="shared" si="100"/>
        <v>-4.066666666666606</v>
      </c>
      <c r="U2154" s="9">
        <f t="shared" si="101"/>
        <v>-4.1395784416183102E-3</v>
      </c>
    </row>
    <row r="2155" spans="1:22" outlineLevel="2">
      <c r="A2155" t="s">
        <v>585</v>
      </c>
      <c r="B2155" t="s">
        <v>586</v>
      </c>
      <c r="C2155" t="s">
        <v>589</v>
      </c>
      <c r="D2155" t="s">
        <v>590</v>
      </c>
      <c r="E2155" s="4">
        <v>0.75</v>
      </c>
      <c r="F2155" s="4">
        <v>129.85</v>
      </c>
      <c r="G2155" s="4">
        <v>65.3</v>
      </c>
      <c r="H2155" s="4">
        <v>0</v>
      </c>
      <c r="I2155" s="4">
        <v>0.75</v>
      </c>
      <c r="J2155" s="4">
        <v>0</v>
      </c>
      <c r="K2155" s="4">
        <v>0</v>
      </c>
      <c r="L2155" s="4">
        <v>0</v>
      </c>
      <c r="M2155" s="4">
        <v>0</v>
      </c>
      <c r="N2155" s="4">
        <v>0</v>
      </c>
      <c r="O2155" s="4">
        <v>0</v>
      </c>
      <c r="P2155" s="4">
        <v>0</v>
      </c>
      <c r="Q2155" s="4">
        <v>0</v>
      </c>
      <c r="S2155" s="8">
        <f t="shared" si="99"/>
        <v>0</v>
      </c>
      <c r="T2155" s="8">
        <f t="shared" si="100"/>
        <v>0</v>
      </c>
      <c r="U2155" s="9" t="e">
        <f t="shared" si="101"/>
        <v>#DIV/0!</v>
      </c>
    </row>
    <row r="2156" spans="1:22" outlineLevel="2">
      <c r="A2156" t="s">
        <v>585</v>
      </c>
      <c r="B2156" t="s">
        <v>586</v>
      </c>
      <c r="C2156" t="s">
        <v>43</v>
      </c>
      <c r="D2156" t="s">
        <v>44</v>
      </c>
      <c r="E2156" s="4">
        <v>0</v>
      </c>
      <c r="F2156" s="4">
        <v>0</v>
      </c>
      <c r="G2156" s="4">
        <v>0</v>
      </c>
      <c r="H2156" s="4">
        <v>0</v>
      </c>
      <c r="I2156" s="4">
        <v>0</v>
      </c>
      <c r="J2156" s="4">
        <v>0</v>
      </c>
      <c r="K2156" s="4">
        <v>0</v>
      </c>
      <c r="L2156" s="4">
        <v>0</v>
      </c>
      <c r="M2156" s="4">
        <v>0</v>
      </c>
      <c r="N2156" s="4">
        <v>56.5</v>
      </c>
      <c r="O2156" s="4">
        <v>0</v>
      </c>
      <c r="P2156" s="4">
        <v>0</v>
      </c>
      <c r="Q2156" s="4">
        <v>5.81</v>
      </c>
      <c r="S2156" s="8">
        <f t="shared" si="99"/>
        <v>10.385</v>
      </c>
      <c r="T2156" s="8">
        <f t="shared" si="100"/>
        <v>-10.385</v>
      </c>
      <c r="U2156" s="9">
        <f t="shared" si="101"/>
        <v>-1</v>
      </c>
    </row>
    <row r="2157" spans="1:22" outlineLevel="2">
      <c r="A2157" t="s">
        <v>585</v>
      </c>
      <c r="B2157" t="s">
        <v>586</v>
      </c>
      <c r="C2157" t="s">
        <v>230</v>
      </c>
      <c r="D2157" t="s">
        <v>231</v>
      </c>
      <c r="E2157" s="4">
        <v>85996.5</v>
      </c>
      <c r="F2157" s="4">
        <v>107498.73999999999</v>
      </c>
      <c r="G2157" s="4">
        <v>91490.4</v>
      </c>
      <c r="H2157" s="4">
        <v>84282.06</v>
      </c>
      <c r="I2157" s="4">
        <v>84282.06</v>
      </c>
      <c r="J2157" s="4">
        <v>22824.89</v>
      </c>
      <c r="K2157" s="4">
        <v>86763.23</v>
      </c>
      <c r="L2157" s="4">
        <v>116537.24999999999</v>
      </c>
      <c r="M2157" s="4">
        <v>86763.23</v>
      </c>
      <c r="N2157" s="4">
        <v>86763.23</v>
      </c>
      <c r="O2157" s="4">
        <v>86763.23</v>
      </c>
      <c r="P2157" s="4">
        <v>86763.23</v>
      </c>
      <c r="Q2157" s="4">
        <v>99560.960000000006</v>
      </c>
      <c r="R2157" s="4">
        <v>93162.09</v>
      </c>
      <c r="S2157" s="8">
        <f t="shared" si="99"/>
        <v>93858.521666666653</v>
      </c>
      <c r="T2157" s="8">
        <f t="shared" si="100"/>
        <v>-696.43166666665638</v>
      </c>
      <c r="U2157" s="9">
        <f t="shared" si="101"/>
        <v>-7.4200152985574915E-3</v>
      </c>
    </row>
    <row r="2158" spans="1:22" outlineLevel="2">
      <c r="A2158" t="s">
        <v>585</v>
      </c>
      <c r="B2158" t="s">
        <v>586</v>
      </c>
      <c r="C2158" t="s">
        <v>232</v>
      </c>
      <c r="D2158" t="s">
        <v>233</v>
      </c>
      <c r="E2158" s="4">
        <v>54846.99</v>
      </c>
      <c r="F2158" s="4">
        <v>54846.99</v>
      </c>
      <c r="G2158" s="4">
        <v>54846.99</v>
      </c>
      <c r="H2158" s="4">
        <v>54846.99</v>
      </c>
      <c r="I2158" s="4">
        <v>54846.99</v>
      </c>
      <c r="J2158" s="4">
        <v>20901.099999999999</v>
      </c>
      <c r="K2158" s="4">
        <v>56354.52</v>
      </c>
      <c r="L2158" s="4">
        <v>74444.94</v>
      </c>
      <c r="M2158" s="4">
        <v>56354.52</v>
      </c>
      <c r="N2158" s="4">
        <v>56354.52</v>
      </c>
      <c r="O2158" s="4">
        <v>56354.52</v>
      </c>
      <c r="P2158" s="4">
        <v>56354.52</v>
      </c>
      <c r="Q2158" s="4">
        <v>64015.18</v>
      </c>
      <c r="R2158" s="4">
        <v>60184.85</v>
      </c>
      <c r="S2158" s="8">
        <f t="shared" si="99"/>
        <v>60646.366666666661</v>
      </c>
      <c r="T2158" s="8">
        <f t="shared" si="100"/>
        <v>-461.51666666666279</v>
      </c>
      <c r="U2158" s="9">
        <f t="shared" si="101"/>
        <v>-7.6099639934460953E-3</v>
      </c>
    </row>
    <row r="2159" spans="1:22" outlineLevel="2">
      <c r="A2159" t="s">
        <v>585</v>
      </c>
      <c r="B2159" t="s">
        <v>586</v>
      </c>
      <c r="C2159" t="s">
        <v>218</v>
      </c>
      <c r="D2159" t="s">
        <v>219</v>
      </c>
      <c r="E2159" s="4">
        <v>48307.22</v>
      </c>
      <c r="F2159" s="4">
        <v>72282.94</v>
      </c>
      <c r="G2159" s="4">
        <v>71734.16</v>
      </c>
      <c r="H2159" s="4">
        <v>71179.100000000006</v>
      </c>
      <c r="I2159" s="4">
        <v>65342.21</v>
      </c>
      <c r="J2159" s="4">
        <v>72527.820000000007</v>
      </c>
      <c r="K2159" s="4">
        <v>73135.820000000007</v>
      </c>
      <c r="L2159" s="4">
        <v>72998.61</v>
      </c>
      <c r="M2159" s="4">
        <v>72998.61</v>
      </c>
      <c r="N2159" s="4">
        <v>81415.76999999999</v>
      </c>
      <c r="O2159" s="4">
        <v>92563.97</v>
      </c>
      <c r="P2159" s="4">
        <v>68926.540000000008</v>
      </c>
      <c r="Q2159" s="4">
        <v>68926.539999999994</v>
      </c>
      <c r="R2159" s="4">
        <v>68926.539999999994</v>
      </c>
      <c r="S2159" s="8">
        <f t="shared" si="99"/>
        <v>76305.006666666668</v>
      </c>
      <c r="T2159" s="8">
        <f t="shared" si="100"/>
        <v>-7378.4666666666744</v>
      </c>
      <c r="U2159" s="9">
        <f t="shared" si="101"/>
        <v>-9.6697018832578238E-2</v>
      </c>
    </row>
    <row r="2160" spans="1:22" outlineLevel="2">
      <c r="A2160" t="s">
        <v>585</v>
      </c>
      <c r="B2160" t="s">
        <v>586</v>
      </c>
      <c r="C2160" t="s">
        <v>47</v>
      </c>
      <c r="D2160" t="s">
        <v>48</v>
      </c>
      <c r="E2160" s="4">
        <v>19368.660000000003</v>
      </c>
      <c r="F2160" s="4">
        <v>33077.100000000006</v>
      </c>
      <c r="G2160" s="4">
        <v>1676.7000000000007</v>
      </c>
      <c r="H2160" s="4">
        <v>15867.34</v>
      </c>
      <c r="I2160" s="4">
        <v>12077.86</v>
      </c>
      <c r="J2160" s="4">
        <v>18419.159999999996</v>
      </c>
      <c r="K2160" s="4">
        <v>16675.969999999998</v>
      </c>
      <c r="L2160" s="4">
        <v>17229.650000000001</v>
      </c>
      <c r="M2160" s="4">
        <v>20778.410000000003</v>
      </c>
      <c r="N2160" s="4">
        <v>17199.210000000003</v>
      </c>
      <c r="O2160" s="4">
        <v>19666.050000000003</v>
      </c>
      <c r="P2160" s="4">
        <v>19753.95</v>
      </c>
      <c r="Q2160" s="4">
        <v>14745.649999999998</v>
      </c>
      <c r="R2160" s="4">
        <v>7455.6399999999967</v>
      </c>
      <c r="S2160" s="8">
        <f t="shared" si="99"/>
        <v>18228.82</v>
      </c>
      <c r="T2160" s="8">
        <f t="shared" si="100"/>
        <v>-10773.180000000004</v>
      </c>
      <c r="U2160" s="9">
        <f t="shared" si="101"/>
        <v>-0.59099711336224747</v>
      </c>
    </row>
    <row r="2161" spans="1:22" outlineLevel="2">
      <c r="A2161" t="s">
        <v>585</v>
      </c>
      <c r="B2161" t="s">
        <v>586</v>
      </c>
      <c r="C2161" t="s">
        <v>49</v>
      </c>
      <c r="D2161" t="s">
        <v>50</v>
      </c>
      <c r="E2161" s="4">
        <v>5725</v>
      </c>
      <c r="F2161" s="4">
        <v>2986.98</v>
      </c>
      <c r="G2161" s="4">
        <v>9940</v>
      </c>
      <c r="H2161" s="4">
        <v>1150.1400000000001</v>
      </c>
      <c r="I2161" s="4">
        <v>3825.14</v>
      </c>
      <c r="J2161" s="4">
        <v>4025.14</v>
      </c>
      <c r="K2161" s="4">
        <v>4050.21</v>
      </c>
      <c r="L2161" s="4">
        <v>3755.6699999999996</v>
      </c>
      <c r="M2161" s="4">
        <v>3520</v>
      </c>
      <c r="N2161" s="4">
        <v>3913.04</v>
      </c>
      <c r="O2161" s="4">
        <v>3525.16</v>
      </c>
      <c r="P2161" s="4">
        <v>4175.24</v>
      </c>
      <c r="Q2161" s="4">
        <v>2505.16</v>
      </c>
      <c r="R2161" s="4">
        <v>3665</v>
      </c>
      <c r="S2161" s="8">
        <f t="shared" si="99"/>
        <v>3565.7116666666666</v>
      </c>
      <c r="T2161" s="8">
        <f t="shared" si="100"/>
        <v>99.288333333333412</v>
      </c>
      <c r="U2161" s="9">
        <f t="shared" si="101"/>
        <v>2.7845306243213745E-2</v>
      </c>
    </row>
    <row r="2162" spans="1:22" outlineLevel="2">
      <c r="A2162" t="s">
        <v>585</v>
      </c>
      <c r="B2162" t="s">
        <v>586</v>
      </c>
      <c r="C2162" t="s">
        <v>51</v>
      </c>
      <c r="D2162" t="s">
        <v>52</v>
      </c>
      <c r="E2162" s="4">
        <v>2215.9299999999998</v>
      </c>
      <c r="F2162" s="4">
        <v>5124.99</v>
      </c>
      <c r="G2162" s="4">
        <v>4150.57</v>
      </c>
      <c r="H2162" s="4">
        <v>5000</v>
      </c>
      <c r="I2162" s="4">
        <v>12497.420000000002</v>
      </c>
      <c r="J2162" s="4">
        <v>5192.71</v>
      </c>
      <c r="K2162" s="4">
        <v>9660.0499999999993</v>
      </c>
      <c r="L2162" s="4">
        <v>10644.91</v>
      </c>
      <c r="M2162" s="4">
        <v>3006.3</v>
      </c>
      <c r="N2162" s="4">
        <v>5668.3</v>
      </c>
      <c r="O2162" s="4">
        <v>1806.9800000000002</v>
      </c>
      <c r="P2162" s="4">
        <v>22156.05</v>
      </c>
      <c r="Q2162" s="4">
        <v>90.6</v>
      </c>
      <c r="R2162" s="4">
        <v>963.25</v>
      </c>
      <c r="S2162" s="8">
        <f t="shared" si="99"/>
        <v>7228.8566666666657</v>
      </c>
      <c r="T2162" s="8">
        <f t="shared" si="100"/>
        <v>-6265.6066666666657</v>
      </c>
      <c r="U2162" s="9">
        <f t="shared" si="101"/>
        <v>-0.86674932919313652</v>
      </c>
    </row>
    <row r="2163" spans="1:22" outlineLevel="2">
      <c r="A2163" t="s">
        <v>585</v>
      </c>
      <c r="B2163" t="s">
        <v>586</v>
      </c>
      <c r="C2163" t="s">
        <v>164</v>
      </c>
      <c r="D2163" t="s">
        <v>165</v>
      </c>
      <c r="E2163" s="4">
        <v>782.25</v>
      </c>
      <c r="F2163" s="4">
        <v>521.5</v>
      </c>
      <c r="G2163" s="4">
        <v>526.75</v>
      </c>
      <c r="H2163" s="4">
        <v>311.5</v>
      </c>
      <c r="I2163" s="4">
        <v>311.5</v>
      </c>
      <c r="J2163" s="4">
        <v>311.5</v>
      </c>
      <c r="K2163" s="4">
        <v>276.5</v>
      </c>
      <c r="L2163" s="4">
        <v>362.25</v>
      </c>
      <c r="M2163" s="4">
        <v>241.5</v>
      </c>
      <c r="N2163" s="4">
        <v>241.5</v>
      </c>
      <c r="O2163" s="4">
        <v>241.5</v>
      </c>
      <c r="P2163" s="4">
        <v>241.5</v>
      </c>
      <c r="Q2163" s="4">
        <v>586.25</v>
      </c>
      <c r="S2163" s="8">
        <f t="shared" si="99"/>
        <v>319.08333333333331</v>
      </c>
      <c r="T2163" s="8">
        <f t="shared" si="100"/>
        <v>-319.08333333333331</v>
      </c>
      <c r="U2163" s="9">
        <f t="shared" si="101"/>
        <v>-1</v>
      </c>
    </row>
    <row r="2164" spans="1:22" outlineLevel="2">
      <c r="A2164" t="s">
        <v>585</v>
      </c>
      <c r="B2164" t="s">
        <v>586</v>
      </c>
      <c r="C2164" t="s">
        <v>53</v>
      </c>
      <c r="D2164" t="s">
        <v>54</v>
      </c>
      <c r="E2164" s="4">
        <v>676.99999999999989</v>
      </c>
      <c r="F2164" s="4">
        <v>0</v>
      </c>
      <c r="G2164" s="4">
        <v>0</v>
      </c>
      <c r="H2164" s="4">
        <v>470.45</v>
      </c>
      <c r="I2164" s="4">
        <v>0</v>
      </c>
      <c r="J2164" s="4">
        <v>0</v>
      </c>
      <c r="K2164" s="4">
        <v>0</v>
      </c>
      <c r="L2164" s="4">
        <v>-205.19000000000003</v>
      </c>
      <c r="M2164" s="4">
        <v>0</v>
      </c>
      <c r="N2164" s="4">
        <v>0</v>
      </c>
      <c r="O2164" s="4">
        <v>0</v>
      </c>
      <c r="P2164" s="4">
        <v>0</v>
      </c>
      <c r="Q2164" s="4">
        <v>-49.27</v>
      </c>
      <c r="S2164" s="8">
        <f t="shared" si="99"/>
        <v>-42.410000000000004</v>
      </c>
      <c r="T2164" s="8">
        <f t="shared" si="100"/>
        <v>42.410000000000004</v>
      </c>
      <c r="U2164" s="9">
        <f t="shared" si="101"/>
        <v>-1</v>
      </c>
    </row>
    <row r="2165" spans="1:22" outlineLevel="2">
      <c r="A2165" t="s">
        <v>585</v>
      </c>
      <c r="B2165" t="s">
        <v>586</v>
      </c>
      <c r="C2165" t="s">
        <v>55</v>
      </c>
      <c r="D2165" t="s">
        <v>56</v>
      </c>
      <c r="E2165" s="4">
        <v>3341.11</v>
      </c>
      <c r="F2165" s="4">
        <v>0</v>
      </c>
      <c r="G2165" s="4">
        <v>0</v>
      </c>
      <c r="H2165" s="4">
        <v>0</v>
      </c>
      <c r="I2165" s="4">
        <v>0</v>
      </c>
      <c r="J2165" s="4">
        <v>0</v>
      </c>
      <c r="K2165" s="4">
        <v>0</v>
      </c>
      <c r="L2165" s="4">
        <v>406.1</v>
      </c>
      <c r="M2165" s="4">
        <v>0</v>
      </c>
      <c r="N2165" s="4">
        <v>4.7699999999999996</v>
      </c>
      <c r="O2165" s="4">
        <v>6.27</v>
      </c>
      <c r="P2165" s="4">
        <v>2.73</v>
      </c>
      <c r="Q2165" s="4">
        <v>0</v>
      </c>
      <c r="S2165" s="8">
        <f t="shared" si="99"/>
        <v>69.978333333333339</v>
      </c>
      <c r="T2165" s="8">
        <f t="shared" si="100"/>
        <v>-69.978333333333339</v>
      </c>
      <c r="U2165" s="9">
        <f t="shared" si="101"/>
        <v>-1</v>
      </c>
    </row>
    <row r="2166" spans="1:22" outlineLevel="2">
      <c r="A2166" t="s">
        <v>585</v>
      </c>
      <c r="B2166" t="s">
        <v>586</v>
      </c>
      <c r="C2166" t="s">
        <v>61</v>
      </c>
      <c r="D2166" t="s">
        <v>62</v>
      </c>
      <c r="E2166" s="4">
        <v>33681.71</v>
      </c>
      <c r="F2166" s="4">
        <v>43255.639999999992</v>
      </c>
      <c r="G2166" s="4">
        <v>48209.219999999994</v>
      </c>
      <c r="H2166" s="4">
        <v>28901.020000000004</v>
      </c>
      <c r="I2166" s="4">
        <v>36050.28</v>
      </c>
      <c r="J2166" s="4">
        <v>37714.080000000002</v>
      </c>
      <c r="K2166" s="4">
        <v>38743.93</v>
      </c>
      <c r="L2166" s="4">
        <v>36669.56</v>
      </c>
      <c r="M2166" s="4">
        <v>25542.19</v>
      </c>
      <c r="N2166" s="4">
        <v>15286.5</v>
      </c>
      <c r="O2166" s="4">
        <v>56611.86</v>
      </c>
      <c r="P2166" s="4">
        <v>65985.08</v>
      </c>
      <c r="Q2166" s="4">
        <v>22772.31</v>
      </c>
      <c r="R2166" s="4">
        <v>41707.460000000006</v>
      </c>
      <c r="S2166" s="8">
        <f t="shared" si="99"/>
        <v>37144.583333333336</v>
      </c>
      <c r="T2166" s="8">
        <f t="shared" si="100"/>
        <v>4562.8766666666706</v>
      </c>
      <c r="U2166" s="9">
        <f t="shared" si="101"/>
        <v>0.12284097053181833</v>
      </c>
    </row>
    <row r="2167" spans="1:22" outlineLevel="2">
      <c r="A2167" t="s">
        <v>585</v>
      </c>
      <c r="B2167" t="s">
        <v>586</v>
      </c>
      <c r="C2167" t="s">
        <v>63</v>
      </c>
      <c r="D2167" t="s">
        <v>64</v>
      </c>
      <c r="E2167" s="4">
        <v>9674.1200000000008</v>
      </c>
      <c r="F2167" s="4">
        <v>11531.84</v>
      </c>
      <c r="G2167" s="4">
        <v>218.65</v>
      </c>
      <c r="H2167" s="4">
        <v>12982.05</v>
      </c>
      <c r="I2167" s="4">
        <v>5990.7199999999993</v>
      </c>
      <c r="J2167" s="4">
        <v>5876.9999999999991</v>
      </c>
      <c r="K2167" s="4">
        <v>20292.59</v>
      </c>
      <c r="L2167" s="4">
        <v>3222.400000000001</v>
      </c>
      <c r="M2167" s="4">
        <v>5629.18</v>
      </c>
      <c r="N2167" s="4">
        <v>11808.02</v>
      </c>
      <c r="O2167" s="4">
        <v>1725.81</v>
      </c>
      <c r="P2167" s="4">
        <v>4597.24</v>
      </c>
      <c r="Q2167" s="4">
        <v>1984.5099999999998</v>
      </c>
      <c r="R2167" s="4">
        <v>1069.67</v>
      </c>
      <c r="S2167" s="8">
        <f t="shared" si="99"/>
        <v>4827.8599999999997</v>
      </c>
      <c r="T2167" s="8">
        <f t="shared" si="100"/>
        <v>-3758.1899999999996</v>
      </c>
      <c r="U2167" s="9">
        <f t="shared" si="101"/>
        <v>-0.77843806572684371</v>
      </c>
    </row>
    <row r="2168" spans="1:22" outlineLevel="2">
      <c r="A2168" t="s">
        <v>585</v>
      </c>
      <c r="B2168" t="s">
        <v>586</v>
      </c>
      <c r="C2168" t="s">
        <v>65</v>
      </c>
      <c r="D2168" t="s">
        <v>66</v>
      </c>
      <c r="E2168" s="4">
        <v>856.05000000000007</v>
      </c>
      <c r="F2168" s="4">
        <v>80.78</v>
      </c>
      <c r="G2168" s="4">
        <v>0</v>
      </c>
      <c r="H2168" s="4">
        <v>0</v>
      </c>
      <c r="I2168" s="4">
        <v>0</v>
      </c>
      <c r="J2168" s="4">
        <v>1183.8499999999999</v>
      </c>
      <c r="K2168" s="4">
        <v>3444.7900000000004</v>
      </c>
      <c r="L2168" s="4">
        <v>17148.18</v>
      </c>
      <c r="M2168" s="4">
        <v>3153.59</v>
      </c>
      <c r="N2168" s="4">
        <v>5931.7699999999995</v>
      </c>
      <c r="O2168" s="4">
        <v>400.21000000000004</v>
      </c>
      <c r="P2168" s="4">
        <v>4819.3900000000003</v>
      </c>
      <c r="Q2168" s="4">
        <v>974.85</v>
      </c>
      <c r="R2168" s="4">
        <v>11867.640000000001</v>
      </c>
      <c r="S2168" s="8">
        <f t="shared" si="99"/>
        <v>5404.665</v>
      </c>
      <c r="T2168" s="8">
        <f t="shared" si="100"/>
        <v>6462.9750000000013</v>
      </c>
      <c r="U2168" s="9">
        <f t="shared" si="101"/>
        <v>1.1958141716461614</v>
      </c>
    </row>
    <row r="2169" spans="1:22" outlineLevel="2">
      <c r="A2169" t="s">
        <v>585</v>
      </c>
      <c r="B2169" t="s">
        <v>586</v>
      </c>
      <c r="C2169" t="s">
        <v>69</v>
      </c>
      <c r="D2169" t="s">
        <v>70</v>
      </c>
      <c r="E2169" s="4">
        <v>0</v>
      </c>
      <c r="F2169" s="4">
        <v>0</v>
      </c>
      <c r="G2169" s="4">
        <v>347.71</v>
      </c>
      <c r="H2169" s="4">
        <v>0</v>
      </c>
      <c r="I2169" s="4">
        <v>0</v>
      </c>
      <c r="J2169" s="4">
        <v>0</v>
      </c>
      <c r="K2169" s="4">
        <v>0</v>
      </c>
      <c r="L2169" s="4">
        <v>0</v>
      </c>
      <c r="M2169" s="4">
        <v>0</v>
      </c>
      <c r="N2169" s="4">
        <v>0</v>
      </c>
      <c r="O2169" s="4">
        <v>0</v>
      </c>
      <c r="P2169" s="4">
        <v>0</v>
      </c>
      <c r="Q2169" s="4">
        <v>0</v>
      </c>
      <c r="S2169" s="8">
        <f t="shared" si="99"/>
        <v>0</v>
      </c>
      <c r="T2169" s="8">
        <f t="shared" si="100"/>
        <v>0</v>
      </c>
      <c r="U2169" s="9" t="e">
        <f t="shared" si="101"/>
        <v>#DIV/0!</v>
      </c>
    </row>
    <row r="2170" spans="1:22" outlineLevel="2">
      <c r="A2170" t="s">
        <v>585</v>
      </c>
      <c r="B2170" t="s">
        <v>586</v>
      </c>
      <c r="C2170" t="s">
        <v>75</v>
      </c>
      <c r="D2170" t="s">
        <v>76</v>
      </c>
      <c r="E2170" s="4">
        <v>21871.070000000003</v>
      </c>
      <c r="F2170" s="4">
        <v>32887.19</v>
      </c>
      <c r="G2170" s="4">
        <v>39485.390000000007</v>
      </c>
      <c r="H2170" s="4">
        <v>40448.94999999999</v>
      </c>
      <c r="I2170" s="4">
        <v>18414.27</v>
      </c>
      <c r="J2170" s="4">
        <v>24788.800000000003</v>
      </c>
      <c r="K2170" s="4">
        <v>23626.210000000003</v>
      </c>
      <c r="L2170" s="4">
        <v>25639.799999999992</v>
      </c>
      <c r="M2170" s="4">
        <v>47449.060000000034</v>
      </c>
      <c r="N2170" s="4">
        <v>19195.709999999995</v>
      </c>
      <c r="O2170" s="4">
        <v>23565.83</v>
      </c>
      <c r="P2170" s="4">
        <v>36793.24</v>
      </c>
      <c r="Q2170" s="4">
        <v>22671.740000000005</v>
      </c>
      <c r="R2170" s="4">
        <v>36608.42</v>
      </c>
      <c r="S2170" s="8">
        <f t="shared" si="99"/>
        <v>29219.23</v>
      </c>
      <c r="T2170" s="8">
        <f t="shared" si="100"/>
        <v>7389.1899999999987</v>
      </c>
      <c r="U2170" s="9">
        <f t="shared" si="101"/>
        <v>0.25288790977722542</v>
      </c>
      <c r="V2170" t="s">
        <v>896</v>
      </c>
    </row>
    <row r="2171" spans="1:22" outlineLevel="2">
      <c r="A2171" t="s">
        <v>585</v>
      </c>
      <c r="B2171" t="s">
        <v>586</v>
      </c>
      <c r="C2171" t="s">
        <v>77</v>
      </c>
      <c r="D2171" t="s">
        <v>78</v>
      </c>
      <c r="E2171" s="4">
        <v>49434.33</v>
      </c>
      <c r="F2171" s="4">
        <v>14321.189999999993</v>
      </c>
      <c r="G2171" s="4">
        <v>21838.809999999994</v>
      </c>
      <c r="H2171" s="4">
        <v>27048.050000000003</v>
      </c>
      <c r="I2171" s="4">
        <v>86895.71</v>
      </c>
      <c r="J2171" s="4">
        <v>56848.27</v>
      </c>
      <c r="K2171" s="4">
        <v>24175.01</v>
      </c>
      <c r="L2171" s="4">
        <v>19520.399999999998</v>
      </c>
      <c r="M2171" s="4">
        <v>35270.509999999987</v>
      </c>
      <c r="N2171" s="4">
        <v>40820.299999999996</v>
      </c>
      <c r="O2171" s="4">
        <v>16395.850000000002</v>
      </c>
      <c r="P2171" s="4">
        <v>44747.579999999987</v>
      </c>
      <c r="Q2171" s="4">
        <v>53109.769999999968</v>
      </c>
      <c r="R2171" s="4">
        <v>24525.689999999995</v>
      </c>
      <c r="S2171" s="8">
        <f t="shared" si="99"/>
        <v>34977.401666666658</v>
      </c>
      <c r="T2171" s="8">
        <f t="shared" si="100"/>
        <v>-10451.711666666662</v>
      </c>
      <c r="U2171" s="9">
        <f t="shared" si="101"/>
        <v>-0.29881326709945716</v>
      </c>
    </row>
    <row r="2172" spans="1:22" outlineLevel="2">
      <c r="A2172" t="s">
        <v>585</v>
      </c>
      <c r="B2172" t="s">
        <v>586</v>
      </c>
      <c r="C2172" t="s">
        <v>591</v>
      </c>
      <c r="D2172" t="s">
        <v>592</v>
      </c>
      <c r="E2172" s="4">
        <v>0</v>
      </c>
      <c r="F2172" s="4">
        <v>0</v>
      </c>
      <c r="G2172" s="4">
        <v>0</v>
      </c>
      <c r="H2172" s="4">
        <v>0</v>
      </c>
      <c r="I2172" s="4">
        <v>0</v>
      </c>
      <c r="J2172" s="4">
        <v>0</v>
      </c>
      <c r="K2172" s="4">
        <v>0</v>
      </c>
      <c r="L2172" s="4">
        <v>0</v>
      </c>
      <c r="M2172" s="4">
        <v>0</v>
      </c>
      <c r="N2172" s="4">
        <v>0</v>
      </c>
      <c r="O2172" s="4">
        <v>0</v>
      </c>
      <c r="P2172" s="4">
        <v>0</v>
      </c>
      <c r="Q2172" s="4">
        <v>0</v>
      </c>
      <c r="R2172" s="4">
        <v>341.73</v>
      </c>
      <c r="S2172" s="8">
        <f t="shared" si="99"/>
        <v>0</v>
      </c>
      <c r="T2172" s="8">
        <f t="shared" si="100"/>
        <v>341.73</v>
      </c>
      <c r="U2172" s="9" t="e">
        <f t="shared" si="101"/>
        <v>#DIV/0!</v>
      </c>
      <c r="V2172" t="s">
        <v>895</v>
      </c>
    </row>
    <row r="2173" spans="1:22" outlineLevel="2">
      <c r="A2173" t="s">
        <v>585</v>
      </c>
      <c r="B2173" t="s">
        <v>586</v>
      </c>
      <c r="C2173" t="s">
        <v>593</v>
      </c>
      <c r="D2173" t="s">
        <v>594</v>
      </c>
      <c r="E2173" s="4">
        <v>0</v>
      </c>
      <c r="F2173" s="4">
        <v>0</v>
      </c>
      <c r="G2173" s="4">
        <v>1307.67</v>
      </c>
      <c r="H2173" s="4">
        <v>3856.54</v>
      </c>
      <c r="I2173" s="4">
        <v>0</v>
      </c>
      <c r="J2173" s="4">
        <v>1320.95</v>
      </c>
      <c r="K2173" s="4">
        <v>3304.32</v>
      </c>
      <c r="L2173" s="4">
        <v>1180.1199999999999</v>
      </c>
      <c r="M2173" s="4">
        <v>6036.3400000000029</v>
      </c>
      <c r="N2173" s="4">
        <v>13727.39</v>
      </c>
      <c r="O2173" s="4">
        <v>4072.74</v>
      </c>
      <c r="P2173" s="4">
        <v>3068.3</v>
      </c>
      <c r="Q2173" s="4">
        <v>481.52</v>
      </c>
      <c r="S2173" s="8">
        <f t="shared" si="99"/>
        <v>4761.0683333333336</v>
      </c>
      <c r="T2173" s="8">
        <f t="shared" si="100"/>
        <v>-4761.0683333333336</v>
      </c>
      <c r="U2173" s="9">
        <f t="shared" si="101"/>
        <v>-1</v>
      </c>
    </row>
    <row r="2174" spans="1:22" outlineLevel="2">
      <c r="A2174" t="s">
        <v>585</v>
      </c>
      <c r="B2174" t="s">
        <v>586</v>
      </c>
      <c r="C2174" t="s">
        <v>595</v>
      </c>
      <c r="D2174" t="s">
        <v>596</v>
      </c>
      <c r="E2174" s="4">
        <v>5622.8099999999995</v>
      </c>
      <c r="F2174" s="4">
        <v>0</v>
      </c>
      <c r="G2174" s="4">
        <v>1743.1599999999999</v>
      </c>
      <c r="H2174" s="4">
        <v>1756</v>
      </c>
      <c r="I2174" s="4">
        <v>0</v>
      </c>
      <c r="J2174" s="4">
        <v>1675</v>
      </c>
      <c r="K2174" s="4">
        <v>0</v>
      </c>
      <c r="L2174" s="4">
        <v>525.63</v>
      </c>
      <c r="M2174" s="4">
        <v>2150</v>
      </c>
      <c r="N2174" s="4">
        <v>2125</v>
      </c>
      <c r="O2174" s="4">
        <v>0</v>
      </c>
      <c r="P2174" s="4">
        <v>2044.69</v>
      </c>
      <c r="Q2174" s="4">
        <v>0</v>
      </c>
      <c r="R2174" s="4">
        <v>1468.2</v>
      </c>
      <c r="S2174" s="8">
        <f t="shared" si="99"/>
        <v>1140.8866666666665</v>
      </c>
      <c r="T2174" s="8">
        <f t="shared" si="100"/>
        <v>327.3133333333335</v>
      </c>
      <c r="U2174" s="9">
        <f t="shared" si="101"/>
        <v>0.28689381942699554</v>
      </c>
    </row>
    <row r="2175" spans="1:22" outlineLevel="2">
      <c r="A2175" t="s">
        <v>585</v>
      </c>
      <c r="B2175" t="s">
        <v>586</v>
      </c>
      <c r="C2175" t="s">
        <v>597</v>
      </c>
      <c r="D2175" t="s">
        <v>598</v>
      </c>
      <c r="E2175" s="4">
        <v>5081.2299999999996</v>
      </c>
      <c r="F2175" s="4">
        <v>2503.8300000000004</v>
      </c>
      <c r="G2175" s="4">
        <v>4506.7299999999987</v>
      </c>
      <c r="H2175" s="4">
        <v>2270.69</v>
      </c>
      <c r="I2175" s="4">
        <v>2318.4400000000005</v>
      </c>
      <c r="J2175" s="4">
        <v>2848.51</v>
      </c>
      <c r="K2175" s="4">
        <v>4329.9100000000008</v>
      </c>
      <c r="L2175" s="4">
        <v>3295.1800000000003</v>
      </c>
      <c r="M2175" s="4">
        <v>5678.2800000000007</v>
      </c>
      <c r="N2175" s="4">
        <v>2467.9299999999998</v>
      </c>
      <c r="O2175" s="4">
        <v>1013.1800000000001</v>
      </c>
      <c r="P2175" s="4">
        <v>1628.9299999999996</v>
      </c>
      <c r="Q2175" s="4">
        <v>3595.1099999999997</v>
      </c>
      <c r="R2175" s="4">
        <v>3459.0699999999997</v>
      </c>
      <c r="S2175" s="8">
        <f t="shared" si="99"/>
        <v>2946.4349999999999</v>
      </c>
      <c r="T2175" s="8">
        <f t="shared" si="100"/>
        <v>512.63499999999976</v>
      </c>
      <c r="U2175" s="9">
        <f t="shared" si="101"/>
        <v>0.17398483251794108</v>
      </c>
    </row>
    <row r="2176" spans="1:22" outlineLevel="2">
      <c r="A2176" t="s">
        <v>585</v>
      </c>
      <c r="B2176" t="s">
        <v>586</v>
      </c>
      <c r="C2176" t="s">
        <v>83</v>
      </c>
      <c r="D2176" t="s">
        <v>84</v>
      </c>
      <c r="E2176" s="4">
        <v>1477.8199999999997</v>
      </c>
      <c r="F2176" s="4">
        <v>711.08000000000015</v>
      </c>
      <c r="G2176" s="4">
        <v>1444.97</v>
      </c>
      <c r="H2176" s="4">
        <v>1273.7699999999998</v>
      </c>
      <c r="I2176" s="4">
        <v>137825.31</v>
      </c>
      <c r="J2176" s="4">
        <v>1483.92</v>
      </c>
      <c r="K2176" s="4">
        <v>157.69</v>
      </c>
      <c r="L2176" s="4">
        <v>1142.6500000000001</v>
      </c>
      <c r="M2176" s="4">
        <v>716.73</v>
      </c>
      <c r="N2176" s="4">
        <v>162.85</v>
      </c>
      <c r="O2176" s="4">
        <v>324.71000000000004</v>
      </c>
      <c r="P2176" s="4">
        <v>1330.69</v>
      </c>
      <c r="Q2176" s="4">
        <v>1171.1599999999999</v>
      </c>
      <c r="R2176" s="4">
        <v>1644.6000000000001</v>
      </c>
      <c r="S2176" s="8">
        <f t="shared" si="99"/>
        <v>808.13166666666666</v>
      </c>
      <c r="T2176" s="8">
        <f t="shared" si="100"/>
        <v>836.46833333333348</v>
      </c>
      <c r="U2176" s="9">
        <f t="shared" si="101"/>
        <v>1.0350644181331838</v>
      </c>
    </row>
    <row r="2177" spans="1:22" outlineLevel="2">
      <c r="A2177" t="s">
        <v>585</v>
      </c>
      <c r="B2177" t="s">
        <v>586</v>
      </c>
      <c r="C2177" t="s">
        <v>85</v>
      </c>
      <c r="D2177" t="s">
        <v>86</v>
      </c>
      <c r="E2177" s="4">
        <v>9653.2799999999988</v>
      </c>
      <c r="F2177" s="4">
        <v>34166.270000000004</v>
      </c>
      <c r="G2177" s="4">
        <v>36207.230000000003</v>
      </c>
      <c r="H2177" s="4">
        <v>26150.740000000005</v>
      </c>
      <c r="I2177" s="4">
        <v>17078.949999999997</v>
      </c>
      <c r="J2177" s="4">
        <v>21929.71</v>
      </c>
      <c r="K2177" s="4">
        <v>32213.37000000001</v>
      </c>
      <c r="L2177" s="4">
        <v>16398.560000000001</v>
      </c>
      <c r="M2177" s="4">
        <v>53997.900000000031</v>
      </c>
      <c r="N2177" s="4">
        <v>19382.419999999995</v>
      </c>
      <c r="O2177" s="4">
        <v>11167.380000000001</v>
      </c>
      <c r="P2177" s="4">
        <v>48386.94999999999</v>
      </c>
      <c r="Q2177" s="4">
        <v>25526.780000000006</v>
      </c>
      <c r="R2177" s="4">
        <v>36292.489999999991</v>
      </c>
      <c r="S2177" s="8">
        <f t="shared" si="99"/>
        <v>29143.331666666669</v>
      </c>
      <c r="T2177" s="8">
        <f t="shared" si="100"/>
        <v>7149.1583333333219</v>
      </c>
      <c r="U2177" s="9">
        <f t="shared" si="101"/>
        <v>0.24531026222751087</v>
      </c>
      <c r="V2177" t="s">
        <v>896</v>
      </c>
    </row>
    <row r="2178" spans="1:22" outlineLevel="2">
      <c r="A2178" t="s">
        <v>585</v>
      </c>
      <c r="B2178" t="s">
        <v>586</v>
      </c>
      <c r="C2178" t="s">
        <v>599</v>
      </c>
      <c r="D2178" t="s">
        <v>311</v>
      </c>
      <c r="E2178" s="4">
        <v>10144.59</v>
      </c>
      <c r="F2178" s="4">
        <v>6466.1900000000005</v>
      </c>
      <c r="G2178" s="4">
        <v>4289.17</v>
      </c>
      <c r="H2178" s="4">
        <v>17024.329999999998</v>
      </c>
      <c r="I2178" s="4">
        <v>13744.789999999999</v>
      </c>
      <c r="J2178" s="4">
        <v>21942.18</v>
      </c>
      <c r="K2178" s="4">
        <v>17211.680000000004</v>
      </c>
      <c r="L2178" s="4">
        <v>11620.89</v>
      </c>
      <c r="M2178" s="4">
        <v>15399.299999999997</v>
      </c>
      <c r="N2178" s="4">
        <v>14794.030000000002</v>
      </c>
      <c r="O2178" s="4">
        <v>11092.460000000001</v>
      </c>
      <c r="P2178" s="4">
        <v>12952.340000000002</v>
      </c>
      <c r="Q2178" s="4">
        <v>7608.6399999999985</v>
      </c>
      <c r="R2178" s="4">
        <v>7277.9099999999989</v>
      </c>
      <c r="S2178" s="8">
        <f t="shared" si="99"/>
        <v>12244.61</v>
      </c>
      <c r="T2178" s="8">
        <f t="shared" si="100"/>
        <v>-4966.7000000000016</v>
      </c>
      <c r="U2178" s="9">
        <f t="shared" si="101"/>
        <v>-0.40562337224297068</v>
      </c>
    </row>
    <row r="2179" spans="1:22" outlineLevel="2">
      <c r="A2179" t="s">
        <v>585</v>
      </c>
      <c r="B2179" t="s">
        <v>586</v>
      </c>
      <c r="C2179" t="s">
        <v>310</v>
      </c>
      <c r="D2179" t="s">
        <v>311</v>
      </c>
      <c r="E2179" s="4">
        <v>11495.119999999999</v>
      </c>
      <c r="F2179" s="4">
        <v>9811.4500000000007</v>
      </c>
      <c r="G2179" s="4">
        <v>8540</v>
      </c>
      <c r="H2179" s="4">
        <v>4861.3500000000004</v>
      </c>
      <c r="I2179" s="4">
        <v>7841.6899999999987</v>
      </c>
      <c r="J2179" s="4">
        <v>3794.9800000000005</v>
      </c>
      <c r="K2179" s="4">
        <v>8626.619999999999</v>
      </c>
      <c r="L2179" s="4">
        <v>2829.38</v>
      </c>
      <c r="M2179" s="4">
        <v>6617.6999999999989</v>
      </c>
      <c r="N2179" s="4">
        <v>7776.4100000000017</v>
      </c>
      <c r="O2179" s="4">
        <v>3141.85</v>
      </c>
      <c r="P2179" s="4">
        <v>5128.79</v>
      </c>
      <c r="Q2179" s="4">
        <v>8849.74</v>
      </c>
      <c r="R2179" s="4">
        <v>4209.8599999999997</v>
      </c>
      <c r="S2179" s="8">
        <f t="shared" ref="S2179:S2242" si="102">AVERAGE(L2179:Q2179)</f>
        <v>5723.9783333333326</v>
      </c>
      <c r="T2179" s="8">
        <f t="shared" ref="T2179:T2242" si="103">R2179-S2179</f>
        <v>-1514.1183333333329</v>
      </c>
      <c r="U2179" s="9">
        <f t="shared" ref="U2179:U2242" si="104">(R2179-S2179)/S2179</f>
        <v>-0.26452202387209123</v>
      </c>
    </row>
    <row r="2180" spans="1:22" outlineLevel="2">
      <c r="A2180" t="s">
        <v>585</v>
      </c>
      <c r="B2180" t="s">
        <v>586</v>
      </c>
      <c r="C2180" t="s">
        <v>87</v>
      </c>
      <c r="D2180" t="s">
        <v>88</v>
      </c>
      <c r="E2180" s="4">
        <v>450.16</v>
      </c>
      <c r="F2180" s="4">
        <v>0</v>
      </c>
      <c r="G2180" s="4">
        <v>17.57</v>
      </c>
      <c r="H2180" s="4">
        <v>6.44</v>
      </c>
      <c r="I2180" s="4">
        <v>6.3</v>
      </c>
      <c r="J2180" s="4">
        <v>0</v>
      </c>
      <c r="K2180" s="4">
        <v>2.3199999999999998</v>
      </c>
      <c r="L2180" s="4">
        <v>944.13</v>
      </c>
      <c r="M2180" s="4">
        <v>0</v>
      </c>
      <c r="N2180" s="4">
        <v>4.59</v>
      </c>
      <c r="O2180" s="4">
        <v>114.9</v>
      </c>
      <c r="P2180" s="4">
        <v>0</v>
      </c>
      <c r="Q2180" s="4">
        <v>0</v>
      </c>
      <c r="R2180" s="4">
        <v>16.09</v>
      </c>
      <c r="S2180" s="8">
        <f t="shared" si="102"/>
        <v>177.27</v>
      </c>
      <c r="T2180" s="8">
        <f t="shared" si="103"/>
        <v>-161.18</v>
      </c>
      <c r="U2180" s="9">
        <f t="shared" si="104"/>
        <v>-0.90923450104360581</v>
      </c>
    </row>
    <row r="2181" spans="1:22" outlineLevel="2">
      <c r="A2181" t="s">
        <v>585</v>
      </c>
      <c r="B2181" t="s">
        <v>586</v>
      </c>
      <c r="C2181" t="s">
        <v>182</v>
      </c>
      <c r="D2181" t="s">
        <v>183</v>
      </c>
      <c r="E2181" s="4">
        <v>0</v>
      </c>
      <c r="F2181" s="4">
        <v>0</v>
      </c>
      <c r="G2181" s="4">
        <v>0</v>
      </c>
      <c r="H2181" s="4">
        <v>0</v>
      </c>
      <c r="I2181" s="4">
        <v>0</v>
      </c>
      <c r="J2181" s="4">
        <v>0</v>
      </c>
      <c r="K2181" s="4">
        <v>0</v>
      </c>
      <c r="L2181" s="4">
        <v>0</v>
      </c>
      <c r="M2181" s="4">
        <v>0</v>
      </c>
      <c r="N2181" s="4">
        <v>23.83</v>
      </c>
      <c r="O2181" s="4">
        <v>0</v>
      </c>
      <c r="P2181" s="4">
        <v>63.47</v>
      </c>
      <c r="Q2181" s="4">
        <v>0</v>
      </c>
      <c r="S2181" s="8">
        <f t="shared" si="102"/>
        <v>14.549999999999999</v>
      </c>
      <c r="T2181" s="8">
        <f t="shared" si="103"/>
        <v>-14.549999999999999</v>
      </c>
      <c r="U2181" s="9">
        <f t="shared" si="104"/>
        <v>-1</v>
      </c>
    </row>
    <row r="2182" spans="1:22" outlineLevel="2">
      <c r="A2182" t="s">
        <v>585</v>
      </c>
      <c r="B2182" t="s">
        <v>586</v>
      </c>
      <c r="C2182" t="s">
        <v>93</v>
      </c>
      <c r="D2182" t="s">
        <v>94</v>
      </c>
      <c r="E2182" s="4">
        <v>363.24</v>
      </c>
      <c r="F2182" s="4">
        <v>41.57</v>
      </c>
      <c r="G2182" s="4">
        <v>0</v>
      </c>
      <c r="H2182" s="4">
        <v>0</v>
      </c>
      <c r="I2182" s="4">
        <v>0</v>
      </c>
      <c r="J2182" s="4">
        <v>0</v>
      </c>
      <c r="K2182" s="4">
        <v>0</v>
      </c>
      <c r="L2182" s="4">
        <v>27.91</v>
      </c>
      <c r="M2182" s="4">
        <v>1786.96</v>
      </c>
      <c r="N2182" s="4">
        <v>0</v>
      </c>
      <c r="O2182" s="4">
        <v>33.26</v>
      </c>
      <c r="P2182" s="4">
        <v>0</v>
      </c>
      <c r="Q2182" s="4">
        <v>0</v>
      </c>
      <c r="S2182" s="8">
        <f t="shared" si="102"/>
        <v>308.0216666666667</v>
      </c>
      <c r="T2182" s="8">
        <f t="shared" si="103"/>
        <v>-308.0216666666667</v>
      </c>
      <c r="U2182" s="9">
        <f t="shared" si="104"/>
        <v>-1</v>
      </c>
    </row>
    <row r="2183" spans="1:22" outlineLevel="2">
      <c r="A2183" t="s">
        <v>585</v>
      </c>
      <c r="B2183" t="s">
        <v>586</v>
      </c>
      <c r="C2183" t="s">
        <v>97</v>
      </c>
      <c r="D2183" t="s">
        <v>98</v>
      </c>
      <c r="E2183" s="4">
        <v>7918.0700000000006</v>
      </c>
      <c r="F2183" s="4">
        <v>5754.9699999999984</v>
      </c>
      <c r="G2183" s="4">
        <v>4720.8700000000008</v>
      </c>
      <c r="H2183" s="4">
        <v>4516.8900000000012</v>
      </c>
      <c r="I2183" s="4">
        <v>5819.03</v>
      </c>
      <c r="J2183" s="4">
        <v>6009.8700000000008</v>
      </c>
      <c r="K2183" s="4">
        <v>7898.79</v>
      </c>
      <c r="L2183" s="4">
        <v>2442.34</v>
      </c>
      <c r="M2183" s="4">
        <v>5735.659999999998</v>
      </c>
      <c r="N2183" s="4">
        <v>8693.9500000000044</v>
      </c>
      <c r="O2183" s="4">
        <v>4590.51</v>
      </c>
      <c r="P2183" s="4">
        <v>21324.809999999998</v>
      </c>
      <c r="Q2183" s="4">
        <v>11154.61</v>
      </c>
      <c r="R2183" s="4">
        <v>5067.7199999999993</v>
      </c>
      <c r="S2183" s="8">
        <f t="shared" si="102"/>
        <v>8990.3133333333335</v>
      </c>
      <c r="T2183" s="8">
        <f t="shared" si="103"/>
        <v>-3922.5933333333342</v>
      </c>
      <c r="U2183" s="9">
        <f t="shared" si="104"/>
        <v>-0.43631330609908303</v>
      </c>
    </row>
    <row r="2184" spans="1:22" outlineLevel="2">
      <c r="A2184" t="s">
        <v>585</v>
      </c>
      <c r="B2184" t="s">
        <v>586</v>
      </c>
      <c r="C2184" t="s">
        <v>184</v>
      </c>
      <c r="D2184" t="s">
        <v>185</v>
      </c>
      <c r="E2184" s="4">
        <v>0</v>
      </c>
      <c r="F2184" s="4">
        <v>0</v>
      </c>
      <c r="G2184" s="4">
        <v>0</v>
      </c>
      <c r="H2184" s="4">
        <v>38.97</v>
      </c>
      <c r="I2184" s="4">
        <v>0</v>
      </c>
      <c r="J2184" s="4">
        <v>0</v>
      </c>
      <c r="K2184" s="4">
        <v>0</v>
      </c>
      <c r="L2184" s="4">
        <v>0</v>
      </c>
      <c r="M2184" s="4">
        <v>0</v>
      </c>
      <c r="N2184" s="4">
        <v>0</v>
      </c>
      <c r="O2184" s="4">
        <v>0</v>
      </c>
      <c r="P2184" s="4">
        <v>0</v>
      </c>
      <c r="Q2184" s="4">
        <v>0</v>
      </c>
      <c r="S2184" s="8">
        <f t="shared" si="102"/>
        <v>0</v>
      </c>
      <c r="T2184" s="8">
        <f t="shared" si="103"/>
        <v>0</v>
      </c>
      <c r="U2184" s="9" t="e">
        <f t="shared" si="104"/>
        <v>#DIV/0!</v>
      </c>
    </row>
    <row r="2185" spans="1:22" outlineLevel="2">
      <c r="A2185" t="s">
        <v>585</v>
      </c>
      <c r="B2185" t="s">
        <v>586</v>
      </c>
      <c r="C2185" t="s">
        <v>101</v>
      </c>
      <c r="D2185" t="s">
        <v>102</v>
      </c>
      <c r="E2185" s="4">
        <v>7518.64</v>
      </c>
      <c r="F2185" s="4">
        <v>1755.0700000000002</v>
      </c>
      <c r="G2185" s="4">
        <v>4340.6400000000003</v>
      </c>
      <c r="H2185" s="4">
        <v>3809.7599999999975</v>
      </c>
      <c r="I2185" s="4">
        <v>2805.0899999999974</v>
      </c>
      <c r="J2185" s="4">
        <v>2342.17</v>
      </c>
      <c r="K2185" s="4">
        <v>1837.3000000000002</v>
      </c>
      <c r="L2185" s="4">
        <v>10976.57</v>
      </c>
      <c r="M2185" s="4">
        <v>4334.6399999999985</v>
      </c>
      <c r="N2185" s="4">
        <v>1714.92</v>
      </c>
      <c r="O2185" s="4">
        <v>676.34</v>
      </c>
      <c r="P2185" s="4">
        <v>1335.8400000000001</v>
      </c>
      <c r="Q2185" s="4">
        <v>1495.41</v>
      </c>
      <c r="R2185" s="4">
        <v>854.32999999999993</v>
      </c>
      <c r="S2185" s="8">
        <f t="shared" si="102"/>
        <v>3422.2866666666664</v>
      </c>
      <c r="T2185" s="8">
        <f t="shared" si="103"/>
        <v>-2567.9566666666665</v>
      </c>
      <c r="U2185" s="9">
        <f t="shared" si="104"/>
        <v>-0.7503628178430406</v>
      </c>
    </row>
    <row r="2186" spans="1:22" outlineLevel="2">
      <c r="A2186" t="s">
        <v>585</v>
      </c>
      <c r="B2186" t="s">
        <v>586</v>
      </c>
      <c r="C2186" t="s">
        <v>105</v>
      </c>
      <c r="D2186" t="s">
        <v>106</v>
      </c>
      <c r="E2186" s="4">
        <v>0</v>
      </c>
      <c r="F2186" s="4">
        <v>0</v>
      </c>
      <c r="G2186" s="4">
        <v>0</v>
      </c>
      <c r="H2186" s="4">
        <v>0</v>
      </c>
      <c r="I2186" s="4">
        <v>0</v>
      </c>
      <c r="J2186" s="4">
        <v>0</v>
      </c>
      <c r="K2186" s="4">
        <v>291.26</v>
      </c>
      <c r="L2186" s="4">
        <v>0</v>
      </c>
      <c r="M2186" s="4">
        <v>0</v>
      </c>
      <c r="N2186" s="4">
        <v>0</v>
      </c>
      <c r="O2186" s="4">
        <v>0</v>
      </c>
      <c r="P2186" s="4">
        <v>0</v>
      </c>
      <c r="Q2186" s="4">
        <v>0</v>
      </c>
      <c r="S2186" s="8">
        <f t="shared" si="102"/>
        <v>0</v>
      </c>
      <c r="T2186" s="8">
        <f t="shared" si="103"/>
        <v>0</v>
      </c>
      <c r="U2186" s="9" t="e">
        <f t="shared" si="104"/>
        <v>#DIV/0!</v>
      </c>
    </row>
    <row r="2187" spans="1:22" outlineLevel="2">
      <c r="A2187" t="s">
        <v>585</v>
      </c>
      <c r="B2187" t="s">
        <v>586</v>
      </c>
      <c r="C2187" t="s">
        <v>198</v>
      </c>
      <c r="D2187" t="s">
        <v>199</v>
      </c>
      <c r="E2187" s="4">
        <v>0</v>
      </c>
      <c r="F2187" s="4">
        <v>0</v>
      </c>
      <c r="G2187" s="4">
        <v>0</v>
      </c>
      <c r="H2187" s="4">
        <v>0</v>
      </c>
      <c r="I2187" s="4">
        <v>0</v>
      </c>
      <c r="J2187" s="4">
        <v>627.4</v>
      </c>
      <c r="K2187" s="4">
        <v>0</v>
      </c>
      <c r="L2187" s="4">
        <v>0</v>
      </c>
      <c r="M2187" s="4">
        <v>0</v>
      </c>
      <c r="N2187" s="4">
        <v>0</v>
      </c>
      <c r="O2187" s="4">
        <v>0</v>
      </c>
      <c r="P2187" s="4">
        <v>0</v>
      </c>
      <c r="Q2187" s="4">
        <v>0</v>
      </c>
      <c r="S2187" s="8">
        <f t="shared" si="102"/>
        <v>0</v>
      </c>
      <c r="T2187" s="8">
        <f t="shared" si="103"/>
        <v>0</v>
      </c>
      <c r="U2187" s="9" t="e">
        <f t="shared" si="104"/>
        <v>#DIV/0!</v>
      </c>
    </row>
    <row r="2188" spans="1:22" outlineLevel="2">
      <c r="A2188" t="s">
        <v>585</v>
      </c>
      <c r="B2188" t="s">
        <v>586</v>
      </c>
      <c r="C2188" t="s">
        <v>312</v>
      </c>
      <c r="D2188" t="s">
        <v>313</v>
      </c>
      <c r="E2188" s="4">
        <v>1272</v>
      </c>
      <c r="F2188" s="4">
        <v>685</v>
      </c>
      <c r="G2188" s="4">
        <v>722</v>
      </c>
      <c r="H2188" s="4">
        <v>550</v>
      </c>
      <c r="I2188" s="4">
        <v>200</v>
      </c>
      <c r="J2188" s="4">
        <v>1357.51</v>
      </c>
      <c r="K2188" s="4">
        <v>2148.16</v>
      </c>
      <c r="L2188" s="4">
        <v>1050</v>
      </c>
      <c r="M2188" s="4">
        <v>632.63</v>
      </c>
      <c r="N2188" s="4">
        <v>400</v>
      </c>
      <c r="O2188" s="4">
        <v>114</v>
      </c>
      <c r="P2188" s="4">
        <v>696.29</v>
      </c>
      <c r="Q2188" s="4">
        <v>1329.5</v>
      </c>
      <c r="R2188" s="4">
        <v>1675.33</v>
      </c>
      <c r="S2188" s="8">
        <f t="shared" si="102"/>
        <v>703.73666666666668</v>
      </c>
      <c r="T2188" s="8">
        <f t="shared" si="103"/>
        <v>971.59333333333325</v>
      </c>
      <c r="U2188" s="9">
        <f t="shared" si="104"/>
        <v>1.3806205919827965</v>
      </c>
    </row>
    <row r="2189" spans="1:22" outlineLevel="2">
      <c r="A2189" t="s">
        <v>585</v>
      </c>
      <c r="B2189" t="s">
        <v>586</v>
      </c>
      <c r="C2189" t="s">
        <v>111</v>
      </c>
      <c r="D2189" t="s">
        <v>112</v>
      </c>
      <c r="E2189" s="4">
        <v>0</v>
      </c>
      <c r="F2189" s="4">
        <v>0</v>
      </c>
      <c r="G2189" s="4">
        <v>0</v>
      </c>
      <c r="H2189" s="4">
        <v>0</v>
      </c>
      <c r="I2189" s="4">
        <v>0</v>
      </c>
      <c r="J2189" s="4">
        <v>0</v>
      </c>
      <c r="K2189" s="4">
        <v>0</v>
      </c>
      <c r="L2189" s="4">
        <v>-78.12</v>
      </c>
      <c r="M2189" s="4">
        <v>0</v>
      </c>
      <c r="N2189" s="4">
        <v>0</v>
      </c>
      <c r="O2189" s="4">
        <v>0</v>
      </c>
      <c r="P2189" s="4">
        <v>0</v>
      </c>
      <c r="Q2189" s="4">
        <v>0</v>
      </c>
      <c r="S2189" s="8">
        <f t="shared" si="102"/>
        <v>-13.020000000000001</v>
      </c>
      <c r="T2189" s="8">
        <f t="shared" si="103"/>
        <v>13.020000000000001</v>
      </c>
      <c r="U2189" s="9">
        <f t="shared" si="104"/>
        <v>-1</v>
      </c>
    </row>
    <row r="2190" spans="1:22" outlineLevel="2">
      <c r="A2190" t="s">
        <v>585</v>
      </c>
      <c r="B2190" t="s">
        <v>586</v>
      </c>
      <c r="C2190" t="s">
        <v>115</v>
      </c>
      <c r="D2190" t="s">
        <v>116</v>
      </c>
      <c r="E2190" s="4">
        <v>0</v>
      </c>
      <c r="F2190" s="4">
        <v>0</v>
      </c>
      <c r="G2190" s="4">
        <v>0</v>
      </c>
      <c r="H2190" s="4">
        <v>0</v>
      </c>
      <c r="I2190" s="4">
        <v>0</v>
      </c>
      <c r="J2190" s="4">
        <v>0</v>
      </c>
      <c r="K2190" s="4">
        <v>0</v>
      </c>
      <c r="L2190" s="4">
        <v>0</v>
      </c>
      <c r="M2190" s="4">
        <v>0</v>
      </c>
      <c r="N2190" s="4">
        <v>0</v>
      </c>
      <c r="O2190" s="4">
        <v>0</v>
      </c>
      <c r="P2190" s="4">
        <v>0</v>
      </c>
      <c r="Q2190" s="4">
        <v>0</v>
      </c>
      <c r="R2190" s="4">
        <v>-512.36</v>
      </c>
      <c r="S2190" s="8">
        <f t="shared" si="102"/>
        <v>0</v>
      </c>
      <c r="T2190" s="8">
        <f t="shared" si="103"/>
        <v>-512.36</v>
      </c>
      <c r="U2190" s="9" t="e">
        <f t="shared" si="104"/>
        <v>#DIV/0!</v>
      </c>
      <c r="V2190" t="s">
        <v>895</v>
      </c>
    </row>
    <row r="2191" spans="1:22" outlineLevel="2">
      <c r="A2191" t="s">
        <v>585</v>
      </c>
      <c r="B2191" t="s">
        <v>586</v>
      </c>
      <c r="C2191" t="s">
        <v>170</v>
      </c>
      <c r="D2191" t="s">
        <v>171</v>
      </c>
      <c r="E2191" s="4">
        <v>708.75</v>
      </c>
      <c r="F2191" s="4">
        <v>472.5</v>
      </c>
      <c r="G2191" s="4">
        <v>472.5</v>
      </c>
      <c r="H2191" s="4">
        <v>459</v>
      </c>
      <c r="I2191" s="4">
        <v>355.5</v>
      </c>
      <c r="J2191" s="4">
        <v>355.5</v>
      </c>
      <c r="K2191" s="4">
        <v>315</v>
      </c>
      <c r="L2191" s="4">
        <v>459</v>
      </c>
      <c r="M2191" s="4">
        <v>301.5</v>
      </c>
      <c r="N2191" s="4">
        <v>301.5</v>
      </c>
      <c r="O2191" s="4">
        <v>301.5</v>
      </c>
      <c r="P2191" s="4">
        <v>301.5</v>
      </c>
      <c r="Q2191" s="4">
        <v>150.75</v>
      </c>
      <c r="S2191" s="8">
        <f t="shared" si="102"/>
        <v>302.625</v>
      </c>
      <c r="T2191" s="8">
        <f t="shared" si="103"/>
        <v>-302.625</v>
      </c>
      <c r="U2191" s="9">
        <f t="shared" si="104"/>
        <v>-1</v>
      </c>
    </row>
    <row r="2192" spans="1:22" outlineLevel="2">
      <c r="A2192" t="s">
        <v>585</v>
      </c>
      <c r="B2192" t="s">
        <v>586</v>
      </c>
      <c r="C2192" t="s">
        <v>119</v>
      </c>
      <c r="D2192" t="s">
        <v>120</v>
      </c>
      <c r="E2192" s="4">
        <v>5194.67</v>
      </c>
      <c r="F2192" s="4">
        <v>2425.79</v>
      </c>
      <c r="G2192" s="4">
        <v>1146.58</v>
      </c>
      <c r="H2192" s="4">
        <v>3332.5499999999997</v>
      </c>
      <c r="I2192" s="4">
        <v>867.57</v>
      </c>
      <c r="J2192" s="4">
        <v>1596.8400000000001</v>
      </c>
      <c r="K2192" s="4">
        <v>0</v>
      </c>
      <c r="L2192" s="4">
        <v>2934.0299999999997</v>
      </c>
      <c r="M2192" s="4">
        <v>1466.1100000000001</v>
      </c>
      <c r="N2192" s="4">
        <v>2538.13</v>
      </c>
      <c r="O2192" s="4">
        <v>263</v>
      </c>
      <c r="P2192" s="4">
        <v>2930.55</v>
      </c>
      <c r="Q2192" s="4">
        <v>467.53</v>
      </c>
      <c r="R2192" s="4">
        <v>1430.37</v>
      </c>
      <c r="S2192" s="8">
        <f t="shared" si="102"/>
        <v>1766.5583333333334</v>
      </c>
      <c r="T2192" s="8">
        <f t="shared" si="103"/>
        <v>-336.1883333333335</v>
      </c>
      <c r="U2192" s="9">
        <f t="shared" si="104"/>
        <v>-0.19030695278484067</v>
      </c>
    </row>
    <row r="2193" spans="1:22" outlineLevel="2">
      <c r="A2193" t="s">
        <v>585</v>
      </c>
      <c r="B2193" t="s">
        <v>586</v>
      </c>
      <c r="C2193" t="s">
        <v>121</v>
      </c>
      <c r="D2193" t="s">
        <v>122</v>
      </c>
      <c r="E2193" s="4">
        <v>216480.72999999998</v>
      </c>
      <c r="F2193" s="4">
        <v>294244.32</v>
      </c>
      <c r="G2193" s="4">
        <v>222570.38</v>
      </c>
      <c r="H2193" s="4">
        <v>223833.47999999998</v>
      </c>
      <c r="I2193" s="4">
        <v>183570.5</v>
      </c>
      <c r="J2193" s="4">
        <v>178582.45</v>
      </c>
      <c r="K2193" s="4">
        <v>176684.84</v>
      </c>
      <c r="L2193" s="4">
        <v>205758.9</v>
      </c>
      <c r="M2193" s="4">
        <v>211931.26</v>
      </c>
      <c r="N2193" s="4">
        <v>150159.27999999997</v>
      </c>
      <c r="O2193" s="4">
        <v>239828.11000000002</v>
      </c>
      <c r="P2193" s="4">
        <v>180020.93</v>
      </c>
      <c r="Q2193" s="4">
        <v>165506.35999999999</v>
      </c>
      <c r="R2193" s="4">
        <v>174502.71</v>
      </c>
      <c r="S2193" s="8">
        <f t="shared" si="102"/>
        <v>192200.80666666664</v>
      </c>
      <c r="T2193" s="8">
        <f t="shared" si="103"/>
        <v>-17698.09666666665</v>
      </c>
      <c r="U2193" s="9">
        <f t="shared" si="104"/>
        <v>-9.2081281934265832E-2</v>
      </c>
    </row>
    <row r="2194" spans="1:22" outlineLevel="2">
      <c r="A2194" t="s">
        <v>585</v>
      </c>
      <c r="B2194" t="s">
        <v>586</v>
      </c>
      <c r="C2194" t="s">
        <v>522</v>
      </c>
      <c r="D2194" t="s">
        <v>523</v>
      </c>
      <c r="E2194" s="4">
        <v>0</v>
      </c>
      <c r="F2194" s="4">
        <v>0</v>
      </c>
      <c r="G2194" s="4">
        <v>6000</v>
      </c>
      <c r="H2194" s="4">
        <v>0</v>
      </c>
      <c r="I2194" s="4">
        <v>0</v>
      </c>
      <c r="J2194" s="4">
        <v>0</v>
      </c>
      <c r="K2194" s="4">
        <v>0</v>
      </c>
      <c r="L2194" s="4">
        <v>0</v>
      </c>
      <c r="M2194" s="4">
        <v>0</v>
      </c>
      <c r="N2194" s="4">
        <v>0</v>
      </c>
      <c r="O2194" s="4">
        <v>0</v>
      </c>
      <c r="P2194" s="4">
        <v>0</v>
      </c>
      <c r="Q2194" s="4">
        <v>0</v>
      </c>
      <c r="S2194" s="8">
        <f t="shared" si="102"/>
        <v>0</v>
      </c>
      <c r="T2194" s="8">
        <f t="shared" si="103"/>
        <v>0</v>
      </c>
      <c r="U2194" s="9" t="e">
        <f t="shared" si="104"/>
        <v>#DIV/0!</v>
      </c>
    </row>
    <row r="2195" spans="1:22" outlineLevel="2">
      <c r="A2195" t="s">
        <v>585</v>
      </c>
      <c r="B2195" t="s">
        <v>586</v>
      </c>
      <c r="C2195" t="s">
        <v>186</v>
      </c>
      <c r="D2195" t="s">
        <v>187</v>
      </c>
      <c r="E2195" s="4">
        <v>0</v>
      </c>
      <c r="F2195" s="4">
        <v>0</v>
      </c>
      <c r="G2195" s="4">
        <v>0</v>
      </c>
      <c r="H2195" s="4">
        <v>0</v>
      </c>
      <c r="I2195" s="4">
        <v>0</v>
      </c>
      <c r="J2195" s="4">
        <v>0</v>
      </c>
      <c r="K2195" s="4">
        <v>0</v>
      </c>
      <c r="L2195" s="4">
        <v>0</v>
      </c>
      <c r="M2195" s="4">
        <v>0</v>
      </c>
      <c r="N2195" s="4">
        <v>0</v>
      </c>
      <c r="O2195" s="4">
        <v>0</v>
      </c>
      <c r="P2195" s="4">
        <v>37</v>
      </c>
      <c r="Q2195" s="4">
        <v>0</v>
      </c>
      <c r="S2195" s="8">
        <f t="shared" si="102"/>
        <v>6.166666666666667</v>
      </c>
      <c r="T2195" s="8">
        <f t="shared" si="103"/>
        <v>-6.166666666666667</v>
      </c>
      <c r="U2195" s="9">
        <f t="shared" si="104"/>
        <v>-1</v>
      </c>
    </row>
    <row r="2196" spans="1:22" outlineLevel="2">
      <c r="A2196" t="s">
        <v>585</v>
      </c>
      <c r="B2196" t="s">
        <v>586</v>
      </c>
      <c r="C2196" t="s">
        <v>362</v>
      </c>
      <c r="D2196" t="s">
        <v>363</v>
      </c>
      <c r="E2196" s="4">
        <v>0</v>
      </c>
      <c r="F2196" s="4">
        <v>0</v>
      </c>
      <c r="G2196" s="4">
        <v>0</v>
      </c>
      <c r="H2196" s="4">
        <v>0</v>
      </c>
      <c r="I2196" s="4">
        <v>0</v>
      </c>
      <c r="J2196" s="4">
        <v>0.02</v>
      </c>
      <c r="K2196" s="4">
        <v>0</v>
      </c>
      <c r="L2196" s="4">
        <v>0</v>
      </c>
      <c r="M2196" s="4">
        <v>0</v>
      </c>
      <c r="N2196" s="4">
        <v>0</v>
      </c>
      <c r="O2196" s="4">
        <v>0</v>
      </c>
      <c r="P2196" s="4">
        <v>0</v>
      </c>
      <c r="Q2196" s="4">
        <v>0</v>
      </c>
      <c r="S2196" s="8">
        <f t="shared" si="102"/>
        <v>0</v>
      </c>
      <c r="T2196" s="8">
        <f t="shared" si="103"/>
        <v>0</v>
      </c>
      <c r="U2196" s="9" t="e">
        <f t="shared" si="104"/>
        <v>#DIV/0!</v>
      </c>
    </row>
    <row r="2197" spans="1:22" outlineLevel="2">
      <c r="A2197" t="s">
        <v>585</v>
      </c>
      <c r="B2197" t="s">
        <v>586</v>
      </c>
      <c r="C2197" t="s">
        <v>127</v>
      </c>
      <c r="D2197" t="s">
        <v>120</v>
      </c>
      <c r="E2197" s="4">
        <v>-27412.17</v>
      </c>
      <c r="F2197" s="4">
        <v>-75.080000000000013</v>
      </c>
      <c r="G2197" s="4">
        <v>-0.36</v>
      </c>
      <c r="H2197" s="4">
        <v>31.3</v>
      </c>
      <c r="I2197" s="4">
        <v>-77.690000000000012</v>
      </c>
      <c r="J2197" s="4">
        <v>26082.579999999998</v>
      </c>
      <c r="K2197" s="4">
        <v>-13.899999999999999</v>
      </c>
      <c r="L2197" s="4">
        <v>6162.7600000000011</v>
      </c>
      <c r="M2197" s="4">
        <v>32.409999999999997</v>
      </c>
      <c r="N2197" s="4">
        <v>86.7</v>
      </c>
      <c r="O2197" s="4">
        <v>-334.7</v>
      </c>
      <c r="P2197" s="4">
        <v>207.92</v>
      </c>
      <c r="Q2197" s="4">
        <v>152.98000000000002</v>
      </c>
      <c r="R2197" s="4">
        <v>477.71999999999997</v>
      </c>
      <c r="S2197" s="8">
        <f t="shared" si="102"/>
        <v>1051.3450000000003</v>
      </c>
      <c r="T2197" s="8">
        <f t="shared" si="103"/>
        <v>-573.62500000000023</v>
      </c>
      <c r="U2197" s="9">
        <f t="shared" si="104"/>
        <v>-0.54561062258345272</v>
      </c>
    </row>
    <row r="2198" spans="1:22" outlineLevel="2">
      <c r="A2198" t="s">
        <v>585</v>
      </c>
      <c r="B2198" t="s">
        <v>586</v>
      </c>
      <c r="C2198" t="s">
        <v>600</v>
      </c>
      <c r="D2198" t="s">
        <v>601</v>
      </c>
      <c r="E2198" s="4">
        <v>1572408.44</v>
      </c>
      <c r="F2198" s="4">
        <v>1654135.25</v>
      </c>
      <c r="G2198" s="4">
        <v>1605188.15</v>
      </c>
      <c r="H2198" s="4">
        <v>1462299.73</v>
      </c>
      <c r="I2198" s="4">
        <v>1414736.3900000001</v>
      </c>
      <c r="J2198" s="4">
        <v>1378706.67</v>
      </c>
      <c r="K2198" s="4">
        <v>1471160.9200000002</v>
      </c>
      <c r="L2198" s="4">
        <v>1440036.2000000002</v>
      </c>
      <c r="M2198" s="4">
        <v>1450651.1900000002</v>
      </c>
      <c r="N2198" s="4">
        <v>1364145.52</v>
      </c>
      <c r="O2198" s="4">
        <v>1351994.8399999999</v>
      </c>
      <c r="P2198" s="4">
        <v>1641301.96</v>
      </c>
      <c r="Q2198" s="4">
        <v>1313987.24</v>
      </c>
      <c r="S2198" s="8">
        <f t="shared" si="102"/>
        <v>1427019.4916666665</v>
      </c>
      <c r="T2198" s="8">
        <f t="shared" si="103"/>
        <v>-1427019.4916666665</v>
      </c>
      <c r="U2198" s="9">
        <f t="shared" si="104"/>
        <v>-1</v>
      </c>
    </row>
    <row r="2199" spans="1:22" outlineLevel="2">
      <c r="A2199" t="s">
        <v>585</v>
      </c>
      <c r="B2199" t="s">
        <v>586</v>
      </c>
      <c r="C2199" t="s">
        <v>190</v>
      </c>
      <c r="D2199" t="s">
        <v>191</v>
      </c>
      <c r="E2199" s="4">
        <v>0</v>
      </c>
      <c r="F2199" s="4">
        <v>0</v>
      </c>
      <c r="G2199" s="4">
        <v>0</v>
      </c>
      <c r="H2199" s="4">
        <v>0</v>
      </c>
      <c r="I2199" s="4">
        <v>0</v>
      </c>
      <c r="J2199" s="4">
        <v>0</v>
      </c>
      <c r="K2199" s="4">
        <v>0</v>
      </c>
      <c r="L2199" s="4">
        <v>1010.81</v>
      </c>
      <c r="M2199" s="4">
        <v>0</v>
      </c>
      <c r="N2199" s="4">
        <v>0</v>
      </c>
      <c r="O2199" s="4">
        <v>0</v>
      </c>
      <c r="P2199" s="4">
        <v>0</v>
      </c>
      <c r="Q2199" s="4">
        <v>0</v>
      </c>
      <c r="S2199" s="8">
        <f t="shared" si="102"/>
        <v>168.46833333333333</v>
      </c>
      <c r="T2199" s="8">
        <f t="shared" si="103"/>
        <v>-168.46833333333333</v>
      </c>
      <c r="U2199" s="9">
        <f t="shared" si="104"/>
        <v>-1</v>
      </c>
    </row>
    <row r="2200" spans="1:22" outlineLevel="2">
      <c r="A2200" t="s">
        <v>585</v>
      </c>
      <c r="B2200" t="s">
        <v>586</v>
      </c>
      <c r="C2200" t="s">
        <v>238</v>
      </c>
      <c r="D2200" t="s">
        <v>239</v>
      </c>
      <c r="E2200" s="4">
        <v>0</v>
      </c>
      <c r="F2200" s="4">
        <v>566.24</v>
      </c>
      <c r="G2200" s="4">
        <v>168.04</v>
      </c>
      <c r="H2200" s="4">
        <v>0</v>
      </c>
      <c r="I2200" s="4">
        <v>0</v>
      </c>
      <c r="J2200" s="4">
        <v>150.37</v>
      </c>
      <c r="K2200" s="4">
        <v>0</v>
      </c>
      <c r="L2200" s="4">
        <v>0</v>
      </c>
      <c r="M2200" s="4">
        <v>1135.6400000000001</v>
      </c>
      <c r="N2200" s="4">
        <v>0</v>
      </c>
      <c r="O2200" s="4">
        <v>0</v>
      </c>
      <c r="P2200" s="4">
        <v>0</v>
      </c>
      <c r="Q2200" s="4">
        <v>0</v>
      </c>
      <c r="R2200" s="4">
        <v>19.22</v>
      </c>
      <c r="S2200" s="8">
        <f t="shared" si="102"/>
        <v>189.27333333333334</v>
      </c>
      <c r="T2200" s="8">
        <f t="shared" si="103"/>
        <v>-170.05333333333334</v>
      </c>
      <c r="U2200" s="9">
        <f t="shared" si="104"/>
        <v>-0.89845373533866368</v>
      </c>
    </row>
    <row r="2201" spans="1:22" outlineLevel="2">
      <c r="A2201" t="s">
        <v>585</v>
      </c>
      <c r="B2201" t="s">
        <v>586</v>
      </c>
      <c r="C2201" t="s">
        <v>240</v>
      </c>
      <c r="D2201" t="s">
        <v>241</v>
      </c>
      <c r="E2201" s="4">
        <v>13976.7</v>
      </c>
      <c r="F2201" s="4">
        <v>15186.27</v>
      </c>
      <c r="G2201" s="4">
        <v>10066.48</v>
      </c>
      <c r="H2201" s="4">
        <v>11346.43</v>
      </c>
      <c r="I2201" s="4">
        <v>11346.43</v>
      </c>
      <c r="J2201" s="4">
        <v>11346.43</v>
      </c>
      <c r="K2201" s="4">
        <v>14935.970000000001</v>
      </c>
      <c r="L2201" s="4">
        <v>14935.970000000001</v>
      </c>
      <c r="M2201" s="4">
        <v>14935.97</v>
      </c>
      <c r="N2201" s="4">
        <v>14935.970000000001</v>
      </c>
      <c r="O2201" s="4">
        <v>14935.970000000001</v>
      </c>
      <c r="P2201" s="4">
        <v>-220185.22999999998</v>
      </c>
      <c r="Q2201" s="4">
        <v>6326.98</v>
      </c>
      <c r="R2201" s="4">
        <v>6326.98</v>
      </c>
      <c r="S2201" s="8">
        <f t="shared" si="102"/>
        <v>-25685.728333333329</v>
      </c>
      <c r="T2201" s="8">
        <f t="shared" si="103"/>
        <v>32012.708333333328</v>
      </c>
      <c r="U2201" s="9">
        <f t="shared" si="104"/>
        <v>-1.2463227796343717</v>
      </c>
    </row>
    <row r="2202" spans="1:22" outlineLevel="2">
      <c r="A2202" t="s">
        <v>585</v>
      </c>
      <c r="B2202" t="s">
        <v>586</v>
      </c>
      <c r="C2202" t="s">
        <v>602</v>
      </c>
      <c r="D2202" t="s">
        <v>603</v>
      </c>
      <c r="E2202" s="4">
        <v>0</v>
      </c>
      <c r="F2202" s="4">
        <v>0</v>
      </c>
      <c r="G2202" s="4">
        <v>367.99</v>
      </c>
      <c r="H2202" s="4">
        <v>714.34</v>
      </c>
      <c r="I2202" s="4">
        <v>0</v>
      </c>
      <c r="J2202" s="4">
        <v>0</v>
      </c>
      <c r="K2202" s="4">
        <v>0</v>
      </c>
      <c r="L2202" s="4">
        <v>575.23</v>
      </c>
      <c r="M2202" s="4">
        <v>0</v>
      </c>
      <c r="N2202" s="4">
        <v>0</v>
      </c>
      <c r="O2202" s="4">
        <v>0</v>
      </c>
      <c r="P2202" s="4">
        <v>0</v>
      </c>
      <c r="Q2202" s="4">
        <v>0</v>
      </c>
      <c r="R2202" s="4">
        <v>7385.02</v>
      </c>
      <c r="S2202" s="8">
        <f t="shared" si="102"/>
        <v>95.87166666666667</v>
      </c>
      <c r="T2202" s="8">
        <f t="shared" si="103"/>
        <v>7289.1483333333335</v>
      </c>
      <c r="U2202" s="9">
        <f t="shared" si="104"/>
        <v>76.030266154407798</v>
      </c>
    </row>
    <row r="2203" spans="1:22" outlineLevel="2">
      <c r="A2203" t="s">
        <v>585</v>
      </c>
      <c r="B2203" t="s">
        <v>586</v>
      </c>
      <c r="C2203" t="s">
        <v>132</v>
      </c>
      <c r="D2203" t="s">
        <v>133</v>
      </c>
      <c r="E2203" s="4">
        <v>-31928.040000000008</v>
      </c>
      <c r="F2203" s="4">
        <v>-51868.12</v>
      </c>
      <c r="G2203" s="4">
        <v>-11686.82</v>
      </c>
      <c r="H2203" s="4">
        <v>-470</v>
      </c>
      <c r="I2203" s="4">
        <v>0</v>
      </c>
      <c r="J2203" s="4">
        <v>-40984</v>
      </c>
      <c r="K2203" s="4">
        <v>-62839</v>
      </c>
      <c r="L2203" s="4">
        <v>-12032</v>
      </c>
      <c r="M2203" s="4">
        <v>-52875.040000000008</v>
      </c>
      <c r="N2203" s="4">
        <v>0</v>
      </c>
      <c r="O2203" s="4">
        <v>-15243.119999999999</v>
      </c>
      <c r="P2203" s="4">
        <v>-24795.360000000001</v>
      </c>
      <c r="Q2203" s="4">
        <v>-3085.6200000000026</v>
      </c>
      <c r="R2203" s="4">
        <v>-19247.079999999994</v>
      </c>
      <c r="S2203" s="8">
        <f t="shared" si="102"/>
        <v>-18005.190000000002</v>
      </c>
      <c r="T2203" s="8">
        <f t="shared" si="103"/>
        <v>-1241.8899999999921</v>
      </c>
      <c r="U2203" s="9">
        <f t="shared" si="104"/>
        <v>6.897400138515572E-2</v>
      </c>
      <c r="V2203" t="s">
        <v>897</v>
      </c>
    </row>
    <row r="2204" spans="1:22" outlineLevel="1">
      <c r="A2204" s="1" t="s">
        <v>849</v>
      </c>
      <c r="E2204" s="4">
        <f>SUBTOTAL(9,E2130:E2203)</f>
        <v>3161006.6600000006</v>
      </c>
      <c r="F2204" s="4">
        <f>SUBTOTAL(9,F2130:F2203)</f>
        <v>3318702.0900000003</v>
      </c>
      <c r="G2204" s="4">
        <f>SUBTOTAL(9,G2130:G2203)</f>
        <v>3166309.9000000004</v>
      </c>
      <c r="H2204" s="4">
        <f>SUBTOTAL(9,H2130:H2203)</f>
        <v>2924296.56</v>
      </c>
      <c r="I2204" s="4">
        <f>SUBTOTAL(9,I2130:I2203)</f>
        <v>2907636.6800000006</v>
      </c>
      <c r="J2204" s="4">
        <f>SUBTOTAL(9,J2130:J2203)</f>
        <v>2755312.5100000002</v>
      </c>
      <c r="K2204" s="4">
        <f>SUBTOTAL(9,K2130:K2203)</f>
        <v>2845738.560000001</v>
      </c>
      <c r="L2204" s="4">
        <f>SUBTOTAL(9,L2130:L2203)</f>
        <v>2879627.7499999995</v>
      </c>
      <c r="M2204" s="4">
        <f>SUBTOTAL(9,M2130:M2203)</f>
        <v>2929057.3300000005</v>
      </c>
      <c r="N2204" s="4">
        <f>SUBTOTAL(9,N2130:N2203)</f>
        <v>2729772.68</v>
      </c>
      <c r="O2204" s="4">
        <f>SUBTOTAL(9,O2130:O2203)</f>
        <v>2687997.9199999995</v>
      </c>
      <c r="P2204" s="4">
        <f>SUBTOTAL(9,P2130:P2203)</f>
        <v>3020178.42</v>
      </c>
      <c r="Q2204" s="4">
        <f>SUBTOTAL(9,Q2130:Q2203)</f>
        <v>2711436.3699999996</v>
      </c>
      <c r="R2204" s="4">
        <f>SUBTOTAL(9,R2130:R2203)</f>
        <v>603679.83999999985</v>
      </c>
      <c r="S2204" s="8">
        <f t="shared" si="102"/>
        <v>2826345.0783333331</v>
      </c>
      <c r="T2204" s="8">
        <f t="shared" si="103"/>
        <v>-2222665.2383333333</v>
      </c>
      <c r="U2204" s="9">
        <f t="shared" si="104"/>
        <v>-0.78640971881749711</v>
      </c>
      <c r="V2204" t="s">
        <v>897</v>
      </c>
    </row>
    <row r="2205" spans="1:22" outlineLevel="2">
      <c r="A2205" t="s">
        <v>604</v>
      </c>
      <c r="B2205" t="s">
        <v>605</v>
      </c>
      <c r="C2205" t="s">
        <v>19</v>
      </c>
      <c r="D2205" t="s">
        <v>20</v>
      </c>
      <c r="E2205" s="4">
        <v>0</v>
      </c>
      <c r="F2205" s="4">
        <v>0</v>
      </c>
      <c r="G2205" s="4">
        <v>0</v>
      </c>
      <c r="H2205" s="4">
        <v>0</v>
      </c>
      <c r="I2205" s="4">
        <v>0</v>
      </c>
      <c r="J2205" s="4">
        <v>165.33</v>
      </c>
      <c r="K2205" s="4">
        <v>-165.33</v>
      </c>
      <c r="L2205" s="4">
        <v>0</v>
      </c>
      <c r="M2205" s="4">
        <v>0</v>
      </c>
      <c r="N2205" s="4">
        <v>0</v>
      </c>
      <c r="O2205" s="4">
        <v>0</v>
      </c>
      <c r="P2205" s="4">
        <v>0</v>
      </c>
      <c r="Q2205" s="4">
        <v>0</v>
      </c>
      <c r="S2205" s="8">
        <f t="shared" si="102"/>
        <v>0</v>
      </c>
      <c r="T2205" s="8">
        <f t="shared" si="103"/>
        <v>0</v>
      </c>
      <c r="U2205" s="9" t="e">
        <f t="shared" si="104"/>
        <v>#DIV/0!</v>
      </c>
    </row>
    <row r="2206" spans="1:22" outlineLevel="2">
      <c r="A2206" t="s">
        <v>604</v>
      </c>
      <c r="B2206" t="s">
        <v>605</v>
      </c>
      <c r="C2206" t="s">
        <v>21</v>
      </c>
      <c r="D2206" t="s">
        <v>22</v>
      </c>
      <c r="E2206" s="4">
        <v>-199.85</v>
      </c>
      <c r="F2206" s="4">
        <v>-302.31</v>
      </c>
      <c r="G2206" s="4">
        <v>-482.5</v>
      </c>
      <c r="H2206" s="4">
        <v>-381.65</v>
      </c>
      <c r="I2206" s="4">
        <v>-407.49</v>
      </c>
      <c r="J2206" s="4">
        <v>-283.16000000000003</v>
      </c>
      <c r="K2206" s="4">
        <v>-384.29</v>
      </c>
      <c r="L2206" s="4">
        <v>-340.94</v>
      </c>
      <c r="M2206" s="4">
        <v>-169.71</v>
      </c>
      <c r="N2206" s="4">
        <v>-85.35</v>
      </c>
      <c r="O2206" s="4">
        <v>-720.24</v>
      </c>
      <c r="P2206" s="4">
        <v>-77.849999999999994</v>
      </c>
      <c r="Q2206" s="4">
        <v>-726.34</v>
      </c>
      <c r="S2206" s="8">
        <f t="shared" si="102"/>
        <v>-353.40499999999997</v>
      </c>
      <c r="T2206" s="8">
        <f t="shared" si="103"/>
        <v>353.40499999999997</v>
      </c>
      <c r="U2206" s="9">
        <f t="shared" si="104"/>
        <v>-1</v>
      </c>
    </row>
    <row r="2207" spans="1:22" outlineLevel="2">
      <c r="A2207" t="s">
        <v>604</v>
      </c>
      <c r="B2207" t="s">
        <v>605</v>
      </c>
      <c r="C2207" t="s">
        <v>23</v>
      </c>
      <c r="D2207" t="s">
        <v>24</v>
      </c>
      <c r="E2207" s="4">
        <v>-340.96</v>
      </c>
      <c r="F2207" s="4">
        <v>-1325.54</v>
      </c>
      <c r="G2207" s="4">
        <v>-780.04</v>
      </c>
      <c r="H2207" s="4">
        <v>-1099.46</v>
      </c>
      <c r="I2207" s="4">
        <v>-732.82</v>
      </c>
      <c r="J2207" s="4">
        <v>-1095.02</v>
      </c>
      <c r="K2207" s="4">
        <v>-74.069999999999993</v>
      </c>
      <c r="L2207" s="4">
        <v>-1157.4000000000001</v>
      </c>
      <c r="M2207" s="4">
        <v>0</v>
      </c>
      <c r="N2207" s="4">
        <v>0</v>
      </c>
      <c r="O2207" s="4">
        <v>-11.25</v>
      </c>
      <c r="P2207" s="4">
        <v>-959.04</v>
      </c>
      <c r="Q2207" s="4">
        <v>-344.25</v>
      </c>
      <c r="S2207" s="8">
        <f t="shared" si="102"/>
        <v>-411.99</v>
      </c>
      <c r="T2207" s="8">
        <f t="shared" si="103"/>
        <v>411.99</v>
      </c>
      <c r="U2207" s="9">
        <f t="shared" si="104"/>
        <v>-1</v>
      </c>
    </row>
    <row r="2208" spans="1:22" outlineLevel="2">
      <c r="A2208" t="s">
        <v>604</v>
      </c>
      <c r="B2208" t="s">
        <v>605</v>
      </c>
      <c r="C2208" t="s">
        <v>25</v>
      </c>
      <c r="D2208" t="s">
        <v>26</v>
      </c>
      <c r="E2208" s="4">
        <v>0</v>
      </c>
      <c r="F2208" s="4">
        <v>-1050.44</v>
      </c>
      <c r="G2208" s="4">
        <v>-357.57</v>
      </c>
      <c r="H2208" s="4">
        <v>0</v>
      </c>
      <c r="I2208" s="4">
        <v>0</v>
      </c>
      <c r="J2208" s="4">
        <v>0</v>
      </c>
      <c r="K2208" s="4">
        <v>0</v>
      </c>
      <c r="L2208" s="4">
        <v>0</v>
      </c>
      <c r="M2208" s="4">
        <v>-487.96</v>
      </c>
      <c r="N2208" s="4">
        <v>-436.78</v>
      </c>
      <c r="O2208" s="4">
        <v>-966.36</v>
      </c>
      <c r="P2208" s="4">
        <v>-366.92</v>
      </c>
      <c r="Q2208" s="4">
        <v>-371.01</v>
      </c>
      <c r="S2208" s="8">
        <f t="shared" si="102"/>
        <v>-438.17166666666662</v>
      </c>
      <c r="T2208" s="8">
        <f t="shared" si="103"/>
        <v>438.17166666666662</v>
      </c>
      <c r="U2208" s="9">
        <f t="shared" si="104"/>
        <v>-1</v>
      </c>
    </row>
    <row r="2209" spans="1:21" outlineLevel="2">
      <c r="A2209" t="s">
        <v>604</v>
      </c>
      <c r="B2209" t="s">
        <v>605</v>
      </c>
      <c r="C2209" t="s">
        <v>27</v>
      </c>
      <c r="D2209" t="s">
        <v>28</v>
      </c>
      <c r="E2209" s="4">
        <v>0</v>
      </c>
      <c r="F2209" s="4">
        <v>0</v>
      </c>
      <c r="G2209" s="4">
        <v>0</v>
      </c>
      <c r="H2209" s="4">
        <v>0</v>
      </c>
      <c r="I2209" s="4">
        <v>0</v>
      </c>
      <c r="J2209" s="4">
        <v>0</v>
      </c>
      <c r="K2209" s="4">
        <v>0</v>
      </c>
      <c r="L2209" s="4">
        <v>0</v>
      </c>
      <c r="M2209" s="4">
        <v>-177.79</v>
      </c>
      <c r="N2209" s="4">
        <v>0</v>
      </c>
      <c r="O2209" s="4">
        <v>-1230.4000000000001</v>
      </c>
      <c r="P2209" s="4">
        <v>-1049.5899999999999</v>
      </c>
      <c r="Q2209" s="4">
        <v>-1437.1</v>
      </c>
      <c r="S2209" s="8">
        <f t="shared" si="102"/>
        <v>-649.14666666666665</v>
      </c>
      <c r="T2209" s="8">
        <f t="shared" si="103"/>
        <v>649.14666666666665</v>
      </c>
      <c r="U2209" s="9">
        <f t="shared" si="104"/>
        <v>-1</v>
      </c>
    </row>
    <row r="2210" spans="1:21" outlineLevel="2">
      <c r="A2210" t="s">
        <v>604</v>
      </c>
      <c r="B2210" t="s">
        <v>605</v>
      </c>
      <c r="C2210" t="s">
        <v>194</v>
      </c>
      <c r="D2210" t="s">
        <v>195</v>
      </c>
      <c r="E2210" s="4">
        <v>0</v>
      </c>
      <c r="F2210" s="4">
        <v>0</v>
      </c>
      <c r="G2210" s="4">
        <v>0</v>
      </c>
      <c r="H2210" s="4">
        <v>0</v>
      </c>
      <c r="I2210" s="4">
        <v>0</v>
      </c>
      <c r="J2210" s="4">
        <v>0</v>
      </c>
      <c r="K2210" s="4">
        <v>0</v>
      </c>
      <c r="L2210" s="4">
        <v>0</v>
      </c>
      <c r="M2210" s="4">
        <v>0</v>
      </c>
      <c r="N2210" s="4">
        <v>-85.39</v>
      </c>
      <c r="O2210" s="4">
        <v>-227.7</v>
      </c>
      <c r="P2210" s="4">
        <v>-2846.25</v>
      </c>
      <c r="Q2210" s="4">
        <v>0</v>
      </c>
      <c r="S2210" s="8">
        <f t="shared" si="102"/>
        <v>-526.55666666666673</v>
      </c>
      <c r="T2210" s="8">
        <f t="shared" si="103"/>
        <v>526.55666666666673</v>
      </c>
      <c r="U2210" s="9">
        <f t="shared" si="104"/>
        <v>-1</v>
      </c>
    </row>
    <row r="2211" spans="1:21" outlineLevel="2">
      <c r="A2211" t="s">
        <v>604</v>
      </c>
      <c r="B2211" t="s">
        <v>605</v>
      </c>
      <c r="C2211" t="s">
        <v>136</v>
      </c>
      <c r="D2211" t="s">
        <v>137</v>
      </c>
      <c r="E2211" s="4">
        <v>-781126.15</v>
      </c>
      <c r="F2211" s="4">
        <v>-674902.33</v>
      </c>
      <c r="G2211" s="4">
        <v>-704475.85</v>
      </c>
      <c r="H2211" s="4">
        <v>-632196.49</v>
      </c>
      <c r="I2211" s="4">
        <v>-563277.92000000004</v>
      </c>
      <c r="J2211" s="4">
        <v>-657966.92000000004</v>
      </c>
      <c r="K2211" s="4">
        <v>-592714.93000000005</v>
      </c>
      <c r="L2211" s="4">
        <v>-606055.18999999994</v>
      </c>
      <c r="M2211" s="4">
        <v>-602763.57999999996</v>
      </c>
      <c r="N2211" s="4">
        <v>-607527.98</v>
      </c>
      <c r="O2211" s="4">
        <v>-542978.15</v>
      </c>
      <c r="P2211" s="4">
        <v>-691515.82</v>
      </c>
      <c r="Q2211" s="4">
        <v>-674607.12</v>
      </c>
      <c r="S2211" s="8">
        <f t="shared" si="102"/>
        <v>-620907.97333333327</v>
      </c>
      <c r="T2211" s="8">
        <f t="shared" si="103"/>
        <v>620907.97333333327</v>
      </c>
      <c r="U2211" s="9">
        <f t="shared" si="104"/>
        <v>-1</v>
      </c>
    </row>
    <row r="2212" spans="1:21" outlineLevel="2">
      <c r="A2212" t="s">
        <v>604</v>
      </c>
      <c r="B2212" t="s">
        <v>605</v>
      </c>
      <c r="C2212" t="s">
        <v>138</v>
      </c>
      <c r="D2212" t="s">
        <v>139</v>
      </c>
      <c r="E2212" s="4">
        <v>-51893.34</v>
      </c>
      <c r="F2212" s="4">
        <v>-45502.09</v>
      </c>
      <c r="G2212" s="4">
        <v>-53084.01</v>
      </c>
      <c r="H2212" s="4">
        <v>-45864.51</v>
      </c>
      <c r="I2212" s="4">
        <v>-30954.25</v>
      </c>
      <c r="J2212" s="4">
        <v>-32691.39</v>
      </c>
      <c r="K2212" s="4">
        <v>-31769.47</v>
      </c>
      <c r="L2212" s="4">
        <v>-29304.99</v>
      </c>
      <c r="M2212" s="4">
        <v>-28832.26</v>
      </c>
      <c r="N2212" s="4">
        <v>-28822.44</v>
      </c>
      <c r="O2212" s="4">
        <v>-27674.71</v>
      </c>
      <c r="P2212" s="4">
        <v>-31790.68</v>
      </c>
      <c r="Q2212" s="4">
        <v>-30250.639999999999</v>
      </c>
      <c r="S2212" s="8">
        <f t="shared" si="102"/>
        <v>-29445.953333333327</v>
      </c>
      <c r="T2212" s="8">
        <f t="shared" si="103"/>
        <v>29445.953333333327</v>
      </c>
      <c r="U2212" s="9">
        <f t="shared" si="104"/>
        <v>-1</v>
      </c>
    </row>
    <row r="2213" spans="1:21" outlineLevel="2">
      <c r="A2213" t="s">
        <v>604</v>
      </c>
      <c r="B2213" t="s">
        <v>605</v>
      </c>
      <c r="C2213" t="s">
        <v>29</v>
      </c>
      <c r="D2213" t="s">
        <v>30</v>
      </c>
      <c r="E2213" s="4">
        <v>-11602.13</v>
      </c>
      <c r="F2213" s="4">
        <v>-14422.99</v>
      </c>
      <c r="G2213" s="4">
        <v>-14708.5</v>
      </c>
      <c r="H2213" s="4">
        <v>-8757.9500000000007</v>
      </c>
      <c r="I2213" s="4">
        <v>-10241.530000000001</v>
      </c>
      <c r="J2213" s="4">
        <v>-5965.29</v>
      </c>
      <c r="K2213" s="4">
        <v>-9529.5800000000017</v>
      </c>
      <c r="L2213" s="4">
        <v>-8633.75</v>
      </c>
      <c r="M2213" s="4">
        <v>-6845.66</v>
      </c>
      <c r="N2213" s="4">
        <v>-8369.56</v>
      </c>
      <c r="O2213" s="4">
        <v>-8626.7099999999991</v>
      </c>
      <c r="P2213" s="4">
        <v>-4602.66</v>
      </c>
      <c r="Q2213" s="4">
        <v>-9064.14</v>
      </c>
      <c r="S2213" s="8">
        <f t="shared" si="102"/>
        <v>-7690.413333333333</v>
      </c>
      <c r="T2213" s="8">
        <f t="shared" si="103"/>
        <v>7690.413333333333</v>
      </c>
      <c r="U2213" s="9">
        <f t="shared" si="104"/>
        <v>-1</v>
      </c>
    </row>
    <row r="2214" spans="1:21" outlineLevel="2">
      <c r="A2214" t="s">
        <v>604</v>
      </c>
      <c r="B2214" t="s">
        <v>605</v>
      </c>
      <c r="C2214" t="s">
        <v>140</v>
      </c>
      <c r="D2214" t="s">
        <v>141</v>
      </c>
      <c r="E2214" s="4">
        <v>0</v>
      </c>
      <c r="F2214" s="4">
        <v>0</v>
      </c>
      <c r="G2214" s="4">
        <v>0</v>
      </c>
      <c r="H2214" s="4">
        <v>0</v>
      </c>
      <c r="I2214" s="4">
        <v>0</v>
      </c>
      <c r="J2214" s="4">
        <v>0</v>
      </c>
      <c r="K2214" s="4">
        <v>0</v>
      </c>
      <c r="L2214" s="4">
        <v>0</v>
      </c>
      <c r="M2214" s="4">
        <v>0</v>
      </c>
      <c r="N2214" s="4">
        <v>0</v>
      </c>
      <c r="O2214" s="4">
        <v>-15243.12</v>
      </c>
      <c r="P2214" s="4">
        <v>-24795.360000000001</v>
      </c>
      <c r="Q2214" s="4">
        <v>0</v>
      </c>
      <c r="S2214" s="8">
        <f t="shared" si="102"/>
        <v>-6673.0800000000008</v>
      </c>
      <c r="T2214" s="8">
        <f t="shared" si="103"/>
        <v>6673.0800000000008</v>
      </c>
      <c r="U2214" s="9">
        <f t="shared" si="104"/>
        <v>-1</v>
      </c>
    </row>
    <row r="2215" spans="1:21" outlineLevel="2">
      <c r="A2215" t="s">
        <v>604</v>
      </c>
      <c r="B2215" t="s">
        <v>605</v>
      </c>
      <c r="C2215" t="s">
        <v>144</v>
      </c>
      <c r="D2215" t="s">
        <v>145</v>
      </c>
      <c r="E2215" s="4">
        <v>49711.55</v>
      </c>
      <c r="F2215" s="4">
        <v>1343.9399999999987</v>
      </c>
      <c r="G2215" s="4">
        <v>-5336.8700000000026</v>
      </c>
      <c r="H2215" s="4">
        <v>-81.150000000000006</v>
      </c>
      <c r="I2215" s="4">
        <v>-10919.6</v>
      </c>
      <c r="J2215" s="4">
        <v>2348.71</v>
      </c>
      <c r="K2215" s="4">
        <v>-3120.2700000000004</v>
      </c>
      <c r="L2215" s="4">
        <v>-1957.07</v>
      </c>
      <c r="M2215" s="4">
        <v>-8812.16</v>
      </c>
      <c r="N2215" s="4">
        <v>-10108.219999999999</v>
      </c>
      <c r="O2215" s="4">
        <v>1583.3</v>
      </c>
      <c r="P2215" s="4">
        <v>-6622.7</v>
      </c>
      <c r="Q2215" s="4">
        <v>41423.61</v>
      </c>
      <c r="S2215" s="8">
        <f t="shared" si="102"/>
        <v>2584.4600000000005</v>
      </c>
      <c r="T2215" s="8">
        <f t="shared" si="103"/>
        <v>-2584.4600000000005</v>
      </c>
      <c r="U2215" s="9">
        <f t="shared" si="104"/>
        <v>-1</v>
      </c>
    </row>
    <row r="2216" spans="1:21" outlineLevel="2">
      <c r="A2216" t="s">
        <v>604</v>
      </c>
      <c r="B2216" t="s">
        <v>605</v>
      </c>
      <c r="C2216" t="s">
        <v>146</v>
      </c>
      <c r="D2216" t="s">
        <v>147</v>
      </c>
      <c r="E2216" s="4">
        <v>-68234.960000000006</v>
      </c>
      <c r="F2216" s="4">
        <v>-59723.79</v>
      </c>
      <c r="G2216" s="4">
        <v>-73558.880000000005</v>
      </c>
      <c r="H2216" s="4">
        <v>-48988.21</v>
      </c>
      <c r="I2216" s="4">
        <v>-47642.84</v>
      </c>
      <c r="J2216" s="4">
        <v>-55404.68</v>
      </c>
      <c r="K2216" s="4">
        <v>-51210.81</v>
      </c>
      <c r="L2216" s="4">
        <v>-51531.34</v>
      </c>
      <c r="M2216" s="4">
        <v>-54314.28</v>
      </c>
      <c r="N2216" s="4">
        <v>-54454.25</v>
      </c>
      <c r="O2216" s="4">
        <v>-49812.07</v>
      </c>
      <c r="P2216" s="4">
        <v>-66768.710000000006</v>
      </c>
      <c r="Q2216" s="4">
        <v>-61170.61</v>
      </c>
      <c r="S2216" s="8">
        <f t="shared" si="102"/>
        <v>-56341.876666666671</v>
      </c>
      <c r="T2216" s="8">
        <f t="shared" si="103"/>
        <v>56341.876666666671</v>
      </c>
      <c r="U2216" s="9">
        <f t="shared" si="104"/>
        <v>-1</v>
      </c>
    </row>
    <row r="2217" spans="1:21" outlineLevel="2">
      <c r="A2217" t="s">
        <v>604</v>
      </c>
      <c r="B2217" t="s">
        <v>605</v>
      </c>
      <c r="C2217" t="s">
        <v>148</v>
      </c>
      <c r="D2217" t="s">
        <v>149</v>
      </c>
      <c r="E2217" s="4">
        <v>-1963.9</v>
      </c>
      <c r="F2217" s="4">
        <v>-60363.72</v>
      </c>
      <c r="G2217" s="4">
        <v>39900</v>
      </c>
      <c r="H2217" s="4">
        <v>0</v>
      </c>
      <c r="I2217" s="4">
        <v>-1992.5</v>
      </c>
      <c r="J2217" s="4">
        <v>0</v>
      </c>
      <c r="K2217" s="4">
        <v>-1992.5</v>
      </c>
      <c r="L2217" s="4">
        <v>0</v>
      </c>
      <c r="M2217" s="4">
        <v>0</v>
      </c>
      <c r="N2217" s="4">
        <v>-1992.5</v>
      </c>
      <c r="O2217" s="4">
        <v>0</v>
      </c>
      <c r="P2217" s="4">
        <v>0</v>
      </c>
      <c r="Q2217" s="4">
        <v>0</v>
      </c>
      <c r="S2217" s="8">
        <f t="shared" si="102"/>
        <v>-332.08333333333331</v>
      </c>
      <c r="T2217" s="8">
        <f t="shared" si="103"/>
        <v>332.08333333333331</v>
      </c>
      <c r="U2217" s="9">
        <f t="shared" si="104"/>
        <v>-1</v>
      </c>
    </row>
    <row r="2218" spans="1:21" outlineLevel="2">
      <c r="A2218" t="s">
        <v>604</v>
      </c>
      <c r="B2218" t="s">
        <v>605</v>
      </c>
      <c r="C2218" t="s">
        <v>152</v>
      </c>
      <c r="D2218" t="s">
        <v>153</v>
      </c>
      <c r="E2218" s="4">
        <v>-62170.21</v>
      </c>
      <c r="F2218" s="4">
        <v>-53890.62</v>
      </c>
      <c r="G2218" s="4">
        <v>-72634.55</v>
      </c>
      <c r="H2218" s="4">
        <v>-47865.55</v>
      </c>
      <c r="I2218" s="4">
        <v>-43428.39</v>
      </c>
      <c r="J2218" s="4">
        <v>-59929.01</v>
      </c>
      <c r="K2218" s="4">
        <v>-46230.65</v>
      </c>
      <c r="L2218" s="4">
        <v>-47767.93</v>
      </c>
      <c r="M2218" s="4">
        <v>-49792.44</v>
      </c>
      <c r="N2218" s="4">
        <v>-47214.26</v>
      </c>
      <c r="O2218" s="4">
        <v>-43159.69</v>
      </c>
      <c r="P2218" s="4">
        <v>-71938.47</v>
      </c>
      <c r="Q2218" s="4">
        <v>-52235.67</v>
      </c>
      <c r="S2218" s="8">
        <f t="shared" si="102"/>
        <v>-52018.076666666668</v>
      </c>
      <c r="T2218" s="8">
        <f t="shared" si="103"/>
        <v>52018.076666666668</v>
      </c>
      <c r="U2218" s="9">
        <f t="shared" si="104"/>
        <v>-1</v>
      </c>
    </row>
    <row r="2219" spans="1:21" outlineLevel="2">
      <c r="A2219" t="s">
        <v>604</v>
      </c>
      <c r="B2219" t="s">
        <v>605</v>
      </c>
      <c r="C2219" t="s">
        <v>154</v>
      </c>
      <c r="D2219" t="s">
        <v>155</v>
      </c>
      <c r="E2219" s="4">
        <v>-15899.25</v>
      </c>
      <c r="F2219" s="4">
        <v>-2021.21</v>
      </c>
      <c r="G2219" s="4">
        <v>-1795.89</v>
      </c>
      <c r="H2219" s="4">
        <v>-589.48</v>
      </c>
      <c r="I2219" s="4">
        <v>-966.55</v>
      </c>
      <c r="J2219" s="4">
        <v>-221.6</v>
      </c>
      <c r="K2219" s="4">
        <v>-618.0100000000001</v>
      </c>
      <c r="L2219" s="4">
        <v>-231.64</v>
      </c>
      <c r="M2219" s="4">
        <v>-74.78</v>
      </c>
      <c r="N2219" s="4">
        <v>-369.38</v>
      </c>
      <c r="O2219" s="4">
        <v>-688.62</v>
      </c>
      <c r="P2219" s="4">
        <v>-188.25</v>
      </c>
      <c r="Q2219" s="4">
        <v>-13701.21</v>
      </c>
      <c r="S2219" s="8">
        <f t="shared" si="102"/>
        <v>-2542.313333333333</v>
      </c>
      <c r="T2219" s="8">
        <f t="shared" si="103"/>
        <v>2542.313333333333</v>
      </c>
      <c r="U2219" s="9">
        <f t="shared" si="104"/>
        <v>-1</v>
      </c>
    </row>
    <row r="2220" spans="1:21" outlineLevel="2">
      <c r="A2220" t="s">
        <v>604</v>
      </c>
      <c r="B2220" t="s">
        <v>605</v>
      </c>
      <c r="C2220" t="s">
        <v>212</v>
      </c>
      <c r="D2220" t="s">
        <v>213</v>
      </c>
      <c r="E2220" s="4">
        <v>0</v>
      </c>
      <c r="F2220" s="4">
        <v>0</v>
      </c>
      <c r="G2220" s="4">
        <v>0</v>
      </c>
      <c r="H2220" s="4">
        <v>0</v>
      </c>
      <c r="I2220" s="4">
        <v>0</v>
      </c>
      <c r="J2220" s="4">
        <v>0</v>
      </c>
      <c r="K2220" s="4">
        <v>0</v>
      </c>
      <c r="L2220" s="4">
        <v>-3</v>
      </c>
      <c r="M2220" s="4">
        <v>0</v>
      </c>
      <c r="N2220" s="4">
        <v>0</v>
      </c>
      <c r="O2220" s="4">
        <v>0</v>
      </c>
      <c r="P2220" s="4">
        <v>0</v>
      </c>
      <c r="Q2220" s="4">
        <v>0</v>
      </c>
      <c r="S2220" s="8">
        <f t="shared" si="102"/>
        <v>-0.5</v>
      </c>
      <c r="T2220" s="8">
        <f t="shared" si="103"/>
        <v>0.5</v>
      </c>
      <c r="U2220" s="9">
        <f t="shared" si="104"/>
        <v>-1</v>
      </c>
    </row>
    <row r="2221" spans="1:21" outlineLevel="2">
      <c r="A2221" t="s">
        <v>604</v>
      </c>
      <c r="B2221" t="s">
        <v>605</v>
      </c>
      <c r="C2221" t="s">
        <v>156</v>
      </c>
      <c r="D2221" t="s">
        <v>157</v>
      </c>
      <c r="E2221" s="4">
        <v>0</v>
      </c>
      <c r="F2221" s="4">
        <v>-95.81</v>
      </c>
      <c r="G2221" s="4">
        <v>0</v>
      </c>
      <c r="H2221" s="4">
        <v>0</v>
      </c>
      <c r="I2221" s="4">
        <v>0</v>
      </c>
      <c r="J2221" s="4">
        <v>0</v>
      </c>
      <c r="K2221" s="4">
        <v>0</v>
      </c>
      <c r="L2221" s="4">
        <v>0</v>
      </c>
      <c r="M2221" s="4">
        <v>0</v>
      </c>
      <c r="N2221" s="4">
        <v>0</v>
      </c>
      <c r="O2221" s="4">
        <v>0</v>
      </c>
      <c r="P2221" s="4">
        <v>0</v>
      </c>
      <c r="Q2221" s="4">
        <v>0</v>
      </c>
      <c r="S2221" s="8">
        <f t="shared" si="102"/>
        <v>0</v>
      </c>
      <c r="T2221" s="8">
        <f t="shared" si="103"/>
        <v>0</v>
      </c>
      <c r="U2221" s="9" t="e">
        <f t="shared" si="104"/>
        <v>#DIV/0!</v>
      </c>
    </row>
    <row r="2222" spans="1:21" outlineLevel="2">
      <c r="A2222" t="s">
        <v>604</v>
      </c>
      <c r="B2222" t="s">
        <v>605</v>
      </c>
      <c r="C2222" t="s">
        <v>304</v>
      </c>
      <c r="D2222" t="s">
        <v>305</v>
      </c>
      <c r="E2222" s="4">
        <v>-490.75</v>
      </c>
      <c r="F2222" s="4">
        <v>-19</v>
      </c>
      <c r="G2222" s="4">
        <v>0</v>
      </c>
      <c r="H2222" s="4">
        <v>0</v>
      </c>
      <c r="I2222" s="4">
        <v>0</v>
      </c>
      <c r="J2222" s="4">
        <v>0</v>
      </c>
      <c r="K2222" s="4">
        <v>0</v>
      </c>
      <c r="L2222" s="4">
        <v>0</v>
      </c>
      <c r="M2222" s="4">
        <v>0</v>
      </c>
      <c r="N2222" s="4">
        <v>0</v>
      </c>
      <c r="O2222" s="4">
        <v>0</v>
      </c>
      <c r="P2222" s="4">
        <v>0</v>
      </c>
      <c r="Q2222" s="4">
        <v>0</v>
      </c>
      <c r="S2222" s="8">
        <f t="shared" si="102"/>
        <v>0</v>
      </c>
      <c r="T2222" s="8">
        <f t="shared" si="103"/>
        <v>0</v>
      </c>
      <c r="U2222" s="9" t="e">
        <f t="shared" si="104"/>
        <v>#DIV/0!</v>
      </c>
    </row>
    <row r="2223" spans="1:21" outlineLevel="2">
      <c r="A2223" t="s">
        <v>604</v>
      </c>
      <c r="B2223" t="s">
        <v>605</v>
      </c>
      <c r="C2223" t="s">
        <v>587</v>
      </c>
      <c r="D2223" t="s">
        <v>588</v>
      </c>
      <c r="E2223" s="4">
        <v>-22</v>
      </c>
      <c r="F2223" s="4">
        <v>0</v>
      </c>
      <c r="G2223" s="4">
        <v>0</v>
      </c>
      <c r="H2223" s="4">
        <v>0</v>
      </c>
      <c r="I2223" s="4">
        <v>0</v>
      </c>
      <c r="J2223" s="4">
        <v>0</v>
      </c>
      <c r="K2223" s="4">
        <v>0</v>
      </c>
      <c r="L2223" s="4">
        <v>0</v>
      </c>
      <c r="M2223" s="4">
        <v>0</v>
      </c>
      <c r="N2223" s="4">
        <v>0</v>
      </c>
      <c r="O2223" s="4">
        <v>0</v>
      </c>
      <c r="P2223" s="4">
        <v>0</v>
      </c>
      <c r="Q2223" s="4">
        <v>-35</v>
      </c>
      <c r="S2223" s="8">
        <f t="shared" si="102"/>
        <v>-5.833333333333333</v>
      </c>
      <c r="T2223" s="8">
        <f t="shared" si="103"/>
        <v>5.833333333333333</v>
      </c>
      <c r="U2223" s="9">
        <f t="shared" si="104"/>
        <v>-1</v>
      </c>
    </row>
    <row r="2224" spans="1:21" outlineLevel="2">
      <c r="A2224" t="s">
        <v>604</v>
      </c>
      <c r="B2224" t="s">
        <v>605</v>
      </c>
      <c r="C2224" t="s">
        <v>37</v>
      </c>
      <c r="D2224" t="s">
        <v>38</v>
      </c>
      <c r="E2224" s="4">
        <v>-15093.36</v>
      </c>
      <c r="F2224" s="4">
        <v>-8310.59</v>
      </c>
      <c r="G2224" s="4">
        <v>-8738.25</v>
      </c>
      <c r="H2224" s="4">
        <v>-20630.84</v>
      </c>
      <c r="I2224" s="4">
        <v>-10286.66</v>
      </c>
      <c r="J2224" s="4">
        <v>-6891.98</v>
      </c>
      <c r="K2224" s="4">
        <v>-2707.2</v>
      </c>
      <c r="L2224" s="4">
        <v>-2675.45</v>
      </c>
      <c r="M2224" s="4">
        <v>-14822.47</v>
      </c>
      <c r="N2224" s="4">
        <v>-16073.82</v>
      </c>
      <c r="O2224" s="4">
        <v>-6605.06</v>
      </c>
      <c r="P2224" s="4">
        <v>-3445.42</v>
      </c>
      <c r="Q2224" s="4">
        <v>-2361.2399999999998</v>
      </c>
      <c r="S2224" s="8">
        <f t="shared" si="102"/>
        <v>-7663.9099999999989</v>
      </c>
      <c r="T2224" s="8">
        <f t="shared" si="103"/>
        <v>7663.9099999999989</v>
      </c>
      <c r="U2224" s="9">
        <f t="shared" si="104"/>
        <v>-1</v>
      </c>
    </row>
    <row r="2225" spans="1:21" outlineLevel="2">
      <c r="A2225" t="s">
        <v>604</v>
      </c>
      <c r="B2225" t="s">
        <v>605</v>
      </c>
      <c r="C2225" t="s">
        <v>180</v>
      </c>
      <c r="D2225" t="s">
        <v>181</v>
      </c>
      <c r="E2225" s="4">
        <v>-4352.6099999999997</v>
      </c>
      <c r="F2225" s="4">
        <v>-866.61</v>
      </c>
      <c r="G2225" s="4">
        <v>-6091.01</v>
      </c>
      <c r="H2225" s="4">
        <v>-4100.07</v>
      </c>
      <c r="I2225" s="4">
        <v>-3995.72</v>
      </c>
      <c r="J2225" s="4">
        <v>-3575.89</v>
      </c>
      <c r="K2225" s="4">
        <v>-4053.92</v>
      </c>
      <c r="L2225" s="4">
        <v>-4442.2700000000004</v>
      </c>
      <c r="M2225" s="4">
        <v>-1971.14</v>
      </c>
      <c r="N2225" s="4">
        <v>-3086.95</v>
      </c>
      <c r="O2225" s="4">
        <v>-1884.7</v>
      </c>
      <c r="P2225" s="4">
        <v>-30781.63</v>
      </c>
      <c r="Q2225" s="4">
        <v>-5155.28</v>
      </c>
      <c r="S2225" s="8">
        <f t="shared" si="102"/>
        <v>-7886.9949999999999</v>
      </c>
      <c r="T2225" s="8">
        <f t="shared" si="103"/>
        <v>7886.9949999999999</v>
      </c>
      <c r="U2225" s="9">
        <f t="shared" si="104"/>
        <v>-1</v>
      </c>
    </row>
    <row r="2226" spans="1:21" outlineLevel="2">
      <c r="A2226" t="s">
        <v>604</v>
      </c>
      <c r="B2226" t="s">
        <v>605</v>
      </c>
      <c r="C2226" t="s">
        <v>160</v>
      </c>
      <c r="D2226" t="s">
        <v>161</v>
      </c>
      <c r="E2226" s="4">
        <v>0</v>
      </c>
      <c r="F2226" s="4">
        <v>0</v>
      </c>
      <c r="G2226" s="4">
        <v>0</v>
      </c>
      <c r="H2226" s="4">
        <v>0</v>
      </c>
      <c r="I2226" s="4">
        <v>0</v>
      </c>
      <c r="J2226" s="4">
        <v>0</v>
      </c>
      <c r="K2226" s="4">
        <v>0</v>
      </c>
      <c r="L2226" s="4">
        <v>0</v>
      </c>
      <c r="M2226" s="4">
        <v>-219.49</v>
      </c>
      <c r="N2226" s="4">
        <v>0</v>
      </c>
      <c r="O2226" s="4">
        <v>0</v>
      </c>
      <c r="P2226" s="4">
        <v>-40.53</v>
      </c>
      <c r="Q2226" s="4">
        <v>0</v>
      </c>
      <c r="S2226" s="8">
        <f t="shared" si="102"/>
        <v>-43.336666666666666</v>
      </c>
      <c r="T2226" s="8">
        <f t="shared" si="103"/>
        <v>43.336666666666666</v>
      </c>
      <c r="U2226" s="9">
        <f t="shared" si="104"/>
        <v>-1</v>
      </c>
    </row>
    <row r="2227" spans="1:21" outlineLevel="2">
      <c r="A2227" t="s">
        <v>604</v>
      </c>
      <c r="B2227" t="s">
        <v>605</v>
      </c>
      <c r="C2227" t="s">
        <v>39</v>
      </c>
      <c r="D2227" t="s">
        <v>40</v>
      </c>
      <c r="E2227" s="4">
        <v>-2466.81</v>
      </c>
      <c r="F2227" s="4">
        <v>-1751.25</v>
      </c>
      <c r="G2227" s="4">
        <v>-2483.56</v>
      </c>
      <c r="H2227" s="4">
        <v>-2179.02</v>
      </c>
      <c r="I2227" s="4">
        <v>-2096.75</v>
      </c>
      <c r="J2227" s="4">
        <v>-1352.1</v>
      </c>
      <c r="K2227" s="4">
        <v>-1774.13</v>
      </c>
      <c r="L2227" s="4">
        <v>-1716.91</v>
      </c>
      <c r="M2227" s="4">
        <v>10434.379999999999</v>
      </c>
      <c r="N2227" s="4">
        <v>-1893.08</v>
      </c>
      <c r="O2227" s="4">
        <v>-1575.15</v>
      </c>
      <c r="P2227" s="4">
        <v>-2165.98</v>
      </c>
      <c r="Q2227" s="4">
        <v>-139.29</v>
      </c>
      <c r="S2227" s="8">
        <f t="shared" si="102"/>
        <v>490.66166666666663</v>
      </c>
      <c r="T2227" s="8">
        <f t="shared" si="103"/>
        <v>-490.66166666666663</v>
      </c>
      <c r="U2227" s="9">
        <f t="shared" si="104"/>
        <v>-1</v>
      </c>
    </row>
    <row r="2228" spans="1:21" outlineLevel="2">
      <c r="A2228" t="s">
        <v>604</v>
      </c>
      <c r="B2228" t="s">
        <v>605</v>
      </c>
      <c r="C2228" t="s">
        <v>458</v>
      </c>
      <c r="D2228" t="s">
        <v>459</v>
      </c>
      <c r="E2228" s="4">
        <v>-477.39</v>
      </c>
      <c r="F2228" s="4">
        <v>-885.84</v>
      </c>
      <c r="G2228" s="4">
        <v>-772.78</v>
      </c>
      <c r="H2228" s="4">
        <v>-132.80000000000001</v>
      </c>
      <c r="I2228" s="4">
        <v>-248.51</v>
      </c>
      <c r="J2228" s="4">
        <v>-43.56</v>
      </c>
      <c r="K2228" s="4">
        <v>-45.24</v>
      </c>
      <c r="L2228" s="4">
        <v>-50.91</v>
      </c>
      <c r="M2228" s="4">
        <v>-48.68</v>
      </c>
      <c r="N2228" s="4">
        <v>-53.21</v>
      </c>
      <c r="O2228" s="4">
        <v>-48.68</v>
      </c>
      <c r="P2228" s="4">
        <v>-187.3</v>
      </c>
      <c r="Q2228" s="4">
        <v>-579.27</v>
      </c>
      <c r="S2228" s="8">
        <f t="shared" si="102"/>
        <v>-161.34166666666667</v>
      </c>
      <c r="T2228" s="8">
        <f t="shared" si="103"/>
        <v>161.34166666666667</v>
      </c>
      <c r="U2228" s="9">
        <f t="shared" si="104"/>
        <v>-1</v>
      </c>
    </row>
    <row r="2229" spans="1:21" outlineLevel="2">
      <c r="A2229" t="s">
        <v>604</v>
      </c>
      <c r="B2229" t="s">
        <v>605</v>
      </c>
      <c r="C2229" t="s">
        <v>41</v>
      </c>
      <c r="D2229" t="s">
        <v>42</v>
      </c>
      <c r="E2229" s="4">
        <v>-1288.05</v>
      </c>
      <c r="F2229" s="4">
        <v>-1179.1600000000001</v>
      </c>
      <c r="G2229" s="4">
        <v>-1045.6600000000001</v>
      </c>
      <c r="H2229" s="4">
        <v>-809.42</v>
      </c>
      <c r="I2229" s="4">
        <v>-1471.94</v>
      </c>
      <c r="J2229" s="4">
        <v>-870.74</v>
      </c>
      <c r="K2229" s="4">
        <v>-986.51</v>
      </c>
      <c r="L2229" s="4">
        <v>-1156.29</v>
      </c>
      <c r="M2229" s="4">
        <v>-781.55</v>
      </c>
      <c r="N2229" s="4">
        <v>-1099.95</v>
      </c>
      <c r="O2229" s="4">
        <v>-781.55</v>
      </c>
      <c r="P2229" s="4">
        <v>-1056.8900000000001</v>
      </c>
      <c r="Q2229" s="4">
        <v>-977.44</v>
      </c>
      <c r="S2229" s="8">
        <f t="shared" si="102"/>
        <v>-975.61166666666668</v>
      </c>
      <c r="T2229" s="8">
        <f t="shared" si="103"/>
        <v>975.61166666666668</v>
      </c>
      <c r="U2229" s="9">
        <f t="shared" si="104"/>
        <v>-1</v>
      </c>
    </row>
    <row r="2230" spans="1:21" outlineLevel="2">
      <c r="A2230" t="s">
        <v>604</v>
      </c>
      <c r="B2230" t="s">
        <v>605</v>
      </c>
      <c r="C2230" t="s">
        <v>589</v>
      </c>
      <c r="D2230" t="s">
        <v>590</v>
      </c>
      <c r="E2230" s="4">
        <v>-0.75</v>
      </c>
      <c r="F2230" s="4">
        <v>-129.85</v>
      </c>
      <c r="G2230" s="4">
        <v>-65.3</v>
      </c>
      <c r="H2230" s="4">
        <v>0</v>
      </c>
      <c r="I2230" s="4">
        <v>-0.75</v>
      </c>
      <c r="J2230" s="4">
        <v>0</v>
      </c>
      <c r="K2230" s="4">
        <v>0</v>
      </c>
      <c r="L2230" s="4">
        <v>0</v>
      </c>
      <c r="M2230" s="4">
        <v>0</v>
      </c>
      <c r="N2230" s="4">
        <v>0</v>
      </c>
      <c r="O2230" s="4">
        <v>0</v>
      </c>
      <c r="P2230" s="4">
        <v>0</v>
      </c>
      <c r="Q2230" s="4">
        <v>0</v>
      </c>
      <c r="S2230" s="8">
        <f t="shared" si="102"/>
        <v>0</v>
      </c>
      <c r="T2230" s="8">
        <f t="shared" si="103"/>
        <v>0</v>
      </c>
      <c r="U2230" s="9" t="e">
        <f t="shared" si="104"/>
        <v>#DIV/0!</v>
      </c>
    </row>
    <row r="2231" spans="1:21" outlineLevel="2">
      <c r="A2231" t="s">
        <v>604</v>
      </c>
      <c r="B2231" t="s">
        <v>605</v>
      </c>
      <c r="C2231" t="s">
        <v>43</v>
      </c>
      <c r="D2231" t="s">
        <v>44</v>
      </c>
      <c r="E2231" s="4">
        <v>0</v>
      </c>
      <c r="F2231" s="4">
        <v>0</v>
      </c>
      <c r="G2231" s="4">
        <v>0</v>
      </c>
      <c r="H2231" s="4">
        <v>0</v>
      </c>
      <c r="I2231" s="4">
        <v>0</v>
      </c>
      <c r="J2231" s="4">
        <v>0</v>
      </c>
      <c r="K2231" s="4">
        <v>0</v>
      </c>
      <c r="L2231" s="4">
        <v>0</v>
      </c>
      <c r="M2231" s="4">
        <v>0</v>
      </c>
      <c r="N2231" s="4">
        <v>-56.5</v>
      </c>
      <c r="O2231" s="4">
        <v>0</v>
      </c>
      <c r="P2231" s="4">
        <v>0</v>
      </c>
      <c r="Q2231" s="4">
        <v>-5.81</v>
      </c>
      <c r="S2231" s="8">
        <f t="shared" si="102"/>
        <v>-10.385</v>
      </c>
      <c r="T2231" s="8">
        <f t="shared" si="103"/>
        <v>10.385</v>
      </c>
      <c r="U2231" s="9">
        <f t="shared" si="104"/>
        <v>-1</v>
      </c>
    </row>
    <row r="2232" spans="1:21" outlineLevel="2">
      <c r="A2232" t="s">
        <v>604</v>
      </c>
      <c r="B2232" t="s">
        <v>605</v>
      </c>
      <c r="C2232" t="s">
        <v>230</v>
      </c>
      <c r="D2232" t="s">
        <v>231</v>
      </c>
      <c r="E2232" s="4">
        <v>-85311.13</v>
      </c>
      <c r="F2232" s="4">
        <v>-83858.459999999992</v>
      </c>
      <c r="G2232" s="4">
        <v>-91490.4</v>
      </c>
      <c r="H2232" s="4">
        <v>-84282.06</v>
      </c>
      <c r="I2232" s="4">
        <v>-84282.06</v>
      </c>
      <c r="J2232" s="4">
        <v>-22824.89</v>
      </c>
      <c r="K2232" s="4">
        <v>-111088.88</v>
      </c>
      <c r="L2232" s="4">
        <v>-116537.25</v>
      </c>
      <c r="M2232" s="4">
        <v>-86763.23</v>
      </c>
      <c r="N2232" s="4">
        <v>-86763.23</v>
      </c>
      <c r="O2232" s="4">
        <v>-86763.23</v>
      </c>
      <c r="P2232" s="4">
        <v>-86763.23</v>
      </c>
      <c r="Q2232" s="4">
        <v>-99560.960000000006</v>
      </c>
      <c r="S2232" s="8">
        <f t="shared" si="102"/>
        <v>-93858.521666666653</v>
      </c>
      <c r="T2232" s="8">
        <f t="shared" si="103"/>
        <v>93858.521666666653</v>
      </c>
      <c r="U2232" s="9">
        <f t="shared" si="104"/>
        <v>-1</v>
      </c>
    </row>
    <row r="2233" spans="1:21" outlineLevel="2">
      <c r="A2233" t="s">
        <v>604</v>
      </c>
      <c r="B2233" t="s">
        <v>605</v>
      </c>
      <c r="C2233" t="s">
        <v>232</v>
      </c>
      <c r="D2233" t="s">
        <v>233</v>
      </c>
      <c r="E2233" s="4">
        <v>-54846.99</v>
      </c>
      <c r="F2233" s="4">
        <v>-54846.99</v>
      </c>
      <c r="G2233" s="4">
        <v>-54846.99</v>
      </c>
      <c r="H2233" s="4">
        <v>-54846.99</v>
      </c>
      <c r="I2233" s="4">
        <v>-54846.99</v>
      </c>
      <c r="J2233" s="4">
        <v>-20901.099999999999</v>
      </c>
      <c r="K2233" s="4">
        <v>-56354.52</v>
      </c>
      <c r="L2233" s="4">
        <v>-74444.94</v>
      </c>
      <c r="M2233" s="4">
        <v>-56354.52</v>
      </c>
      <c r="N2233" s="4">
        <v>-56354.52</v>
      </c>
      <c r="O2233" s="4">
        <v>-56354.52</v>
      </c>
      <c r="P2233" s="4">
        <v>-56354.52</v>
      </c>
      <c r="Q2233" s="4">
        <v>-64015.18</v>
      </c>
      <c r="S2233" s="8">
        <f t="shared" si="102"/>
        <v>-60646.366666666661</v>
      </c>
      <c r="T2233" s="8">
        <f t="shared" si="103"/>
        <v>60646.366666666661</v>
      </c>
      <c r="U2233" s="9">
        <f t="shared" si="104"/>
        <v>-1</v>
      </c>
    </row>
    <row r="2234" spans="1:21" outlineLevel="2">
      <c r="A2234" t="s">
        <v>604</v>
      </c>
      <c r="B2234" t="s">
        <v>605</v>
      </c>
      <c r="C2234" t="s">
        <v>218</v>
      </c>
      <c r="D2234" t="s">
        <v>219</v>
      </c>
      <c r="E2234" s="4">
        <v>-48307.22</v>
      </c>
      <c r="F2234" s="4">
        <v>-72282.94</v>
      </c>
      <c r="G2234" s="4">
        <v>-71816.47</v>
      </c>
      <c r="H2234" s="4">
        <v>-71179.100000000006</v>
      </c>
      <c r="I2234" s="4">
        <v>-65342.21</v>
      </c>
      <c r="J2234" s="4">
        <v>-72527.820000000007</v>
      </c>
      <c r="K2234" s="4">
        <v>-73053.510000000009</v>
      </c>
      <c r="L2234" s="4">
        <v>-72998.61</v>
      </c>
      <c r="M2234" s="4">
        <v>-72998.61</v>
      </c>
      <c r="N2234" s="4">
        <v>-81415.77</v>
      </c>
      <c r="O2234" s="4">
        <v>-92563.97</v>
      </c>
      <c r="P2234" s="4">
        <v>-56909.54</v>
      </c>
      <c r="Q2234" s="4">
        <v>-68926.539999999994</v>
      </c>
      <c r="S2234" s="8">
        <f t="shared" si="102"/>
        <v>-74302.173333333325</v>
      </c>
      <c r="T2234" s="8">
        <f t="shared" si="103"/>
        <v>74302.173333333325</v>
      </c>
      <c r="U2234" s="9">
        <f t="shared" si="104"/>
        <v>-1</v>
      </c>
    </row>
    <row r="2235" spans="1:21" outlineLevel="2">
      <c r="A2235" t="s">
        <v>604</v>
      </c>
      <c r="B2235" t="s">
        <v>605</v>
      </c>
      <c r="C2235" t="s">
        <v>47</v>
      </c>
      <c r="D2235" t="s">
        <v>48</v>
      </c>
      <c r="E2235" s="4">
        <v>-19368.66</v>
      </c>
      <c r="F2235" s="4">
        <v>-33077.100000000006</v>
      </c>
      <c r="G2235" s="4">
        <v>-1676.7</v>
      </c>
      <c r="H2235" s="4">
        <v>-15867.34</v>
      </c>
      <c r="I2235" s="4">
        <v>-12077.86</v>
      </c>
      <c r="J2235" s="4">
        <v>-19939.16</v>
      </c>
      <c r="K2235" s="4">
        <v>-15155.970000000001</v>
      </c>
      <c r="L2235" s="4">
        <v>-17229.650000000001</v>
      </c>
      <c r="M2235" s="4">
        <v>-21798.41</v>
      </c>
      <c r="N2235" s="4">
        <v>-17199.21</v>
      </c>
      <c r="O2235" s="4">
        <v>-19666.05</v>
      </c>
      <c r="P2235" s="4">
        <v>-19753.95</v>
      </c>
      <c r="Q2235" s="4">
        <v>-14745.65</v>
      </c>
      <c r="S2235" s="8">
        <f t="shared" si="102"/>
        <v>-18398.819999999996</v>
      </c>
      <c r="T2235" s="8">
        <f t="shared" si="103"/>
        <v>18398.819999999996</v>
      </c>
      <c r="U2235" s="9">
        <f t="shared" si="104"/>
        <v>-1</v>
      </c>
    </row>
    <row r="2236" spans="1:21" outlineLevel="2">
      <c r="A2236" t="s">
        <v>604</v>
      </c>
      <c r="B2236" t="s">
        <v>605</v>
      </c>
      <c r="C2236" t="s">
        <v>49</v>
      </c>
      <c r="D2236" t="s">
        <v>50</v>
      </c>
      <c r="E2236" s="4">
        <v>-5725</v>
      </c>
      <c r="F2236" s="4">
        <v>-2986.98</v>
      </c>
      <c r="G2236" s="4">
        <v>-9940</v>
      </c>
      <c r="H2236" s="4">
        <v>-1150.1400000000001</v>
      </c>
      <c r="I2236" s="4">
        <v>-3825.14</v>
      </c>
      <c r="J2236" s="4">
        <v>-2505.14</v>
      </c>
      <c r="K2236" s="4">
        <v>-5570.21</v>
      </c>
      <c r="L2236" s="4">
        <v>-3755.67</v>
      </c>
      <c r="M2236" s="4">
        <v>-2500</v>
      </c>
      <c r="N2236" s="4">
        <v>-3913.04</v>
      </c>
      <c r="O2236" s="4">
        <v>-3525.16</v>
      </c>
      <c r="P2236" s="4">
        <v>-4175.24</v>
      </c>
      <c r="Q2236" s="4">
        <v>-2505.16</v>
      </c>
      <c r="S2236" s="8">
        <f t="shared" si="102"/>
        <v>-3395.7116666666666</v>
      </c>
      <c r="T2236" s="8">
        <f t="shared" si="103"/>
        <v>3395.7116666666666</v>
      </c>
      <c r="U2236" s="9">
        <f t="shared" si="104"/>
        <v>-1</v>
      </c>
    </row>
    <row r="2237" spans="1:21" outlineLevel="2">
      <c r="A2237" t="s">
        <v>604</v>
      </c>
      <c r="B2237" t="s">
        <v>605</v>
      </c>
      <c r="C2237" t="s">
        <v>51</v>
      </c>
      <c r="D2237" t="s">
        <v>52</v>
      </c>
      <c r="E2237" s="4">
        <v>-2215.9299999999998</v>
      </c>
      <c r="F2237" s="4">
        <v>-5124.99</v>
      </c>
      <c r="G2237" s="4">
        <v>-4150.57</v>
      </c>
      <c r="H2237" s="4">
        <v>-5000</v>
      </c>
      <c r="I2237" s="4">
        <v>-12497.42</v>
      </c>
      <c r="J2237" s="4">
        <v>-5758.47</v>
      </c>
      <c r="K2237" s="4">
        <v>-9094.2899999999991</v>
      </c>
      <c r="L2237" s="4">
        <v>-10644.91</v>
      </c>
      <c r="M2237" s="4">
        <v>-3006.3</v>
      </c>
      <c r="N2237" s="4">
        <v>-5668.3</v>
      </c>
      <c r="O2237" s="4">
        <v>-1806.98</v>
      </c>
      <c r="P2237" s="4">
        <v>-22156.05</v>
      </c>
      <c r="Q2237" s="4">
        <v>-90.6</v>
      </c>
      <c r="S2237" s="8">
        <f t="shared" si="102"/>
        <v>-7228.8566666666657</v>
      </c>
      <c r="T2237" s="8">
        <f t="shared" si="103"/>
        <v>7228.8566666666657</v>
      </c>
      <c r="U2237" s="9">
        <f t="shared" si="104"/>
        <v>-1</v>
      </c>
    </row>
    <row r="2238" spans="1:21" outlineLevel="2">
      <c r="A2238" t="s">
        <v>604</v>
      </c>
      <c r="B2238" t="s">
        <v>605</v>
      </c>
      <c r="C2238" t="s">
        <v>164</v>
      </c>
      <c r="D2238" t="s">
        <v>165</v>
      </c>
      <c r="E2238" s="4">
        <v>-782.25</v>
      </c>
      <c r="F2238" s="4">
        <v>-521.5</v>
      </c>
      <c r="G2238" s="4">
        <v>-526.75</v>
      </c>
      <c r="H2238" s="4">
        <v>-311.5</v>
      </c>
      <c r="I2238" s="4">
        <v>-311.5</v>
      </c>
      <c r="J2238" s="4">
        <v>-311.5</v>
      </c>
      <c r="K2238" s="4">
        <v>-276.5</v>
      </c>
      <c r="L2238" s="4">
        <v>-362.25</v>
      </c>
      <c r="M2238" s="4">
        <v>-241.5</v>
      </c>
      <c r="N2238" s="4">
        <v>-241.5</v>
      </c>
      <c r="O2238" s="4">
        <v>-241.5</v>
      </c>
      <c r="P2238" s="4">
        <v>-241.5</v>
      </c>
      <c r="Q2238" s="4">
        <v>-586.25</v>
      </c>
      <c r="S2238" s="8">
        <f t="shared" si="102"/>
        <v>-319.08333333333331</v>
      </c>
      <c r="T2238" s="8">
        <f t="shared" si="103"/>
        <v>319.08333333333331</v>
      </c>
      <c r="U2238" s="9">
        <f t="shared" si="104"/>
        <v>-1</v>
      </c>
    </row>
    <row r="2239" spans="1:21" outlineLevel="2">
      <c r="A2239" t="s">
        <v>604</v>
      </c>
      <c r="B2239" t="s">
        <v>605</v>
      </c>
      <c r="C2239" t="s">
        <v>53</v>
      </c>
      <c r="D2239" t="s">
        <v>54</v>
      </c>
      <c r="E2239" s="4">
        <v>-677</v>
      </c>
      <c r="F2239" s="4">
        <v>0</v>
      </c>
      <c r="G2239" s="4">
        <v>0</v>
      </c>
      <c r="H2239" s="4">
        <v>-470.45</v>
      </c>
      <c r="I2239" s="4">
        <v>83.43</v>
      </c>
      <c r="J2239" s="4">
        <v>0</v>
      </c>
      <c r="K2239" s="4">
        <v>0</v>
      </c>
      <c r="L2239" s="4">
        <v>205.19</v>
      </c>
      <c r="M2239" s="4">
        <v>0</v>
      </c>
      <c r="N2239" s="4">
        <v>0</v>
      </c>
      <c r="O2239" s="4">
        <v>63.12</v>
      </c>
      <c r="P2239" s="4">
        <v>0</v>
      </c>
      <c r="Q2239" s="4">
        <v>49.27</v>
      </c>
      <c r="S2239" s="8">
        <f t="shared" si="102"/>
        <v>52.93</v>
      </c>
      <c r="T2239" s="8">
        <f t="shared" si="103"/>
        <v>-52.93</v>
      </c>
      <c r="U2239" s="9">
        <f t="shared" si="104"/>
        <v>-1</v>
      </c>
    </row>
    <row r="2240" spans="1:21" outlineLevel="2">
      <c r="A2240" t="s">
        <v>604</v>
      </c>
      <c r="B2240" t="s">
        <v>605</v>
      </c>
      <c r="C2240" t="s">
        <v>55</v>
      </c>
      <c r="D2240" t="s">
        <v>56</v>
      </c>
      <c r="E2240" s="4">
        <v>-3341.11</v>
      </c>
      <c r="F2240" s="4">
        <v>0</v>
      </c>
      <c r="G2240" s="4">
        <v>0</v>
      </c>
      <c r="H2240" s="4">
        <v>0</v>
      </c>
      <c r="I2240" s="4">
        <v>0</v>
      </c>
      <c r="J2240" s="4">
        <v>0</v>
      </c>
      <c r="K2240" s="4">
        <v>0</v>
      </c>
      <c r="L2240" s="4">
        <v>-406.1</v>
      </c>
      <c r="M2240" s="4">
        <v>0</v>
      </c>
      <c r="N2240" s="4">
        <v>-4.7699999999999996</v>
      </c>
      <c r="O2240" s="4">
        <v>-6.27</v>
      </c>
      <c r="P2240" s="4">
        <v>-2.73</v>
      </c>
      <c r="Q2240" s="4">
        <v>0</v>
      </c>
      <c r="S2240" s="8">
        <f t="shared" si="102"/>
        <v>-69.978333333333339</v>
      </c>
      <c r="T2240" s="8">
        <f t="shared" si="103"/>
        <v>69.978333333333339</v>
      </c>
      <c r="U2240" s="9">
        <f t="shared" si="104"/>
        <v>-1</v>
      </c>
    </row>
    <row r="2241" spans="1:21" outlineLevel="2">
      <c r="A2241" t="s">
        <v>604</v>
      </c>
      <c r="B2241" t="s">
        <v>605</v>
      </c>
      <c r="C2241" t="s">
        <v>61</v>
      </c>
      <c r="D2241" t="s">
        <v>62</v>
      </c>
      <c r="E2241" s="4">
        <v>-33681.71</v>
      </c>
      <c r="F2241" s="4">
        <v>-43255.64</v>
      </c>
      <c r="G2241" s="4">
        <v>-48209.22</v>
      </c>
      <c r="H2241" s="4">
        <v>-28901.02</v>
      </c>
      <c r="I2241" s="4">
        <v>-36050.28</v>
      </c>
      <c r="J2241" s="4">
        <v>-37714.080000000002</v>
      </c>
      <c r="K2241" s="4">
        <v>-38743.93</v>
      </c>
      <c r="L2241" s="4">
        <v>-36669.56</v>
      </c>
      <c r="M2241" s="4">
        <v>-25542.19</v>
      </c>
      <c r="N2241" s="4">
        <v>-15286.5</v>
      </c>
      <c r="O2241" s="4">
        <v>-56611.86</v>
      </c>
      <c r="P2241" s="4">
        <v>-65985.08</v>
      </c>
      <c r="Q2241" s="4">
        <v>-22772.31</v>
      </c>
      <c r="S2241" s="8">
        <f t="shared" si="102"/>
        <v>-37144.583333333336</v>
      </c>
      <c r="T2241" s="8">
        <f t="shared" si="103"/>
        <v>37144.583333333336</v>
      </c>
      <c r="U2241" s="9">
        <f t="shared" si="104"/>
        <v>-1</v>
      </c>
    </row>
    <row r="2242" spans="1:21" outlineLevel="2">
      <c r="A2242" t="s">
        <v>604</v>
      </c>
      <c r="B2242" t="s">
        <v>605</v>
      </c>
      <c r="C2242" t="s">
        <v>63</v>
      </c>
      <c r="D2242" t="s">
        <v>64</v>
      </c>
      <c r="E2242" s="4">
        <v>-9674.1200000000008</v>
      </c>
      <c r="F2242" s="4">
        <v>-11531.84</v>
      </c>
      <c r="G2242" s="4">
        <v>-218.65</v>
      </c>
      <c r="H2242" s="4">
        <v>-12982.05</v>
      </c>
      <c r="I2242" s="4">
        <v>-5990.72</v>
      </c>
      <c r="J2242" s="4">
        <v>-5877</v>
      </c>
      <c r="K2242" s="4">
        <v>-20292.59</v>
      </c>
      <c r="L2242" s="4">
        <v>-3222.4</v>
      </c>
      <c r="M2242" s="4">
        <v>-3329.18</v>
      </c>
      <c r="N2242" s="4">
        <v>-11808.02</v>
      </c>
      <c r="O2242" s="4">
        <v>-1725.81</v>
      </c>
      <c r="P2242" s="4">
        <v>-4597.24</v>
      </c>
      <c r="Q2242" s="4">
        <v>-1984.51</v>
      </c>
      <c r="S2242" s="8">
        <f t="shared" si="102"/>
        <v>-4444.5266666666666</v>
      </c>
      <c r="T2242" s="8">
        <f t="shared" si="103"/>
        <v>4444.5266666666666</v>
      </c>
      <c r="U2242" s="9">
        <f t="shared" si="104"/>
        <v>-1</v>
      </c>
    </row>
    <row r="2243" spans="1:21" outlineLevel="2">
      <c r="A2243" t="s">
        <v>604</v>
      </c>
      <c r="B2243" t="s">
        <v>605</v>
      </c>
      <c r="C2243" t="s">
        <v>65</v>
      </c>
      <c r="D2243" t="s">
        <v>66</v>
      </c>
      <c r="E2243" s="4">
        <v>-856.05</v>
      </c>
      <c r="F2243" s="4">
        <v>-80.78</v>
      </c>
      <c r="G2243" s="4">
        <v>0</v>
      </c>
      <c r="H2243" s="4">
        <v>0</v>
      </c>
      <c r="I2243" s="4">
        <v>1976.97</v>
      </c>
      <c r="J2243" s="4">
        <v>-1183.8499999999999</v>
      </c>
      <c r="K2243" s="4">
        <v>-1957.49</v>
      </c>
      <c r="L2243" s="4">
        <v>-17148.18</v>
      </c>
      <c r="M2243" s="4">
        <v>-3153.59</v>
      </c>
      <c r="N2243" s="4">
        <v>-5931.77</v>
      </c>
      <c r="O2243" s="4">
        <v>-400.21</v>
      </c>
      <c r="P2243" s="4">
        <v>-4819.3900000000003</v>
      </c>
      <c r="Q2243" s="4">
        <v>-974.85</v>
      </c>
      <c r="S2243" s="8">
        <f t="shared" ref="S2243:S2306" si="105">AVERAGE(L2243:Q2243)</f>
        <v>-5404.665</v>
      </c>
      <c r="T2243" s="8">
        <f t="shared" ref="T2243:T2306" si="106">R2243-S2243</f>
        <v>5404.665</v>
      </c>
      <c r="U2243" s="9">
        <f t="shared" ref="U2243:U2306" si="107">(R2243-S2243)/S2243</f>
        <v>-1</v>
      </c>
    </row>
    <row r="2244" spans="1:21" outlineLevel="2">
      <c r="A2244" t="s">
        <v>604</v>
      </c>
      <c r="B2244" t="s">
        <v>605</v>
      </c>
      <c r="C2244" t="s">
        <v>69</v>
      </c>
      <c r="D2244" t="s">
        <v>70</v>
      </c>
      <c r="E2244" s="4">
        <v>0</v>
      </c>
      <c r="F2244" s="4">
        <v>0</v>
      </c>
      <c r="G2244" s="4">
        <v>-347.71</v>
      </c>
      <c r="H2244" s="4">
        <v>0</v>
      </c>
      <c r="I2244" s="4">
        <v>0</v>
      </c>
      <c r="J2244" s="4">
        <v>0</v>
      </c>
      <c r="K2244" s="4">
        <v>0</v>
      </c>
      <c r="L2244" s="4">
        <v>0</v>
      </c>
      <c r="M2244" s="4">
        <v>0</v>
      </c>
      <c r="N2244" s="4">
        <v>0</v>
      </c>
      <c r="O2244" s="4">
        <v>0</v>
      </c>
      <c r="P2244" s="4">
        <v>0</v>
      </c>
      <c r="Q2244" s="4">
        <v>0</v>
      </c>
      <c r="S2244" s="8">
        <f t="shared" si="105"/>
        <v>0</v>
      </c>
      <c r="T2244" s="8">
        <f t="shared" si="106"/>
        <v>0</v>
      </c>
      <c r="U2244" s="9" t="e">
        <f t="shared" si="107"/>
        <v>#DIV/0!</v>
      </c>
    </row>
    <row r="2245" spans="1:21" outlineLevel="2">
      <c r="A2245" t="s">
        <v>604</v>
      </c>
      <c r="B2245" t="s">
        <v>605</v>
      </c>
      <c r="C2245" t="s">
        <v>75</v>
      </c>
      <c r="D2245" t="s">
        <v>76</v>
      </c>
      <c r="E2245" s="4">
        <v>-21871.07</v>
      </c>
      <c r="F2245" s="4">
        <v>-32887.19</v>
      </c>
      <c r="G2245" s="4">
        <v>-39485.39</v>
      </c>
      <c r="H2245" s="4">
        <v>-40448.949999999997</v>
      </c>
      <c r="I2245" s="4">
        <v>-18414.27</v>
      </c>
      <c r="J2245" s="4">
        <v>-24788.799999999999</v>
      </c>
      <c r="K2245" s="4">
        <v>-23626.21</v>
      </c>
      <c r="L2245" s="4">
        <v>-25639.8</v>
      </c>
      <c r="M2245" s="4">
        <v>-47449.06</v>
      </c>
      <c r="N2245" s="4">
        <v>-19195.71</v>
      </c>
      <c r="O2245" s="4">
        <v>-23565.83</v>
      </c>
      <c r="P2245" s="4">
        <v>-36793.24</v>
      </c>
      <c r="Q2245" s="4">
        <v>-22671.74</v>
      </c>
      <c r="S2245" s="8">
        <f t="shared" si="105"/>
        <v>-29219.23</v>
      </c>
      <c r="T2245" s="8">
        <f t="shared" si="106"/>
        <v>29219.23</v>
      </c>
      <c r="U2245" s="9">
        <f t="shared" si="107"/>
        <v>-1</v>
      </c>
    </row>
    <row r="2246" spans="1:21" outlineLevel="2">
      <c r="A2246" t="s">
        <v>604</v>
      </c>
      <c r="B2246" t="s">
        <v>605</v>
      </c>
      <c r="C2246" t="s">
        <v>77</v>
      </c>
      <c r="D2246" t="s">
        <v>78</v>
      </c>
      <c r="E2246" s="4">
        <v>-49434.33</v>
      </c>
      <c r="F2246" s="4">
        <v>-14321.19</v>
      </c>
      <c r="G2246" s="4">
        <v>-21838.81</v>
      </c>
      <c r="H2246" s="4">
        <v>-27048.05</v>
      </c>
      <c r="I2246" s="4">
        <v>-86278.38</v>
      </c>
      <c r="J2246" s="4">
        <v>-56848.27</v>
      </c>
      <c r="K2246" s="4">
        <v>-23459.94</v>
      </c>
      <c r="L2246" s="4">
        <v>-19520.400000000001</v>
      </c>
      <c r="M2246" s="4">
        <v>-35270.51</v>
      </c>
      <c r="N2246" s="4">
        <v>-40820.300000000003</v>
      </c>
      <c r="O2246" s="4">
        <v>-16395.849999999999</v>
      </c>
      <c r="P2246" s="4">
        <v>-44747.58</v>
      </c>
      <c r="Q2246" s="4">
        <v>-53109.77</v>
      </c>
      <c r="S2246" s="8">
        <f t="shared" si="105"/>
        <v>-34977.401666666665</v>
      </c>
      <c r="T2246" s="8">
        <f t="shared" si="106"/>
        <v>34977.401666666665</v>
      </c>
      <c r="U2246" s="9">
        <f t="shared" si="107"/>
        <v>-1</v>
      </c>
    </row>
    <row r="2247" spans="1:21" outlineLevel="2">
      <c r="A2247" t="s">
        <v>604</v>
      </c>
      <c r="B2247" t="s">
        <v>605</v>
      </c>
      <c r="C2247" t="s">
        <v>593</v>
      </c>
      <c r="D2247" t="s">
        <v>594</v>
      </c>
      <c r="E2247" s="4">
        <v>0</v>
      </c>
      <c r="F2247" s="4">
        <v>0</v>
      </c>
      <c r="G2247" s="4">
        <v>-1307.67</v>
      </c>
      <c r="H2247" s="4">
        <v>-3856.54</v>
      </c>
      <c r="I2247" s="4">
        <v>0</v>
      </c>
      <c r="J2247" s="4">
        <v>-1320.95</v>
      </c>
      <c r="K2247" s="4">
        <v>-3304.32</v>
      </c>
      <c r="L2247" s="4">
        <v>-1180.1199999999999</v>
      </c>
      <c r="M2247" s="4">
        <v>-6036.34</v>
      </c>
      <c r="N2247" s="4">
        <v>-13727.39</v>
      </c>
      <c r="O2247" s="4">
        <v>-4072.74</v>
      </c>
      <c r="P2247" s="4">
        <v>-3068.3</v>
      </c>
      <c r="Q2247" s="4">
        <v>-481.52</v>
      </c>
      <c r="S2247" s="8">
        <f t="shared" si="105"/>
        <v>-4761.0683333333327</v>
      </c>
      <c r="T2247" s="8">
        <f t="shared" si="106"/>
        <v>4761.0683333333327</v>
      </c>
      <c r="U2247" s="9">
        <f t="shared" si="107"/>
        <v>-1</v>
      </c>
    </row>
    <row r="2248" spans="1:21" outlineLevel="2">
      <c r="A2248" t="s">
        <v>604</v>
      </c>
      <c r="B2248" t="s">
        <v>605</v>
      </c>
      <c r="C2248" t="s">
        <v>595</v>
      </c>
      <c r="D2248" t="s">
        <v>596</v>
      </c>
      <c r="E2248" s="4">
        <v>-5622.81</v>
      </c>
      <c r="F2248" s="4">
        <v>0</v>
      </c>
      <c r="G2248" s="4">
        <v>-1743.16</v>
      </c>
      <c r="H2248" s="4">
        <v>-1756</v>
      </c>
      <c r="I2248" s="4">
        <v>0</v>
      </c>
      <c r="J2248" s="4">
        <v>-1675</v>
      </c>
      <c r="K2248" s="4">
        <v>0</v>
      </c>
      <c r="L2248" s="4">
        <v>-525.63</v>
      </c>
      <c r="M2248" s="4">
        <v>-2150</v>
      </c>
      <c r="N2248" s="4">
        <v>-2125</v>
      </c>
      <c r="O2248" s="4">
        <v>0</v>
      </c>
      <c r="P2248" s="4">
        <v>-2044.69</v>
      </c>
      <c r="Q2248" s="4">
        <v>0</v>
      </c>
      <c r="S2248" s="8">
        <f t="shared" si="105"/>
        <v>-1140.8866666666665</v>
      </c>
      <c r="T2248" s="8">
        <f t="shared" si="106"/>
        <v>1140.8866666666665</v>
      </c>
      <c r="U2248" s="9">
        <f t="shared" si="107"/>
        <v>-1</v>
      </c>
    </row>
    <row r="2249" spans="1:21" outlineLevel="2">
      <c r="A2249" t="s">
        <v>604</v>
      </c>
      <c r="B2249" t="s">
        <v>605</v>
      </c>
      <c r="C2249" t="s">
        <v>597</v>
      </c>
      <c r="D2249" t="s">
        <v>598</v>
      </c>
      <c r="E2249" s="4">
        <v>-5081.2299999999996</v>
      </c>
      <c r="F2249" s="4">
        <v>-2503.83</v>
      </c>
      <c r="G2249" s="4">
        <v>-4506.7299999999996</v>
      </c>
      <c r="H2249" s="4">
        <v>-2270.69</v>
      </c>
      <c r="I2249" s="4">
        <v>-2318.44</v>
      </c>
      <c r="J2249" s="4">
        <v>-2848.51</v>
      </c>
      <c r="K2249" s="4">
        <v>-4329.91</v>
      </c>
      <c r="L2249" s="4">
        <v>-3295.18</v>
      </c>
      <c r="M2249" s="4">
        <v>-5678.28</v>
      </c>
      <c r="N2249" s="4">
        <v>-2467.9299999999998</v>
      </c>
      <c r="O2249" s="4">
        <v>-1013.18</v>
      </c>
      <c r="P2249" s="4">
        <v>-1628.93</v>
      </c>
      <c r="Q2249" s="4">
        <v>-3595.11</v>
      </c>
      <c r="S2249" s="8">
        <f t="shared" si="105"/>
        <v>-2946.4349999999999</v>
      </c>
      <c r="T2249" s="8">
        <f t="shared" si="106"/>
        <v>2946.4349999999999</v>
      </c>
      <c r="U2249" s="9">
        <f t="shared" si="107"/>
        <v>-1</v>
      </c>
    </row>
    <row r="2250" spans="1:21" outlineLevel="2">
      <c r="A2250" t="s">
        <v>604</v>
      </c>
      <c r="B2250" t="s">
        <v>605</v>
      </c>
      <c r="C2250" t="s">
        <v>81</v>
      </c>
      <c r="D2250" t="s">
        <v>82</v>
      </c>
      <c r="E2250" s="4">
        <v>-116.95</v>
      </c>
      <c r="F2250" s="4">
        <v>0</v>
      </c>
      <c r="G2250" s="4">
        <v>0</v>
      </c>
      <c r="H2250" s="4">
        <v>0</v>
      </c>
      <c r="I2250" s="4">
        <v>0</v>
      </c>
      <c r="J2250" s="4">
        <v>0</v>
      </c>
      <c r="K2250" s="4">
        <v>0</v>
      </c>
      <c r="L2250" s="4">
        <v>0</v>
      </c>
      <c r="M2250" s="4">
        <v>0</v>
      </c>
      <c r="N2250" s="4">
        <v>0</v>
      </c>
      <c r="O2250" s="4">
        <v>0</v>
      </c>
      <c r="P2250" s="4">
        <v>0</v>
      </c>
      <c r="Q2250" s="4">
        <v>0</v>
      </c>
      <c r="S2250" s="8">
        <f t="shared" si="105"/>
        <v>0</v>
      </c>
      <c r="T2250" s="8">
        <f t="shared" si="106"/>
        <v>0</v>
      </c>
      <c r="U2250" s="9" t="e">
        <f t="shared" si="107"/>
        <v>#DIV/0!</v>
      </c>
    </row>
    <row r="2251" spans="1:21" outlineLevel="2">
      <c r="A2251" t="s">
        <v>604</v>
      </c>
      <c r="B2251" t="s">
        <v>605</v>
      </c>
      <c r="C2251" t="s">
        <v>83</v>
      </c>
      <c r="D2251" t="s">
        <v>84</v>
      </c>
      <c r="E2251" s="4">
        <v>-1477.82</v>
      </c>
      <c r="F2251" s="4">
        <v>-711.08</v>
      </c>
      <c r="G2251" s="4">
        <v>-1444.97</v>
      </c>
      <c r="H2251" s="4">
        <v>-1273.77</v>
      </c>
      <c r="I2251" s="4">
        <v>-63103.32</v>
      </c>
      <c r="J2251" s="4">
        <v>-1483.92</v>
      </c>
      <c r="K2251" s="4">
        <v>-74879.680000000008</v>
      </c>
      <c r="L2251" s="4">
        <v>-1142.6500000000001</v>
      </c>
      <c r="M2251" s="4">
        <v>-716.73</v>
      </c>
      <c r="N2251" s="4">
        <v>-162.85</v>
      </c>
      <c r="O2251" s="4">
        <v>-324.70999999999998</v>
      </c>
      <c r="P2251" s="4">
        <v>-1330.69</v>
      </c>
      <c r="Q2251" s="4">
        <v>-1171.1600000000001</v>
      </c>
      <c r="S2251" s="8">
        <f t="shared" si="105"/>
        <v>-808.13166666666666</v>
      </c>
      <c r="T2251" s="8">
        <f t="shared" si="106"/>
        <v>808.13166666666666</v>
      </c>
      <c r="U2251" s="9">
        <f t="shared" si="107"/>
        <v>-1</v>
      </c>
    </row>
    <row r="2252" spans="1:21" outlineLevel="2">
      <c r="A2252" t="s">
        <v>604</v>
      </c>
      <c r="B2252" t="s">
        <v>605</v>
      </c>
      <c r="C2252" t="s">
        <v>85</v>
      </c>
      <c r="D2252" t="s">
        <v>86</v>
      </c>
      <c r="E2252" s="4">
        <v>-9653.2800000000007</v>
      </c>
      <c r="F2252" s="4">
        <v>-34166.269999999997</v>
      </c>
      <c r="G2252" s="4">
        <v>-36207.230000000003</v>
      </c>
      <c r="H2252" s="4">
        <v>-26150.74</v>
      </c>
      <c r="I2252" s="4">
        <v>-17078.95</v>
      </c>
      <c r="J2252" s="4">
        <v>-21929.71</v>
      </c>
      <c r="K2252" s="4">
        <v>-32213.37</v>
      </c>
      <c r="L2252" s="4">
        <v>-16398.560000000001</v>
      </c>
      <c r="M2252" s="4">
        <v>-53997.9</v>
      </c>
      <c r="N2252" s="4">
        <v>-19382.419999999998</v>
      </c>
      <c r="O2252" s="4">
        <v>-11167.38</v>
      </c>
      <c r="P2252" s="4">
        <v>-48386.95</v>
      </c>
      <c r="Q2252" s="4">
        <v>-25526.78</v>
      </c>
      <c r="S2252" s="8">
        <f t="shared" si="105"/>
        <v>-29143.331666666669</v>
      </c>
      <c r="T2252" s="8">
        <f t="shared" si="106"/>
        <v>29143.331666666669</v>
      </c>
      <c r="U2252" s="9">
        <f t="shared" si="107"/>
        <v>-1</v>
      </c>
    </row>
    <row r="2253" spans="1:21" outlineLevel="2">
      <c r="A2253" t="s">
        <v>604</v>
      </c>
      <c r="B2253" t="s">
        <v>605</v>
      </c>
      <c r="C2253" t="s">
        <v>599</v>
      </c>
      <c r="D2253" t="s">
        <v>311</v>
      </c>
      <c r="E2253" s="4">
        <v>-10144.59</v>
      </c>
      <c r="F2253" s="4">
        <v>-6466.19</v>
      </c>
      <c r="G2253" s="4">
        <v>-4289.17</v>
      </c>
      <c r="H2253" s="4">
        <v>-17024.330000000002</v>
      </c>
      <c r="I2253" s="4">
        <v>-13744.79</v>
      </c>
      <c r="J2253" s="4">
        <v>-21942.18</v>
      </c>
      <c r="K2253" s="4">
        <v>-17211.68</v>
      </c>
      <c r="L2253" s="4">
        <v>-11620.89</v>
      </c>
      <c r="M2253" s="4">
        <v>-15399.3</v>
      </c>
      <c r="N2253" s="4">
        <v>-14794.03</v>
      </c>
      <c r="O2253" s="4">
        <v>-11092.46</v>
      </c>
      <c r="P2253" s="4">
        <v>-12952.34</v>
      </c>
      <c r="Q2253" s="4">
        <v>-7608.64</v>
      </c>
      <c r="S2253" s="8">
        <f t="shared" si="105"/>
        <v>-12244.61</v>
      </c>
      <c r="T2253" s="8">
        <f t="shared" si="106"/>
        <v>12244.61</v>
      </c>
      <c r="U2253" s="9">
        <f t="shared" si="107"/>
        <v>-1</v>
      </c>
    </row>
    <row r="2254" spans="1:21" outlineLevel="2">
      <c r="A2254" t="s">
        <v>604</v>
      </c>
      <c r="B2254" t="s">
        <v>605</v>
      </c>
      <c r="C2254" t="s">
        <v>310</v>
      </c>
      <c r="D2254" t="s">
        <v>311</v>
      </c>
      <c r="E2254" s="4">
        <v>-11495.12</v>
      </c>
      <c r="F2254" s="4">
        <v>-9811.4500000000007</v>
      </c>
      <c r="G2254" s="4">
        <v>-8540</v>
      </c>
      <c r="H2254" s="4">
        <v>-4861.3500000000004</v>
      </c>
      <c r="I2254" s="4">
        <v>-7841.69</v>
      </c>
      <c r="J2254" s="4">
        <v>-3794.98</v>
      </c>
      <c r="K2254" s="4">
        <v>-8626.6200000000008</v>
      </c>
      <c r="L2254" s="4">
        <v>-2829.38</v>
      </c>
      <c r="M2254" s="4">
        <v>-6617.7</v>
      </c>
      <c r="N2254" s="4">
        <v>-7776.41</v>
      </c>
      <c r="O2254" s="4">
        <v>-3141.85</v>
      </c>
      <c r="P2254" s="4">
        <v>-5128.79</v>
      </c>
      <c r="Q2254" s="4">
        <v>-8849.74</v>
      </c>
      <c r="S2254" s="8">
        <f t="shared" si="105"/>
        <v>-5723.9783333333326</v>
      </c>
      <c r="T2254" s="8">
        <f t="shared" si="106"/>
        <v>5723.9783333333326</v>
      </c>
      <c r="U2254" s="9">
        <f t="shared" si="107"/>
        <v>-1</v>
      </c>
    </row>
    <row r="2255" spans="1:21" outlineLevel="2">
      <c r="A2255" t="s">
        <v>604</v>
      </c>
      <c r="B2255" t="s">
        <v>605</v>
      </c>
      <c r="C2255" t="s">
        <v>87</v>
      </c>
      <c r="D2255" t="s">
        <v>88</v>
      </c>
      <c r="E2255" s="4">
        <v>-450.16</v>
      </c>
      <c r="F2255" s="4">
        <v>0</v>
      </c>
      <c r="G2255" s="4">
        <v>-17.57</v>
      </c>
      <c r="H2255" s="4">
        <v>-6.44</v>
      </c>
      <c r="I2255" s="4">
        <v>-6.3</v>
      </c>
      <c r="J2255" s="4">
        <v>0</v>
      </c>
      <c r="K2255" s="4">
        <v>-2.3199999999999998</v>
      </c>
      <c r="L2255" s="4">
        <v>-944.13</v>
      </c>
      <c r="M2255" s="4">
        <v>0</v>
      </c>
      <c r="N2255" s="4">
        <v>-4.59</v>
      </c>
      <c r="O2255" s="4">
        <v>-114.9</v>
      </c>
      <c r="P2255" s="4">
        <v>0</v>
      </c>
      <c r="Q2255" s="4">
        <v>0</v>
      </c>
      <c r="S2255" s="8">
        <f t="shared" si="105"/>
        <v>-177.27</v>
      </c>
      <c r="T2255" s="8">
        <f t="shared" si="106"/>
        <v>177.27</v>
      </c>
      <c r="U2255" s="9">
        <f t="shared" si="107"/>
        <v>-1</v>
      </c>
    </row>
    <row r="2256" spans="1:21" outlineLevel="2">
      <c r="A2256" t="s">
        <v>604</v>
      </c>
      <c r="B2256" t="s">
        <v>605</v>
      </c>
      <c r="C2256" t="s">
        <v>182</v>
      </c>
      <c r="D2256" t="s">
        <v>183</v>
      </c>
      <c r="E2256" s="4">
        <v>0</v>
      </c>
      <c r="F2256" s="4">
        <v>0</v>
      </c>
      <c r="G2256" s="4">
        <v>0</v>
      </c>
      <c r="H2256" s="4">
        <v>0</v>
      </c>
      <c r="I2256" s="4">
        <v>0</v>
      </c>
      <c r="J2256" s="4">
        <v>0</v>
      </c>
      <c r="K2256" s="4">
        <v>0</v>
      </c>
      <c r="L2256" s="4">
        <v>0</v>
      </c>
      <c r="M2256" s="4">
        <v>0</v>
      </c>
      <c r="N2256" s="4">
        <v>-23.83</v>
      </c>
      <c r="O2256" s="4">
        <v>0</v>
      </c>
      <c r="P2256" s="4">
        <v>-63.47</v>
      </c>
      <c r="Q2256" s="4">
        <v>0</v>
      </c>
      <c r="S2256" s="8">
        <f t="shared" si="105"/>
        <v>-14.549999999999999</v>
      </c>
      <c r="T2256" s="8">
        <f t="shared" si="106"/>
        <v>14.549999999999999</v>
      </c>
      <c r="U2256" s="9">
        <f t="shared" si="107"/>
        <v>-1</v>
      </c>
    </row>
    <row r="2257" spans="1:21" outlineLevel="2">
      <c r="A2257" t="s">
        <v>604</v>
      </c>
      <c r="B2257" t="s">
        <v>605</v>
      </c>
      <c r="C2257" t="s">
        <v>93</v>
      </c>
      <c r="D2257" t="s">
        <v>94</v>
      </c>
      <c r="E2257" s="4">
        <v>-363.24</v>
      </c>
      <c r="F2257" s="4">
        <v>-41.57</v>
      </c>
      <c r="G2257" s="4">
        <v>0</v>
      </c>
      <c r="H2257" s="4">
        <v>0</v>
      </c>
      <c r="I2257" s="4">
        <v>0</v>
      </c>
      <c r="J2257" s="4">
        <v>0</v>
      </c>
      <c r="K2257" s="4">
        <v>0</v>
      </c>
      <c r="L2257" s="4">
        <v>-27.91</v>
      </c>
      <c r="M2257" s="4">
        <v>-1786.96</v>
      </c>
      <c r="N2257" s="4">
        <v>0</v>
      </c>
      <c r="O2257" s="4">
        <v>-33.26</v>
      </c>
      <c r="P2257" s="4">
        <v>0</v>
      </c>
      <c r="Q2257" s="4">
        <v>0</v>
      </c>
      <c r="S2257" s="8">
        <f t="shared" si="105"/>
        <v>-308.0216666666667</v>
      </c>
      <c r="T2257" s="8">
        <f t="shared" si="106"/>
        <v>308.0216666666667</v>
      </c>
      <c r="U2257" s="9">
        <f t="shared" si="107"/>
        <v>-1</v>
      </c>
    </row>
    <row r="2258" spans="1:21" outlineLevel="2">
      <c r="A2258" t="s">
        <v>604</v>
      </c>
      <c r="B2258" t="s">
        <v>605</v>
      </c>
      <c r="C2258" t="s">
        <v>97</v>
      </c>
      <c r="D2258" t="s">
        <v>98</v>
      </c>
      <c r="E2258" s="4">
        <v>-7918.07</v>
      </c>
      <c r="F2258" s="4">
        <v>-5754.97</v>
      </c>
      <c r="G2258" s="4">
        <v>-4720.87</v>
      </c>
      <c r="H2258" s="4">
        <v>-4516.8900000000003</v>
      </c>
      <c r="I2258" s="4">
        <v>-5819.03</v>
      </c>
      <c r="J2258" s="4">
        <v>-6009.87</v>
      </c>
      <c r="K2258" s="4">
        <v>-7898.79</v>
      </c>
      <c r="L2258" s="4">
        <v>-2442.34</v>
      </c>
      <c r="M2258" s="4">
        <v>-5735.66</v>
      </c>
      <c r="N2258" s="4">
        <v>-8693.9500000000007</v>
      </c>
      <c r="O2258" s="4">
        <v>-4590.51</v>
      </c>
      <c r="P2258" s="4">
        <v>-21324.81</v>
      </c>
      <c r="Q2258" s="4">
        <v>-11154.61</v>
      </c>
      <c r="S2258" s="8">
        <f t="shared" si="105"/>
        <v>-8990.3133333333335</v>
      </c>
      <c r="T2258" s="8">
        <f t="shared" si="106"/>
        <v>8990.3133333333335</v>
      </c>
      <c r="U2258" s="9">
        <f t="shared" si="107"/>
        <v>-1</v>
      </c>
    </row>
    <row r="2259" spans="1:21" outlineLevel="2">
      <c r="A2259" t="s">
        <v>604</v>
      </c>
      <c r="B2259" t="s">
        <v>605</v>
      </c>
      <c r="C2259" t="s">
        <v>184</v>
      </c>
      <c r="D2259" t="s">
        <v>185</v>
      </c>
      <c r="E2259" s="4">
        <v>0</v>
      </c>
      <c r="F2259" s="4">
        <v>0</v>
      </c>
      <c r="G2259" s="4">
        <v>0</v>
      </c>
      <c r="H2259" s="4">
        <v>-38.97</v>
      </c>
      <c r="I2259" s="4">
        <v>0</v>
      </c>
      <c r="J2259" s="4">
        <v>0</v>
      </c>
      <c r="K2259" s="4">
        <v>0</v>
      </c>
      <c r="L2259" s="4">
        <v>0</v>
      </c>
      <c r="M2259" s="4">
        <v>0</v>
      </c>
      <c r="N2259" s="4">
        <v>0</v>
      </c>
      <c r="O2259" s="4">
        <v>0</v>
      </c>
      <c r="P2259" s="4">
        <v>0</v>
      </c>
      <c r="Q2259" s="4">
        <v>0</v>
      </c>
      <c r="S2259" s="8">
        <f t="shared" si="105"/>
        <v>0</v>
      </c>
      <c r="T2259" s="8">
        <f t="shared" si="106"/>
        <v>0</v>
      </c>
      <c r="U2259" s="9" t="e">
        <f t="shared" si="107"/>
        <v>#DIV/0!</v>
      </c>
    </row>
    <row r="2260" spans="1:21" outlineLevel="2">
      <c r="A2260" t="s">
        <v>604</v>
      </c>
      <c r="B2260" t="s">
        <v>605</v>
      </c>
      <c r="C2260" t="s">
        <v>101</v>
      </c>
      <c r="D2260" t="s">
        <v>102</v>
      </c>
      <c r="E2260" s="4">
        <v>-7518.64</v>
      </c>
      <c r="F2260" s="4">
        <v>-1755.07</v>
      </c>
      <c r="G2260" s="4">
        <v>-4340.6400000000003</v>
      </c>
      <c r="H2260" s="4">
        <v>-3809.76</v>
      </c>
      <c r="I2260" s="4">
        <v>-2805.09</v>
      </c>
      <c r="J2260" s="4">
        <v>-2342.17</v>
      </c>
      <c r="K2260" s="4">
        <v>-1837.3</v>
      </c>
      <c r="L2260" s="4">
        <v>-10976.57</v>
      </c>
      <c r="M2260" s="4">
        <v>-4334.6400000000003</v>
      </c>
      <c r="N2260" s="4">
        <v>-1714.92</v>
      </c>
      <c r="O2260" s="4">
        <v>-676.34</v>
      </c>
      <c r="P2260" s="4">
        <v>-1335.84</v>
      </c>
      <c r="Q2260" s="4">
        <v>-1495.41</v>
      </c>
      <c r="S2260" s="8">
        <f t="shared" si="105"/>
        <v>-3422.2866666666664</v>
      </c>
      <c r="T2260" s="8">
        <f t="shared" si="106"/>
        <v>3422.2866666666664</v>
      </c>
      <c r="U2260" s="9">
        <f t="shared" si="107"/>
        <v>-1</v>
      </c>
    </row>
    <row r="2261" spans="1:21" outlineLevel="2">
      <c r="A2261" t="s">
        <v>604</v>
      </c>
      <c r="B2261" t="s">
        <v>605</v>
      </c>
      <c r="C2261" t="s">
        <v>105</v>
      </c>
      <c r="D2261" t="s">
        <v>106</v>
      </c>
      <c r="E2261" s="4">
        <v>0</v>
      </c>
      <c r="F2261" s="4">
        <v>0</v>
      </c>
      <c r="G2261" s="4">
        <v>0</v>
      </c>
      <c r="H2261" s="4">
        <v>0</v>
      </c>
      <c r="I2261" s="4">
        <v>0</v>
      </c>
      <c r="J2261" s="4">
        <v>0</v>
      </c>
      <c r="K2261" s="4">
        <v>-291.26</v>
      </c>
      <c r="L2261" s="4">
        <v>0</v>
      </c>
      <c r="M2261" s="4">
        <v>0</v>
      </c>
      <c r="N2261" s="4">
        <v>0</v>
      </c>
      <c r="O2261" s="4">
        <v>0</v>
      </c>
      <c r="P2261" s="4">
        <v>0</v>
      </c>
      <c r="Q2261" s="4">
        <v>0</v>
      </c>
      <c r="S2261" s="8">
        <f t="shared" si="105"/>
        <v>0</v>
      </c>
      <c r="T2261" s="8">
        <f t="shared" si="106"/>
        <v>0</v>
      </c>
      <c r="U2261" s="9" t="e">
        <f t="shared" si="107"/>
        <v>#DIV/0!</v>
      </c>
    </row>
    <row r="2262" spans="1:21" outlineLevel="2">
      <c r="A2262" t="s">
        <v>604</v>
      </c>
      <c r="B2262" t="s">
        <v>605</v>
      </c>
      <c r="C2262" t="s">
        <v>198</v>
      </c>
      <c r="D2262" t="s">
        <v>199</v>
      </c>
      <c r="E2262" s="4">
        <v>0</v>
      </c>
      <c r="F2262" s="4">
        <v>0</v>
      </c>
      <c r="G2262" s="4">
        <v>0</v>
      </c>
      <c r="H2262" s="4">
        <v>0</v>
      </c>
      <c r="I2262" s="4">
        <v>0</v>
      </c>
      <c r="J2262" s="4">
        <v>-627.4</v>
      </c>
      <c r="K2262" s="4">
        <v>0</v>
      </c>
      <c r="L2262" s="4">
        <v>0</v>
      </c>
      <c r="M2262" s="4">
        <v>0</v>
      </c>
      <c r="N2262" s="4">
        <v>0</v>
      </c>
      <c r="O2262" s="4">
        <v>0</v>
      </c>
      <c r="P2262" s="4">
        <v>0</v>
      </c>
      <c r="Q2262" s="4">
        <v>0</v>
      </c>
      <c r="S2262" s="8">
        <f t="shared" si="105"/>
        <v>0</v>
      </c>
      <c r="T2262" s="8">
        <f t="shared" si="106"/>
        <v>0</v>
      </c>
      <c r="U2262" s="9" t="e">
        <f t="shared" si="107"/>
        <v>#DIV/0!</v>
      </c>
    </row>
    <row r="2263" spans="1:21" outlineLevel="2">
      <c r="A2263" t="s">
        <v>604</v>
      </c>
      <c r="B2263" t="s">
        <v>605</v>
      </c>
      <c r="C2263" t="s">
        <v>312</v>
      </c>
      <c r="D2263" t="s">
        <v>313</v>
      </c>
      <c r="E2263" s="4">
        <v>-1272</v>
      </c>
      <c r="F2263" s="4">
        <v>-685</v>
      </c>
      <c r="G2263" s="4">
        <v>-722</v>
      </c>
      <c r="H2263" s="4">
        <v>-550</v>
      </c>
      <c r="I2263" s="4">
        <v>-200</v>
      </c>
      <c r="J2263" s="4">
        <v>-1357.51</v>
      </c>
      <c r="K2263" s="4">
        <v>-2148.16</v>
      </c>
      <c r="L2263" s="4">
        <v>-1050</v>
      </c>
      <c r="M2263" s="4">
        <v>-632.63</v>
      </c>
      <c r="N2263" s="4">
        <v>-400</v>
      </c>
      <c r="O2263" s="4">
        <v>-114</v>
      </c>
      <c r="P2263" s="4">
        <v>-696.29</v>
      </c>
      <c r="Q2263" s="4">
        <v>-1329.5</v>
      </c>
      <c r="S2263" s="8">
        <f t="shared" si="105"/>
        <v>-703.73666666666668</v>
      </c>
      <c r="T2263" s="8">
        <f t="shared" si="106"/>
        <v>703.73666666666668</v>
      </c>
      <c r="U2263" s="9">
        <f t="shared" si="107"/>
        <v>-1</v>
      </c>
    </row>
    <row r="2264" spans="1:21" outlineLevel="2">
      <c r="A2264" t="s">
        <v>604</v>
      </c>
      <c r="B2264" t="s">
        <v>605</v>
      </c>
      <c r="C2264" t="s">
        <v>111</v>
      </c>
      <c r="D2264" t="s">
        <v>112</v>
      </c>
      <c r="E2264" s="4">
        <v>0</v>
      </c>
      <c r="F2264" s="4">
        <v>0</v>
      </c>
      <c r="G2264" s="4">
        <v>0</v>
      </c>
      <c r="H2264" s="4">
        <v>0</v>
      </c>
      <c r="I2264" s="4">
        <v>0</v>
      </c>
      <c r="J2264" s="4">
        <v>0</v>
      </c>
      <c r="K2264" s="4">
        <v>0</v>
      </c>
      <c r="L2264" s="4">
        <v>78.12</v>
      </c>
      <c r="M2264" s="4">
        <v>0</v>
      </c>
      <c r="N2264" s="4">
        <v>0</v>
      </c>
      <c r="O2264" s="4">
        <v>0</v>
      </c>
      <c r="P2264" s="4">
        <v>0</v>
      </c>
      <c r="Q2264" s="4">
        <v>0</v>
      </c>
      <c r="S2264" s="8">
        <f t="shared" si="105"/>
        <v>13.020000000000001</v>
      </c>
      <c r="T2264" s="8">
        <f t="shared" si="106"/>
        <v>-13.020000000000001</v>
      </c>
      <c r="U2264" s="9">
        <f t="shared" si="107"/>
        <v>-1</v>
      </c>
    </row>
    <row r="2265" spans="1:21" outlineLevel="2">
      <c r="A2265" t="s">
        <v>604</v>
      </c>
      <c r="B2265" t="s">
        <v>605</v>
      </c>
      <c r="C2265" t="s">
        <v>115</v>
      </c>
      <c r="D2265" t="s">
        <v>116</v>
      </c>
      <c r="E2265" s="4">
        <v>0</v>
      </c>
      <c r="F2265" s="4">
        <v>0</v>
      </c>
      <c r="G2265" s="4">
        <v>0</v>
      </c>
      <c r="H2265" s="4">
        <v>0</v>
      </c>
      <c r="I2265" s="4">
        <v>0</v>
      </c>
      <c r="J2265" s="4">
        <v>0</v>
      </c>
      <c r="K2265" s="4">
        <v>0</v>
      </c>
      <c r="L2265" s="4">
        <v>0</v>
      </c>
      <c r="M2265" s="4">
        <v>0</v>
      </c>
      <c r="N2265" s="4">
        <v>0</v>
      </c>
      <c r="O2265" s="4">
        <v>0</v>
      </c>
      <c r="P2265" s="4">
        <v>0</v>
      </c>
      <c r="Q2265" s="4">
        <v>0</v>
      </c>
      <c r="S2265" s="8">
        <f t="shared" si="105"/>
        <v>0</v>
      </c>
      <c r="T2265" s="8">
        <f t="shared" si="106"/>
        <v>0</v>
      </c>
      <c r="U2265" s="9" t="e">
        <f t="shared" si="107"/>
        <v>#DIV/0!</v>
      </c>
    </row>
    <row r="2266" spans="1:21" outlineLevel="2">
      <c r="A2266" t="s">
        <v>604</v>
      </c>
      <c r="B2266" t="s">
        <v>605</v>
      </c>
      <c r="C2266" t="s">
        <v>170</v>
      </c>
      <c r="D2266" t="s">
        <v>171</v>
      </c>
      <c r="E2266" s="4">
        <v>-708.75</v>
      </c>
      <c r="F2266" s="4">
        <v>-472.5</v>
      </c>
      <c r="G2266" s="4">
        <v>-472.5</v>
      </c>
      <c r="H2266" s="4">
        <v>-459</v>
      </c>
      <c r="I2266" s="4">
        <v>-355.5</v>
      </c>
      <c r="J2266" s="4">
        <v>-355.5</v>
      </c>
      <c r="K2266" s="4">
        <v>-315</v>
      </c>
      <c r="L2266" s="4">
        <v>-459</v>
      </c>
      <c r="M2266" s="4">
        <v>-301.5</v>
      </c>
      <c r="N2266" s="4">
        <v>-301.5</v>
      </c>
      <c r="O2266" s="4">
        <v>-301.5</v>
      </c>
      <c r="P2266" s="4">
        <v>-301.5</v>
      </c>
      <c r="Q2266" s="4">
        <v>-150.75</v>
      </c>
      <c r="S2266" s="8">
        <f t="shared" si="105"/>
        <v>-302.625</v>
      </c>
      <c r="T2266" s="8">
        <f t="shared" si="106"/>
        <v>302.625</v>
      </c>
      <c r="U2266" s="9">
        <f t="shared" si="107"/>
        <v>-1</v>
      </c>
    </row>
    <row r="2267" spans="1:21" outlineLevel="2">
      <c r="A2267" t="s">
        <v>604</v>
      </c>
      <c r="B2267" t="s">
        <v>605</v>
      </c>
      <c r="C2267" t="s">
        <v>119</v>
      </c>
      <c r="D2267" t="s">
        <v>120</v>
      </c>
      <c r="E2267" s="4">
        <v>-5194.67</v>
      </c>
      <c r="F2267" s="4">
        <v>-2425.79</v>
      </c>
      <c r="G2267" s="4">
        <v>-1146.58</v>
      </c>
      <c r="H2267" s="4">
        <v>-3332.55</v>
      </c>
      <c r="I2267" s="4">
        <v>-867.57</v>
      </c>
      <c r="J2267" s="4">
        <v>-1596.84</v>
      </c>
      <c r="K2267" s="4">
        <v>0</v>
      </c>
      <c r="L2267" s="4">
        <v>-2934.03</v>
      </c>
      <c r="M2267" s="4">
        <v>-1466.11</v>
      </c>
      <c r="N2267" s="4">
        <v>-2538.13</v>
      </c>
      <c r="O2267" s="4">
        <v>-263</v>
      </c>
      <c r="P2267" s="4">
        <v>-2930.55</v>
      </c>
      <c r="Q2267" s="4">
        <v>-467.53</v>
      </c>
      <c r="S2267" s="8">
        <f t="shared" si="105"/>
        <v>-1766.5583333333334</v>
      </c>
      <c r="T2267" s="8">
        <f t="shared" si="106"/>
        <v>1766.5583333333334</v>
      </c>
      <c r="U2267" s="9">
        <f t="shared" si="107"/>
        <v>-1</v>
      </c>
    </row>
    <row r="2268" spans="1:21" outlineLevel="2">
      <c r="A2268" t="s">
        <v>604</v>
      </c>
      <c r="B2268" t="s">
        <v>605</v>
      </c>
      <c r="C2268" t="s">
        <v>121</v>
      </c>
      <c r="D2268" t="s">
        <v>122</v>
      </c>
      <c r="E2268" s="4">
        <v>-213158.98</v>
      </c>
      <c r="F2268" s="4">
        <v>-294244.32</v>
      </c>
      <c r="G2268" s="4">
        <v>-221415.67</v>
      </c>
      <c r="H2268" s="4">
        <v>-223833.48</v>
      </c>
      <c r="I2268" s="4">
        <v>-183570.5</v>
      </c>
      <c r="J2268" s="4">
        <v>-178582.45</v>
      </c>
      <c r="K2268" s="4">
        <v>-176684.84</v>
      </c>
      <c r="L2268" s="4">
        <v>-205758.9</v>
      </c>
      <c r="M2268" s="4">
        <v>-211162.1</v>
      </c>
      <c r="N2268" s="4">
        <v>-150022.19</v>
      </c>
      <c r="O2268" s="4">
        <v>-239828.11</v>
      </c>
      <c r="P2268" s="4">
        <v>-180020.93</v>
      </c>
      <c r="Q2268" s="4">
        <v>-165108.60999999999</v>
      </c>
      <c r="S2268" s="8">
        <f t="shared" si="105"/>
        <v>-191983.4733333333</v>
      </c>
      <c r="T2268" s="8">
        <f t="shared" si="106"/>
        <v>191983.4733333333</v>
      </c>
      <c r="U2268" s="9">
        <f t="shared" si="107"/>
        <v>-1</v>
      </c>
    </row>
    <row r="2269" spans="1:21" outlineLevel="2">
      <c r="A2269" t="s">
        <v>604</v>
      </c>
      <c r="B2269" t="s">
        <v>605</v>
      </c>
      <c r="C2269" t="s">
        <v>522</v>
      </c>
      <c r="D2269" t="s">
        <v>523</v>
      </c>
      <c r="E2269" s="4">
        <v>0</v>
      </c>
      <c r="F2269" s="4">
        <v>0</v>
      </c>
      <c r="G2269" s="4">
        <v>-6000</v>
      </c>
      <c r="H2269" s="4">
        <v>0</v>
      </c>
      <c r="I2269" s="4">
        <v>0</v>
      </c>
      <c r="J2269" s="4">
        <v>0</v>
      </c>
      <c r="K2269" s="4">
        <v>0</v>
      </c>
      <c r="L2269" s="4">
        <v>0</v>
      </c>
      <c r="M2269" s="4">
        <v>0</v>
      </c>
      <c r="N2269" s="4">
        <v>0</v>
      </c>
      <c r="O2269" s="4">
        <v>0</v>
      </c>
      <c r="P2269" s="4">
        <v>0</v>
      </c>
      <c r="Q2269" s="4">
        <v>0</v>
      </c>
      <c r="S2269" s="8">
        <f t="shared" si="105"/>
        <v>0</v>
      </c>
      <c r="T2269" s="8">
        <f t="shared" si="106"/>
        <v>0</v>
      </c>
      <c r="U2269" s="9" t="e">
        <f t="shared" si="107"/>
        <v>#DIV/0!</v>
      </c>
    </row>
    <row r="2270" spans="1:21" outlineLevel="2">
      <c r="A2270" t="s">
        <v>604</v>
      </c>
      <c r="B2270" t="s">
        <v>605</v>
      </c>
      <c r="C2270" t="s">
        <v>362</v>
      </c>
      <c r="D2270" t="s">
        <v>363</v>
      </c>
      <c r="E2270" s="4">
        <v>0</v>
      </c>
      <c r="F2270" s="4">
        <v>0</v>
      </c>
      <c r="G2270" s="4">
        <v>0</v>
      </c>
      <c r="H2270" s="4">
        <v>0</v>
      </c>
      <c r="I2270" s="4">
        <v>0</v>
      </c>
      <c r="J2270" s="4">
        <v>-0.02</v>
      </c>
      <c r="K2270" s="4">
        <v>0</v>
      </c>
      <c r="L2270" s="4">
        <v>0</v>
      </c>
      <c r="M2270" s="4">
        <v>0</v>
      </c>
      <c r="N2270" s="4">
        <v>0</v>
      </c>
      <c r="O2270" s="4">
        <v>0</v>
      </c>
      <c r="P2270" s="4">
        <v>0</v>
      </c>
      <c r="Q2270" s="4">
        <v>0</v>
      </c>
      <c r="S2270" s="8">
        <f t="shared" si="105"/>
        <v>0</v>
      </c>
      <c r="T2270" s="8">
        <f t="shared" si="106"/>
        <v>0</v>
      </c>
      <c r="U2270" s="9" t="e">
        <f t="shared" si="107"/>
        <v>#DIV/0!</v>
      </c>
    </row>
    <row r="2271" spans="1:21" outlineLevel="2">
      <c r="A2271" t="s">
        <v>604</v>
      </c>
      <c r="B2271" t="s">
        <v>605</v>
      </c>
      <c r="C2271" t="s">
        <v>127</v>
      </c>
      <c r="D2271" t="s">
        <v>120</v>
      </c>
      <c r="E2271" s="4">
        <v>27412.17</v>
      </c>
      <c r="F2271" s="4">
        <v>75.079999999999984</v>
      </c>
      <c r="G2271" s="4">
        <v>0.36</v>
      </c>
      <c r="H2271" s="4">
        <v>-31.3</v>
      </c>
      <c r="I2271" s="4">
        <v>1144.77</v>
      </c>
      <c r="J2271" s="4">
        <v>-26082.58</v>
      </c>
      <c r="K2271" s="4">
        <v>13.9</v>
      </c>
      <c r="L2271" s="4">
        <v>-6162.76</v>
      </c>
      <c r="M2271" s="4">
        <v>-32.409999999999997</v>
      </c>
      <c r="N2271" s="4">
        <v>1702.5</v>
      </c>
      <c r="O2271" s="4">
        <v>334.7</v>
      </c>
      <c r="P2271" s="4">
        <v>-207.92</v>
      </c>
      <c r="Q2271" s="4">
        <v>-152.97999999999999</v>
      </c>
      <c r="S2271" s="8">
        <f t="shared" si="105"/>
        <v>-753.14499999999998</v>
      </c>
      <c r="T2271" s="8">
        <f t="shared" si="106"/>
        <v>753.14499999999998</v>
      </c>
      <c r="U2271" s="9">
        <f t="shared" si="107"/>
        <v>-1</v>
      </c>
    </row>
    <row r="2272" spans="1:21" outlineLevel="2">
      <c r="A2272" t="s">
        <v>604</v>
      </c>
      <c r="B2272" t="s">
        <v>605</v>
      </c>
      <c r="C2272" t="s">
        <v>600</v>
      </c>
      <c r="D2272" t="s">
        <v>601</v>
      </c>
      <c r="E2272" s="4">
        <v>-1572408.44</v>
      </c>
      <c r="F2272" s="4">
        <v>-1654135.25</v>
      </c>
      <c r="G2272" s="4">
        <v>-1605188.15</v>
      </c>
      <c r="H2272" s="4">
        <v>-1462299.73</v>
      </c>
      <c r="I2272" s="4">
        <v>-1414736.3900000001</v>
      </c>
      <c r="J2272" s="4">
        <v>-1378706.67</v>
      </c>
      <c r="K2272" s="4">
        <v>-1471160.9200000004</v>
      </c>
      <c r="L2272" s="4">
        <v>-1440036.2000000002</v>
      </c>
      <c r="M2272" s="4">
        <v>-1450651.1900000002</v>
      </c>
      <c r="N2272" s="4">
        <v>-1364145.52</v>
      </c>
      <c r="O2272" s="4">
        <v>-1351994.8399999999</v>
      </c>
      <c r="P2272" s="4">
        <v>-1641301.96</v>
      </c>
      <c r="Q2272" s="4">
        <v>-1313987.24</v>
      </c>
      <c r="S2272" s="8">
        <f t="shared" si="105"/>
        <v>-1427019.4916666665</v>
      </c>
      <c r="T2272" s="8">
        <f t="shared" si="106"/>
        <v>1427019.4916666665</v>
      </c>
      <c r="U2272" s="9">
        <f t="shared" si="107"/>
        <v>-1</v>
      </c>
    </row>
    <row r="2273" spans="1:21" outlineLevel="2">
      <c r="A2273" t="s">
        <v>604</v>
      </c>
      <c r="B2273" t="s">
        <v>605</v>
      </c>
      <c r="C2273" t="s">
        <v>190</v>
      </c>
      <c r="D2273" t="s">
        <v>191</v>
      </c>
      <c r="E2273" s="4">
        <v>0</v>
      </c>
      <c r="F2273" s="4">
        <v>0</v>
      </c>
      <c r="G2273" s="4">
        <v>0</v>
      </c>
      <c r="H2273" s="4">
        <v>0</v>
      </c>
      <c r="I2273" s="4">
        <v>0</v>
      </c>
      <c r="J2273" s="4">
        <v>0</v>
      </c>
      <c r="K2273" s="4">
        <v>0</v>
      </c>
      <c r="L2273" s="4">
        <v>-1010.81</v>
      </c>
      <c r="M2273" s="4">
        <v>0</v>
      </c>
      <c r="N2273" s="4">
        <v>0</v>
      </c>
      <c r="O2273" s="4">
        <v>0</v>
      </c>
      <c r="P2273" s="4">
        <v>0</v>
      </c>
      <c r="Q2273" s="4">
        <v>0</v>
      </c>
      <c r="S2273" s="8">
        <f t="shared" si="105"/>
        <v>-168.46833333333333</v>
      </c>
      <c r="T2273" s="8">
        <f t="shared" si="106"/>
        <v>168.46833333333333</v>
      </c>
      <c r="U2273" s="9">
        <f t="shared" si="107"/>
        <v>-1</v>
      </c>
    </row>
    <row r="2274" spans="1:21" outlineLevel="2">
      <c r="A2274" t="s">
        <v>604</v>
      </c>
      <c r="B2274" t="s">
        <v>605</v>
      </c>
      <c r="C2274" t="s">
        <v>238</v>
      </c>
      <c r="D2274" t="s">
        <v>239</v>
      </c>
      <c r="E2274" s="4">
        <v>0</v>
      </c>
      <c r="F2274" s="4">
        <v>-566.24</v>
      </c>
      <c r="G2274" s="4">
        <v>-168.04</v>
      </c>
      <c r="H2274" s="4">
        <v>0</v>
      </c>
      <c r="I2274" s="4">
        <v>0</v>
      </c>
      <c r="J2274" s="4">
        <v>-150.37</v>
      </c>
      <c r="K2274" s="4">
        <v>0</v>
      </c>
      <c r="L2274" s="4">
        <v>0</v>
      </c>
      <c r="M2274" s="4">
        <v>-1135.6400000000001</v>
      </c>
      <c r="N2274" s="4">
        <v>0</v>
      </c>
      <c r="O2274" s="4">
        <v>0</v>
      </c>
      <c r="P2274" s="4">
        <v>0</v>
      </c>
      <c r="Q2274" s="4">
        <v>0</v>
      </c>
      <c r="S2274" s="8">
        <f t="shared" si="105"/>
        <v>-189.27333333333334</v>
      </c>
      <c r="T2274" s="8">
        <f t="shared" si="106"/>
        <v>189.27333333333334</v>
      </c>
      <c r="U2274" s="9">
        <f t="shared" si="107"/>
        <v>-1</v>
      </c>
    </row>
    <row r="2275" spans="1:21" outlineLevel="2">
      <c r="A2275" t="s">
        <v>604</v>
      </c>
      <c r="B2275" t="s">
        <v>605</v>
      </c>
      <c r="C2275" t="s">
        <v>240</v>
      </c>
      <c r="D2275" t="s">
        <v>241</v>
      </c>
      <c r="E2275" s="4">
        <v>-15640.81</v>
      </c>
      <c r="F2275" s="4">
        <v>-14431.24</v>
      </c>
      <c r="G2275" s="4">
        <v>-10318.84</v>
      </c>
      <c r="H2275" s="4">
        <v>-11649.33</v>
      </c>
      <c r="I2275" s="4">
        <v>-11649.33</v>
      </c>
      <c r="J2275" s="4">
        <v>-11649.33</v>
      </c>
      <c r="K2275" s="4">
        <v>-15380.62</v>
      </c>
      <c r="L2275" s="4">
        <v>-15380.62</v>
      </c>
      <c r="M2275" s="4">
        <v>-15380.62</v>
      </c>
      <c r="N2275" s="4">
        <v>-15380.62</v>
      </c>
      <c r="O2275" s="4">
        <v>-15380.62</v>
      </c>
      <c r="P2275" s="4">
        <v>-15380.62</v>
      </c>
      <c r="Q2275" s="4">
        <v>-6326.98</v>
      </c>
      <c r="S2275" s="8">
        <f t="shared" si="105"/>
        <v>-13871.68</v>
      </c>
      <c r="T2275" s="8">
        <f t="shared" si="106"/>
        <v>13871.68</v>
      </c>
      <c r="U2275" s="9">
        <f t="shared" si="107"/>
        <v>-1</v>
      </c>
    </row>
    <row r="2276" spans="1:21" outlineLevel="2">
      <c r="A2276" t="s">
        <v>604</v>
      </c>
      <c r="B2276" t="s">
        <v>605</v>
      </c>
      <c r="C2276" t="s">
        <v>602</v>
      </c>
      <c r="D2276" t="s">
        <v>603</v>
      </c>
      <c r="E2276" s="4">
        <v>0</v>
      </c>
      <c r="F2276" s="4">
        <v>0</v>
      </c>
      <c r="G2276" s="4">
        <v>-367.99</v>
      </c>
      <c r="H2276" s="4">
        <v>-714.34</v>
      </c>
      <c r="I2276" s="4">
        <v>0</v>
      </c>
      <c r="J2276" s="4">
        <v>0</v>
      </c>
      <c r="K2276" s="4">
        <v>0</v>
      </c>
      <c r="L2276" s="4">
        <v>-575.23</v>
      </c>
      <c r="M2276" s="4">
        <v>0</v>
      </c>
      <c r="N2276" s="4">
        <v>0</v>
      </c>
      <c r="O2276" s="4">
        <v>0</v>
      </c>
      <c r="P2276" s="4">
        <v>0</v>
      </c>
      <c r="Q2276" s="4">
        <v>0</v>
      </c>
      <c r="S2276" s="8">
        <f t="shared" si="105"/>
        <v>-95.87166666666667</v>
      </c>
      <c r="T2276" s="8">
        <f t="shared" si="106"/>
        <v>95.87166666666667</v>
      </c>
      <c r="U2276" s="9">
        <f t="shared" si="107"/>
        <v>-1</v>
      </c>
    </row>
    <row r="2277" spans="1:21" outlineLevel="1">
      <c r="A2277" s="1" t="s">
        <v>850</v>
      </c>
      <c r="E2277" s="4">
        <f>SUBTOTAL(9,E2205:E2276)</f>
        <v>-3144816.8800000004</v>
      </c>
      <c r="F2277" s="4">
        <f>SUBTOTAL(9,F2205:F2276)</f>
        <v>-3308270.5000000005</v>
      </c>
      <c r="G2277" s="4">
        <f>SUBTOTAL(9,G2205:G2276)</f>
        <v>-3163976.3</v>
      </c>
      <c r="H2277" s="4">
        <f>SUBTOTAL(9,H2205:H2276)</f>
        <v>-2924599.46</v>
      </c>
      <c r="I2277" s="4">
        <f>SUBTOTAL(9,I2205:I2276)</f>
        <v>-2829472.7800000003</v>
      </c>
      <c r="J2277" s="4">
        <f>SUBTOTAL(9,J2205:J2276)</f>
        <v>-2757413.34</v>
      </c>
      <c r="K2277" s="4">
        <f>SUBTOTAL(9,K2205:K2276)</f>
        <v>-2942321.8400000008</v>
      </c>
      <c r="L2277" s="4">
        <f>SUBTOTAL(9,L2205:L2276)</f>
        <v>-2880072.4</v>
      </c>
      <c r="M2277" s="4">
        <f>SUBTOTAL(9,M2205:M2276)</f>
        <v>-2901302.3800000004</v>
      </c>
      <c r="N2277" s="4">
        <f>SUBTOTAL(9,N2205:N2276)</f>
        <v>-2728291.04</v>
      </c>
      <c r="O2277" s="4">
        <f>SUBTOTAL(9,O2205:O2276)</f>
        <v>-2703989.6799999997</v>
      </c>
      <c r="P2277" s="4">
        <f>SUBTOTAL(9,P2205:P2276)</f>
        <v>-3282603.92</v>
      </c>
      <c r="Q2277" s="4">
        <f>SUBTOTAL(9,Q2205:Q2276)</f>
        <v>-2711038.6200000006</v>
      </c>
      <c r="R2277" s="4">
        <f>SUBTOTAL(9,R2205:R2276)</f>
        <v>0</v>
      </c>
      <c r="S2277" s="8">
        <f t="shared" si="105"/>
        <v>-2867883.0066666664</v>
      </c>
      <c r="T2277" s="8">
        <f t="shared" si="106"/>
        <v>2867883.0066666664</v>
      </c>
      <c r="U2277" s="9">
        <f t="shared" si="107"/>
        <v>-1</v>
      </c>
    </row>
    <row r="2278" spans="1:21" outlineLevel="2">
      <c r="A2278" t="s">
        <v>606</v>
      </c>
      <c r="B2278" t="s">
        <v>607</v>
      </c>
      <c r="C2278" t="s">
        <v>240</v>
      </c>
      <c r="D2278" t="s">
        <v>241</v>
      </c>
      <c r="E2278" s="4">
        <v>454.54</v>
      </c>
      <c r="F2278" s="4">
        <v>454.54</v>
      </c>
      <c r="G2278" s="4">
        <v>252.36</v>
      </c>
      <c r="H2278" s="4">
        <v>302.89999999999998</v>
      </c>
      <c r="I2278" s="4">
        <v>302.89999999999998</v>
      </c>
      <c r="J2278" s="4">
        <v>302.89999999999998</v>
      </c>
      <c r="K2278" s="4">
        <v>444.65</v>
      </c>
      <c r="L2278" s="4">
        <v>444.65</v>
      </c>
      <c r="M2278" s="4">
        <v>444.65</v>
      </c>
      <c r="N2278" s="4">
        <v>444.65</v>
      </c>
      <c r="O2278" s="4">
        <v>444.65</v>
      </c>
      <c r="P2278" s="4">
        <v>444.65</v>
      </c>
      <c r="Q2278" s="4">
        <v>0</v>
      </c>
      <c r="S2278" s="8">
        <f t="shared" si="105"/>
        <v>370.54166666666669</v>
      </c>
      <c r="T2278" s="8">
        <f t="shared" si="106"/>
        <v>-370.54166666666669</v>
      </c>
      <c r="U2278" s="9">
        <f t="shared" si="107"/>
        <v>-1</v>
      </c>
    </row>
    <row r="2279" spans="1:21" outlineLevel="1">
      <c r="A2279" s="1" t="s">
        <v>851</v>
      </c>
      <c r="E2279" s="4">
        <f>SUBTOTAL(9,E2278:E2278)</f>
        <v>454.54</v>
      </c>
      <c r="F2279" s="4">
        <f>SUBTOTAL(9,F2278:F2278)</f>
        <v>454.54</v>
      </c>
      <c r="G2279" s="4">
        <f>SUBTOTAL(9,G2278:G2278)</f>
        <v>252.36</v>
      </c>
      <c r="H2279" s="4">
        <f>SUBTOTAL(9,H2278:H2278)</f>
        <v>302.89999999999998</v>
      </c>
      <c r="I2279" s="4">
        <f>SUBTOTAL(9,I2278:I2278)</f>
        <v>302.89999999999998</v>
      </c>
      <c r="J2279" s="4">
        <f>SUBTOTAL(9,J2278:J2278)</f>
        <v>302.89999999999998</v>
      </c>
      <c r="K2279" s="4">
        <f>SUBTOTAL(9,K2278:K2278)</f>
        <v>444.65</v>
      </c>
      <c r="L2279" s="4">
        <f>SUBTOTAL(9,L2278:L2278)</f>
        <v>444.65</v>
      </c>
      <c r="M2279" s="4">
        <f>SUBTOTAL(9,M2278:M2278)</f>
        <v>444.65</v>
      </c>
      <c r="N2279" s="4">
        <f>SUBTOTAL(9,N2278:N2278)</f>
        <v>444.65</v>
      </c>
      <c r="O2279" s="4">
        <f>SUBTOTAL(9,O2278:O2278)</f>
        <v>444.65</v>
      </c>
      <c r="P2279" s="4">
        <f>SUBTOTAL(9,P2278:P2278)</f>
        <v>444.65</v>
      </c>
      <c r="Q2279" s="4">
        <f>SUBTOTAL(9,Q2278:Q2278)</f>
        <v>0</v>
      </c>
      <c r="R2279" s="4">
        <f>SUBTOTAL(9,R2278:R2278)</f>
        <v>0</v>
      </c>
      <c r="S2279" s="8">
        <f t="shared" si="105"/>
        <v>370.54166666666669</v>
      </c>
      <c r="T2279" s="8">
        <f t="shared" si="106"/>
        <v>-370.54166666666669</v>
      </c>
      <c r="U2279" s="9">
        <f t="shared" si="107"/>
        <v>-1</v>
      </c>
    </row>
    <row r="2280" spans="1:21" outlineLevel="2">
      <c r="A2280" t="s">
        <v>608</v>
      </c>
      <c r="B2280" t="s">
        <v>609</v>
      </c>
      <c r="C2280" t="s">
        <v>21</v>
      </c>
      <c r="D2280" t="s">
        <v>22</v>
      </c>
      <c r="E2280" s="4">
        <v>652.44000000000005</v>
      </c>
      <c r="F2280" s="4">
        <v>268.56</v>
      </c>
      <c r="G2280" s="4">
        <v>709.45</v>
      </c>
      <c r="H2280" s="4">
        <v>431.46</v>
      </c>
      <c r="I2280" s="4">
        <v>1103.0899999999999</v>
      </c>
      <c r="J2280" s="4">
        <v>151.97</v>
      </c>
      <c r="K2280" s="4">
        <v>498.34</v>
      </c>
      <c r="L2280" s="4">
        <v>1181.43</v>
      </c>
      <c r="M2280" s="4">
        <v>2326.0100000000002</v>
      </c>
      <c r="N2280" s="4">
        <v>297.82</v>
      </c>
      <c r="O2280" s="4">
        <v>623.70000000000005</v>
      </c>
      <c r="P2280" s="4">
        <v>77.849999999999994</v>
      </c>
      <c r="Q2280" s="4">
        <v>118.28999999999999</v>
      </c>
      <c r="S2280" s="8">
        <f t="shared" si="105"/>
        <v>770.85000000000025</v>
      </c>
      <c r="T2280" s="8">
        <f t="shared" si="106"/>
        <v>-770.85000000000025</v>
      </c>
      <c r="U2280" s="9">
        <f t="shared" si="107"/>
        <v>-1</v>
      </c>
    </row>
    <row r="2281" spans="1:21" outlineLevel="2">
      <c r="A2281" t="s">
        <v>608</v>
      </c>
      <c r="B2281" t="s">
        <v>609</v>
      </c>
      <c r="C2281" t="s">
        <v>23</v>
      </c>
      <c r="D2281" t="s">
        <v>24</v>
      </c>
      <c r="E2281" s="4">
        <v>463.81999999999994</v>
      </c>
      <c r="F2281" s="4">
        <v>206.26</v>
      </c>
      <c r="G2281" s="4">
        <v>351.21</v>
      </c>
      <c r="H2281" s="4">
        <v>113.36</v>
      </c>
      <c r="I2281" s="4">
        <v>658.63</v>
      </c>
      <c r="J2281" s="4">
        <v>3202.170000000001</v>
      </c>
      <c r="K2281" s="4">
        <v>74.069999999999993</v>
      </c>
      <c r="L2281" s="4">
        <v>56.49</v>
      </c>
      <c r="M2281" s="4">
        <v>0</v>
      </c>
      <c r="N2281" s="4">
        <v>0</v>
      </c>
      <c r="O2281" s="4">
        <v>11.25</v>
      </c>
      <c r="P2281" s="4">
        <v>0</v>
      </c>
      <c r="Q2281" s="4">
        <v>20.25</v>
      </c>
      <c r="S2281" s="8">
        <f t="shared" si="105"/>
        <v>14.665000000000001</v>
      </c>
      <c r="T2281" s="8">
        <f t="shared" si="106"/>
        <v>-14.665000000000001</v>
      </c>
      <c r="U2281" s="9">
        <f t="shared" si="107"/>
        <v>-1</v>
      </c>
    </row>
    <row r="2282" spans="1:21" outlineLevel="2">
      <c r="A2282" t="s">
        <v>608</v>
      </c>
      <c r="B2282" t="s">
        <v>609</v>
      </c>
      <c r="C2282" t="s">
        <v>25</v>
      </c>
      <c r="D2282" t="s">
        <v>26</v>
      </c>
      <c r="E2282" s="4">
        <v>0</v>
      </c>
      <c r="F2282" s="4">
        <v>0</v>
      </c>
      <c r="G2282" s="4">
        <v>0</v>
      </c>
      <c r="H2282" s="4">
        <v>0</v>
      </c>
      <c r="I2282" s="4">
        <v>0</v>
      </c>
      <c r="J2282" s="4">
        <v>0</v>
      </c>
      <c r="K2282" s="4">
        <v>0</v>
      </c>
      <c r="L2282" s="4">
        <v>0</v>
      </c>
      <c r="M2282" s="4">
        <v>485.47999999999996</v>
      </c>
      <c r="N2282" s="4">
        <v>697.05</v>
      </c>
      <c r="O2282" s="4">
        <v>539.52</v>
      </c>
      <c r="P2282" s="4">
        <v>29.32</v>
      </c>
      <c r="Q2282" s="4">
        <v>48.87</v>
      </c>
      <c r="S2282" s="8">
        <f t="shared" si="105"/>
        <v>300.03999999999996</v>
      </c>
      <c r="T2282" s="8">
        <f t="shared" si="106"/>
        <v>-300.03999999999996</v>
      </c>
      <c r="U2282" s="9">
        <f t="shared" si="107"/>
        <v>-1</v>
      </c>
    </row>
    <row r="2283" spans="1:21" outlineLevel="2">
      <c r="A2283" t="s">
        <v>608</v>
      </c>
      <c r="B2283" t="s">
        <v>609</v>
      </c>
      <c r="C2283" t="s">
        <v>27</v>
      </c>
      <c r="D2283" t="s">
        <v>28</v>
      </c>
      <c r="E2283" s="4">
        <v>0</v>
      </c>
      <c r="F2283" s="4">
        <v>0</v>
      </c>
      <c r="G2283" s="4">
        <v>0</v>
      </c>
      <c r="H2283" s="4">
        <v>0</v>
      </c>
      <c r="I2283" s="4">
        <v>0</v>
      </c>
      <c r="J2283" s="4">
        <v>0</v>
      </c>
      <c r="K2283" s="4">
        <v>0</v>
      </c>
      <c r="L2283" s="4">
        <v>0</v>
      </c>
      <c r="M2283" s="4">
        <v>0</v>
      </c>
      <c r="N2283" s="4">
        <v>75</v>
      </c>
      <c r="O2283" s="4">
        <v>516.4</v>
      </c>
      <c r="P2283" s="4">
        <v>138.88999999999999</v>
      </c>
      <c r="Q2283" s="4">
        <v>0</v>
      </c>
      <c r="S2283" s="8">
        <f t="shared" si="105"/>
        <v>121.71499999999999</v>
      </c>
      <c r="T2283" s="8">
        <f t="shared" si="106"/>
        <v>-121.71499999999999</v>
      </c>
      <c r="U2283" s="9">
        <f t="shared" si="107"/>
        <v>-1</v>
      </c>
    </row>
    <row r="2284" spans="1:21" outlineLevel="2">
      <c r="A2284" t="s">
        <v>608</v>
      </c>
      <c r="B2284" t="s">
        <v>609</v>
      </c>
      <c r="C2284" t="s">
        <v>194</v>
      </c>
      <c r="D2284" t="s">
        <v>195</v>
      </c>
      <c r="E2284" s="4">
        <v>341.54999999999995</v>
      </c>
      <c r="F2284" s="4">
        <v>0</v>
      </c>
      <c r="G2284" s="4">
        <v>0</v>
      </c>
      <c r="H2284" s="4">
        <v>0</v>
      </c>
      <c r="I2284" s="4">
        <v>0</v>
      </c>
      <c r="J2284" s="4">
        <v>0</v>
      </c>
      <c r="K2284" s="4">
        <v>0</v>
      </c>
      <c r="L2284" s="4">
        <v>0</v>
      </c>
      <c r="M2284" s="4">
        <v>0</v>
      </c>
      <c r="N2284" s="4">
        <v>85.39</v>
      </c>
      <c r="O2284" s="4">
        <v>0</v>
      </c>
      <c r="P2284" s="4">
        <v>0</v>
      </c>
      <c r="Q2284" s="4">
        <v>0</v>
      </c>
      <c r="S2284" s="8">
        <f t="shared" si="105"/>
        <v>14.231666666666667</v>
      </c>
      <c r="T2284" s="8">
        <f t="shared" si="106"/>
        <v>-14.231666666666667</v>
      </c>
      <c r="U2284" s="9">
        <f t="shared" si="107"/>
        <v>-1</v>
      </c>
    </row>
    <row r="2285" spans="1:21" outlineLevel="2">
      <c r="A2285" t="s">
        <v>608</v>
      </c>
      <c r="B2285" t="s">
        <v>609</v>
      </c>
      <c r="C2285" t="s">
        <v>136</v>
      </c>
      <c r="D2285" t="s">
        <v>137</v>
      </c>
      <c r="E2285" s="4">
        <v>185641.49</v>
      </c>
      <c r="F2285" s="4">
        <v>153998.42000000001</v>
      </c>
      <c r="G2285" s="4">
        <v>119028.87</v>
      </c>
      <c r="H2285" s="4">
        <v>160309.35</v>
      </c>
      <c r="I2285" s="4">
        <v>142237.73000000001</v>
      </c>
      <c r="J2285" s="4">
        <v>161218.43</v>
      </c>
      <c r="K2285" s="4">
        <v>132244.74</v>
      </c>
      <c r="L2285" s="4">
        <v>144598.96</v>
      </c>
      <c r="M2285" s="4">
        <v>154395.18</v>
      </c>
      <c r="N2285" s="4">
        <v>156946.63</v>
      </c>
      <c r="O2285" s="4">
        <v>129747.03</v>
      </c>
      <c r="P2285" s="4">
        <v>195145.9</v>
      </c>
      <c r="Q2285" s="4">
        <v>172811.81999999998</v>
      </c>
      <c r="S2285" s="8">
        <f t="shared" si="105"/>
        <v>158940.92000000001</v>
      </c>
      <c r="T2285" s="8">
        <f t="shared" si="106"/>
        <v>-158940.92000000001</v>
      </c>
      <c r="U2285" s="9">
        <f t="shared" si="107"/>
        <v>-1</v>
      </c>
    </row>
    <row r="2286" spans="1:21" outlineLevel="2">
      <c r="A2286" t="s">
        <v>608</v>
      </c>
      <c r="B2286" t="s">
        <v>609</v>
      </c>
      <c r="C2286" t="s">
        <v>138</v>
      </c>
      <c r="D2286" t="s">
        <v>139</v>
      </c>
      <c r="E2286" s="4">
        <v>107684.8</v>
      </c>
      <c r="F2286" s="4">
        <v>84328.84</v>
      </c>
      <c r="G2286" s="4">
        <v>83020.420000000013</v>
      </c>
      <c r="H2286" s="4">
        <v>92848.99</v>
      </c>
      <c r="I2286" s="4">
        <v>89270.7</v>
      </c>
      <c r="J2286" s="4">
        <v>117847.85</v>
      </c>
      <c r="K2286" s="4">
        <v>89212.81</v>
      </c>
      <c r="L2286" s="4">
        <v>82985.039999999994</v>
      </c>
      <c r="M2286" s="4">
        <v>83008.94</v>
      </c>
      <c r="N2286" s="4">
        <v>87941.37</v>
      </c>
      <c r="O2286" s="4">
        <v>67975.16</v>
      </c>
      <c r="P2286" s="4">
        <v>105129.09</v>
      </c>
      <c r="Q2286" s="4">
        <v>107714.36</v>
      </c>
      <c r="S2286" s="8">
        <f t="shared" si="105"/>
        <v>89125.659999999989</v>
      </c>
      <c r="T2286" s="8">
        <f t="shared" si="106"/>
        <v>-89125.659999999989</v>
      </c>
      <c r="U2286" s="9">
        <f t="shared" si="107"/>
        <v>-1</v>
      </c>
    </row>
    <row r="2287" spans="1:21" outlineLevel="2">
      <c r="A2287" t="s">
        <v>608</v>
      </c>
      <c r="B2287" t="s">
        <v>609</v>
      </c>
      <c r="C2287" t="s">
        <v>29</v>
      </c>
      <c r="D2287" t="s">
        <v>30</v>
      </c>
      <c r="E2287" s="4">
        <v>5484.66</v>
      </c>
      <c r="F2287" s="4">
        <v>4746.54</v>
      </c>
      <c r="G2287" s="4">
        <v>5502.2</v>
      </c>
      <c r="H2287" s="4">
        <v>3741.12</v>
      </c>
      <c r="I2287" s="4">
        <v>5094.8</v>
      </c>
      <c r="J2287" s="4">
        <v>4278.1099999999997</v>
      </c>
      <c r="K2287" s="4">
        <v>3110.19</v>
      </c>
      <c r="L2287" s="4">
        <v>2587.98</v>
      </c>
      <c r="M2287" s="4">
        <v>2020.4</v>
      </c>
      <c r="N2287" s="4">
        <v>2113.5300000000002</v>
      </c>
      <c r="O2287" s="4">
        <v>2301.79</v>
      </c>
      <c r="P2287" s="4">
        <v>1377.52</v>
      </c>
      <c r="Q2287" s="4">
        <v>2431.0500000000002</v>
      </c>
      <c r="S2287" s="8">
        <f t="shared" si="105"/>
        <v>2138.7116666666666</v>
      </c>
      <c r="T2287" s="8">
        <f t="shared" si="106"/>
        <v>-2138.7116666666666</v>
      </c>
      <c r="U2287" s="9">
        <f t="shared" si="107"/>
        <v>-1</v>
      </c>
    </row>
    <row r="2288" spans="1:21" outlineLevel="2">
      <c r="A2288" t="s">
        <v>608</v>
      </c>
      <c r="B2288" t="s">
        <v>609</v>
      </c>
      <c r="C2288" t="s">
        <v>142</v>
      </c>
      <c r="D2288" t="s">
        <v>143</v>
      </c>
      <c r="E2288" s="4">
        <v>0</v>
      </c>
      <c r="F2288" s="4">
        <v>0</v>
      </c>
      <c r="G2288" s="4">
        <v>0</v>
      </c>
      <c r="H2288" s="4">
        <v>0</v>
      </c>
      <c r="I2288" s="4">
        <v>0</v>
      </c>
      <c r="J2288" s="4">
        <v>0</v>
      </c>
      <c r="K2288" s="4">
        <v>0</v>
      </c>
      <c r="L2288" s="4">
        <v>2000</v>
      </c>
      <c r="M2288" s="4">
        <v>2000</v>
      </c>
      <c r="N2288" s="4">
        <v>3000</v>
      </c>
      <c r="O2288" s="4">
        <v>0</v>
      </c>
      <c r="P2288" s="4">
        <v>0</v>
      </c>
      <c r="Q2288" s="4">
        <v>5750</v>
      </c>
      <c r="S2288" s="8">
        <f t="shared" si="105"/>
        <v>2125</v>
      </c>
      <c r="T2288" s="8">
        <f t="shared" si="106"/>
        <v>-2125</v>
      </c>
      <c r="U2288" s="9">
        <f t="shared" si="107"/>
        <v>-1</v>
      </c>
    </row>
    <row r="2289" spans="1:21" outlineLevel="2">
      <c r="A2289" t="s">
        <v>608</v>
      </c>
      <c r="B2289" t="s">
        <v>609</v>
      </c>
      <c r="C2289" t="s">
        <v>144</v>
      </c>
      <c r="D2289" t="s">
        <v>145</v>
      </c>
      <c r="E2289" s="4">
        <v>-23714.39</v>
      </c>
      <c r="F2289" s="4">
        <v>-11328.05</v>
      </c>
      <c r="G2289" s="4">
        <v>-9660.36</v>
      </c>
      <c r="H2289" s="4">
        <v>-8408.6499999999978</v>
      </c>
      <c r="I2289" s="4">
        <v>-7424.6799999999985</v>
      </c>
      <c r="J2289" s="4">
        <v>-10368.86</v>
      </c>
      <c r="K2289" s="4">
        <v>-8901.2800000000007</v>
      </c>
      <c r="L2289" s="4">
        <v>-11939.499999999998</v>
      </c>
      <c r="M2289" s="4">
        <v>-8656.16</v>
      </c>
      <c r="N2289" s="4">
        <v>-7463.0400000000009</v>
      </c>
      <c r="O2289" s="4">
        <v>-8848.2100000000009</v>
      </c>
      <c r="P2289" s="4">
        <v>-7614.7699999999995</v>
      </c>
      <c r="Q2289" s="4">
        <v>-20454.650000000001</v>
      </c>
      <c r="S2289" s="8">
        <f t="shared" si="105"/>
        <v>-10829.388333333332</v>
      </c>
      <c r="T2289" s="8">
        <f t="shared" si="106"/>
        <v>10829.388333333332</v>
      </c>
      <c r="U2289" s="9">
        <f t="shared" si="107"/>
        <v>-1</v>
      </c>
    </row>
    <row r="2290" spans="1:21" outlineLevel="2">
      <c r="A2290" t="s">
        <v>608</v>
      </c>
      <c r="B2290" t="s">
        <v>609</v>
      </c>
      <c r="C2290" t="s">
        <v>146</v>
      </c>
      <c r="D2290" t="s">
        <v>147</v>
      </c>
      <c r="E2290" s="4">
        <v>24767.56</v>
      </c>
      <c r="F2290" s="4">
        <v>20087.25</v>
      </c>
      <c r="G2290" s="4">
        <v>22863.749999999996</v>
      </c>
      <c r="H2290" s="4">
        <v>20745.599999999999</v>
      </c>
      <c r="I2290" s="4">
        <v>18610.379999999997</v>
      </c>
      <c r="J2290" s="4">
        <v>24580.550000000003</v>
      </c>
      <c r="K2290" s="4">
        <v>17679.93</v>
      </c>
      <c r="L2290" s="4">
        <v>18223.61</v>
      </c>
      <c r="M2290" s="4">
        <v>24655.739999999998</v>
      </c>
      <c r="N2290" s="4">
        <v>19649.599999999999</v>
      </c>
      <c r="O2290" s="4">
        <v>16028.820000000002</v>
      </c>
      <c r="P2290" s="4">
        <v>25391.7</v>
      </c>
      <c r="Q2290" s="4">
        <v>24380.86</v>
      </c>
      <c r="S2290" s="8">
        <f t="shared" si="105"/>
        <v>21388.388333333332</v>
      </c>
      <c r="T2290" s="8">
        <f t="shared" si="106"/>
        <v>-21388.388333333332</v>
      </c>
      <c r="U2290" s="9">
        <f t="shared" si="107"/>
        <v>-1</v>
      </c>
    </row>
    <row r="2291" spans="1:21" outlineLevel="2">
      <c r="A2291" t="s">
        <v>608</v>
      </c>
      <c r="B2291" t="s">
        <v>609</v>
      </c>
      <c r="C2291" t="s">
        <v>148</v>
      </c>
      <c r="D2291" t="s">
        <v>149</v>
      </c>
      <c r="E2291" s="4">
        <v>12813.440000000002</v>
      </c>
      <c r="F2291" s="4">
        <v>6296.48</v>
      </c>
      <c r="G2291" s="4">
        <v>0</v>
      </c>
      <c r="H2291" s="4">
        <v>0</v>
      </c>
      <c r="I2291" s="4">
        <v>0</v>
      </c>
      <c r="J2291" s="4">
        <v>0</v>
      </c>
      <c r="K2291" s="4">
        <v>0</v>
      </c>
      <c r="L2291" s="4">
        <v>0</v>
      </c>
      <c r="M2291" s="4">
        <v>0</v>
      </c>
      <c r="N2291" s="4">
        <v>0</v>
      </c>
      <c r="O2291" s="4">
        <v>0</v>
      </c>
      <c r="P2291" s="4">
        <v>0</v>
      </c>
      <c r="Q2291" s="4">
        <v>28855.809999999998</v>
      </c>
      <c r="S2291" s="8">
        <f t="shared" si="105"/>
        <v>4809.3016666666663</v>
      </c>
      <c r="T2291" s="8">
        <f t="shared" si="106"/>
        <v>-4809.3016666666663</v>
      </c>
      <c r="U2291" s="9">
        <f t="shared" si="107"/>
        <v>-1</v>
      </c>
    </row>
    <row r="2292" spans="1:21" outlineLevel="2">
      <c r="A2292" t="s">
        <v>608</v>
      </c>
      <c r="B2292" t="s">
        <v>609</v>
      </c>
      <c r="C2292" t="s">
        <v>150</v>
      </c>
      <c r="D2292" t="s">
        <v>151</v>
      </c>
      <c r="E2292" s="4">
        <v>0</v>
      </c>
      <c r="F2292" s="4">
        <v>0</v>
      </c>
      <c r="G2292" s="4">
        <v>0</v>
      </c>
      <c r="H2292" s="4">
        <v>0</v>
      </c>
      <c r="I2292" s="4">
        <v>0</v>
      </c>
      <c r="J2292" s="4">
        <v>0</v>
      </c>
      <c r="K2292" s="4">
        <v>0</v>
      </c>
      <c r="L2292" s="4">
        <v>0</v>
      </c>
      <c r="M2292" s="4">
        <v>0</v>
      </c>
      <c r="N2292" s="4">
        <v>0</v>
      </c>
      <c r="O2292" s="4">
        <v>0</v>
      </c>
      <c r="P2292" s="4">
        <v>0</v>
      </c>
      <c r="Q2292" s="4">
        <v>0</v>
      </c>
      <c r="S2292" s="8">
        <f t="shared" si="105"/>
        <v>0</v>
      </c>
      <c r="T2292" s="8">
        <f t="shared" si="106"/>
        <v>0</v>
      </c>
      <c r="U2292" s="9" t="e">
        <f t="shared" si="107"/>
        <v>#DIV/0!</v>
      </c>
    </row>
    <row r="2293" spans="1:21" outlineLevel="2">
      <c r="A2293" t="s">
        <v>608</v>
      </c>
      <c r="B2293" t="s">
        <v>609</v>
      </c>
      <c r="C2293" t="s">
        <v>152</v>
      </c>
      <c r="D2293" t="s">
        <v>153</v>
      </c>
      <c r="E2293" s="4">
        <v>21585.88</v>
      </c>
      <c r="F2293" s="4">
        <v>17567.48</v>
      </c>
      <c r="G2293" s="4">
        <v>19859.629999999997</v>
      </c>
      <c r="H2293" s="4">
        <v>18686.71</v>
      </c>
      <c r="I2293" s="4">
        <v>17162.36</v>
      </c>
      <c r="J2293" s="4">
        <v>22965.57</v>
      </c>
      <c r="K2293" s="4">
        <v>16451.04</v>
      </c>
      <c r="L2293" s="4">
        <v>16551.260000000002</v>
      </c>
      <c r="M2293" s="4">
        <v>18500.850000000002</v>
      </c>
      <c r="N2293" s="4">
        <v>17743.43</v>
      </c>
      <c r="O2293" s="4">
        <v>14407.560000000001</v>
      </c>
      <c r="P2293" s="4">
        <v>23676.489999999998</v>
      </c>
      <c r="Q2293" s="4">
        <v>20472.509999999998</v>
      </c>
      <c r="S2293" s="8">
        <f t="shared" si="105"/>
        <v>18558.683333333331</v>
      </c>
      <c r="T2293" s="8">
        <f t="shared" si="106"/>
        <v>-18558.683333333331</v>
      </c>
      <c r="U2293" s="9">
        <f t="shared" si="107"/>
        <v>-1</v>
      </c>
    </row>
    <row r="2294" spans="1:21" outlineLevel="2">
      <c r="A2294" t="s">
        <v>608</v>
      </c>
      <c r="B2294" t="s">
        <v>609</v>
      </c>
      <c r="C2294" t="s">
        <v>154</v>
      </c>
      <c r="D2294" t="s">
        <v>155</v>
      </c>
      <c r="E2294" s="4">
        <v>6166.02</v>
      </c>
      <c r="F2294" s="4">
        <v>190.83</v>
      </c>
      <c r="G2294" s="4">
        <v>0</v>
      </c>
      <c r="H2294" s="4">
        <v>46.14</v>
      </c>
      <c r="I2294" s="4">
        <v>-1248.9399999999998</v>
      </c>
      <c r="J2294" s="4">
        <v>160.94</v>
      </c>
      <c r="K2294" s="4">
        <v>67.44</v>
      </c>
      <c r="L2294" s="4">
        <v>168.88</v>
      </c>
      <c r="M2294" s="4">
        <v>76.12</v>
      </c>
      <c r="N2294" s="4">
        <v>51.51</v>
      </c>
      <c r="O2294" s="4">
        <v>80.47</v>
      </c>
      <c r="P2294" s="4">
        <v>243.53</v>
      </c>
      <c r="Q2294" s="4">
        <v>4106.59</v>
      </c>
      <c r="S2294" s="8">
        <f t="shared" si="105"/>
        <v>787.85</v>
      </c>
      <c r="T2294" s="8">
        <f t="shared" si="106"/>
        <v>-787.85</v>
      </c>
      <c r="U2294" s="9">
        <f t="shared" si="107"/>
        <v>-1</v>
      </c>
    </row>
    <row r="2295" spans="1:21" outlineLevel="2">
      <c r="A2295" t="s">
        <v>608</v>
      </c>
      <c r="B2295" t="s">
        <v>609</v>
      </c>
      <c r="C2295" t="s">
        <v>212</v>
      </c>
      <c r="D2295" t="s">
        <v>213</v>
      </c>
      <c r="E2295" s="4">
        <v>0</v>
      </c>
      <c r="F2295" s="4">
        <v>0</v>
      </c>
      <c r="G2295" s="4">
        <v>0</v>
      </c>
      <c r="H2295" s="4">
        <v>0</v>
      </c>
      <c r="I2295" s="4">
        <v>0</v>
      </c>
      <c r="J2295" s="4">
        <v>0</v>
      </c>
      <c r="K2295" s="4">
        <v>0</v>
      </c>
      <c r="L2295" s="4">
        <v>3</v>
      </c>
      <c r="M2295" s="4">
        <v>0</v>
      </c>
      <c r="N2295" s="4">
        <v>0</v>
      </c>
      <c r="O2295" s="4">
        <v>0</v>
      </c>
      <c r="P2295" s="4">
        <v>0</v>
      </c>
      <c r="Q2295" s="4">
        <v>0</v>
      </c>
      <c r="S2295" s="8">
        <f t="shared" si="105"/>
        <v>0.5</v>
      </c>
      <c r="T2295" s="8">
        <f t="shared" si="106"/>
        <v>-0.5</v>
      </c>
      <c r="U2295" s="9">
        <f t="shared" si="107"/>
        <v>-1</v>
      </c>
    </row>
    <row r="2296" spans="1:21" outlineLevel="2">
      <c r="A2296" t="s">
        <v>608</v>
      </c>
      <c r="B2296" t="s">
        <v>609</v>
      </c>
      <c r="C2296" t="s">
        <v>35</v>
      </c>
      <c r="D2296" t="s">
        <v>36</v>
      </c>
      <c r="E2296" s="4">
        <v>0</v>
      </c>
      <c r="F2296" s="4">
        <v>0</v>
      </c>
      <c r="G2296" s="4">
        <v>0</v>
      </c>
      <c r="H2296" s="4">
        <v>0</v>
      </c>
      <c r="I2296" s="4">
        <v>0</v>
      </c>
      <c r="J2296" s="4">
        <v>0</v>
      </c>
      <c r="K2296" s="4">
        <v>0</v>
      </c>
      <c r="L2296" s="4">
        <v>0</v>
      </c>
      <c r="M2296" s="4">
        <v>0</v>
      </c>
      <c r="N2296" s="4">
        <v>0</v>
      </c>
      <c r="O2296" s="4">
        <v>0</v>
      </c>
      <c r="P2296" s="4">
        <v>796.95</v>
      </c>
      <c r="Q2296" s="4">
        <v>0</v>
      </c>
      <c r="R2296" s="4">
        <v>4013.77</v>
      </c>
      <c r="S2296" s="8">
        <f t="shared" si="105"/>
        <v>132.82500000000002</v>
      </c>
      <c r="T2296" s="8">
        <f t="shared" si="106"/>
        <v>3880.9450000000002</v>
      </c>
      <c r="U2296" s="9">
        <f t="shared" si="107"/>
        <v>29.21848296630905</v>
      </c>
    </row>
    <row r="2297" spans="1:21" outlineLevel="2">
      <c r="A2297" t="s">
        <v>608</v>
      </c>
      <c r="B2297" t="s">
        <v>609</v>
      </c>
      <c r="C2297" t="s">
        <v>37</v>
      </c>
      <c r="D2297" t="s">
        <v>38</v>
      </c>
      <c r="E2297" s="4">
        <v>1566.2199999999998</v>
      </c>
      <c r="F2297" s="4">
        <v>6117.4199999999992</v>
      </c>
      <c r="G2297" s="4">
        <v>5675.25</v>
      </c>
      <c r="H2297" s="4">
        <v>4533.5199999999995</v>
      </c>
      <c r="I2297" s="4">
        <v>279.28999999999996</v>
      </c>
      <c r="J2297" s="4">
        <v>1970.15</v>
      </c>
      <c r="K2297" s="4">
        <v>142.88999999999999</v>
      </c>
      <c r="L2297" s="4">
        <v>4166.54</v>
      </c>
      <c r="M2297" s="4">
        <v>2465.9400000000005</v>
      </c>
      <c r="N2297" s="4">
        <v>0</v>
      </c>
      <c r="O2297" s="4">
        <v>0</v>
      </c>
      <c r="P2297" s="4">
        <v>0</v>
      </c>
      <c r="Q2297" s="4">
        <v>0</v>
      </c>
      <c r="R2297" s="4">
        <v>1927.6499999999999</v>
      </c>
      <c r="S2297" s="8">
        <f t="shared" si="105"/>
        <v>1105.4133333333334</v>
      </c>
      <c r="T2297" s="8">
        <f t="shared" si="106"/>
        <v>822.23666666666645</v>
      </c>
      <c r="U2297" s="9">
        <f t="shared" si="107"/>
        <v>0.74382734663353656</v>
      </c>
    </row>
    <row r="2298" spans="1:21" outlineLevel="2">
      <c r="A2298" t="s">
        <v>608</v>
      </c>
      <c r="B2298" t="s">
        <v>609</v>
      </c>
      <c r="C2298" t="s">
        <v>180</v>
      </c>
      <c r="D2298" t="s">
        <v>181</v>
      </c>
      <c r="E2298" s="4">
        <v>332.6</v>
      </c>
      <c r="F2298" s="4">
        <v>280.92</v>
      </c>
      <c r="G2298" s="4">
        <v>579.18000000000006</v>
      </c>
      <c r="H2298" s="4">
        <v>2400.19</v>
      </c>
      <c r="I2298" s="4">
        <v>1259.67</v>
      </c>
      <c r="J2298" s="4">
        <v>461.32</v>
      </c>
      <c r="K2298" s="4">
        <v>713.36</v>
      </c>
      <c r="L2298" s="4">
        <v>3886.1799999999994</v>
      </c>
      <c r="M2298" s="4">
        <v>582.16</v>
      </c>
      <c r="N2298" s="4">
        <v>1888.95</v>
      </c>
      <c r="O2298" s="4">
        <v>3616.13</v>
      </c>
      <c r="P2298" s="4">
        <v>7229.1699999999992</v>
      </c>
      <c r="Q2298" s="4">
        <v>4181.3599999999997</v>
      </c>
      <c r="R2298" s="4">
        <v>575</v>
      </c>
      <c r="S2298" s="8">
        <f t="shared" si="105"/>
        <v>3563.9916666666663</v>
      </c>
      <c r="T2298" s="8">
        <f t="shared" si="106"/>
        <v>-2988.9916666666663</v>
      </c>
      <c r="U2298" s="9">
        <f t="shared" si="107"/>
        <v>-0.83866404476254386</v>
      </c>
    </row>
    <row r="2299" spans="1:21" outlineLevel="2">
      <c r="A2299" t="s">
        <v>608</v>
      </c>
      <c r="B2299" t="s">
        <v>609</v>
      </c>
      <c r="C2299" t="s">
        <v>160</v>
      </c>
      <c r="D2299" t="s">
        <v>161</v>
      </c>
      <c r="E2299" s="4">
        <v>0</v>
      </c>
      <c r="F2299" s="4">
        <v>0</v>
      </c>
      <c r="G2299" s="4">
        <v>0</v>
      </c>
      <c r="H2299" s="4">
        <v>0</v>
      </c>
      <c r="I2299" s="4">
        <v>0</v>
      </c>
      <c r="J2299" s="4">
        <v>0</v>
      </c>
      <c r="K2299" s="4">
        <v>0</v>
      </c>
      <c r="L2299" s="4">
        <v>0</v>
      </c>
      <c r="M2299" s="4">
        <v>2664.4300000000003</v>
      </c>
      <c r="N2299" s="4">
        <v>0</v>
      </c>
      <c r="O2299" s="4">
        <v>0</v>
      </c>
      <c r="P2299" s="4">
        <v>593.42999999999995</v>
      </c>
      <c r="Q2299" s="4">
        <v>0</v>
      </c>
      <c r="S2299" s="8">
        <f t="shared" si="105"/>
        <v>542.97666666666669</v>
      </c>
      <c r="T2299" s="8">
        <f t="shared" si="106"/>
        <v>-542.97666666666669</v>
      </c>
      <c r="U2299" s="9">
        <f t="shared" si="107"/>
        <v>-1</v>
      </c>
    </row>
    <row r="2300" spans="1:21" outlineLevel="2">
      <c r="A2300" t="s">
        <v>608</v>
      </c>
      <c r="B2300" t="s">
        <v>609</v>
      </c>
      <c r="C2300" t="s">
        <v>43</v>
      </c>
      <c r="D2300" t="s">
        <v>44</v>
      </c>
      <c r="E2300" s="4">
        <v>0</v>
      </c>
      <c r="F2300" s="4">
        <v>0</v>
      </c>
      <c r="G2300" s="4">
        <v>0</v>
      </c>
      <c r="H2300" s="4">
        <v>0</v>
      </c>
      <c r="I2300" s="4">
        <v>0</v>
      </c>
      <c r="J2300" s="4">
        <v>0</v>
      </c>
      <c r="K2300" s="4">
        <v>0</v>
      </c>
      <c r="L2300" s="4">
        <v>0</v>
      </c>
      <c r="M2300" s="4">
        <v>0</v>
      </c>
      <c r="N2300" s="4">
        <v>56.5</v>
      </c>
      <c r="O2300" s="4">
        <v>0</v>
      </c>
      <c r="P2300" s="4">
        <v>0</v>
      </c>
      <c r="Q2300" s="4">
        <v>5.81</v>
      </c>
      <c r="S2300" s="8">
        <f t="shared" si="105"/>
        <v>10.385</v>
      </c>
      <c r="T2300" s="8">
        <f t="shared" si="106"/>
        <v>-10.385</v>
      </c>
      <c r="U2300" s="9">
        <f t="shared" si="107"/>
        <v>-1</v>
      </c>
    </row>
    <row r="2301" spans="1:21" outlineLevel="2">
      <c r="A2301" t="s">
        <v>608</v>
      </c>
      <c r="B2301" t="s">
        <v>609</v>
      </c>
      <c r="C2301" t="s">
        <v>230</v>
      </c>
      <c r="D2301" t="s">
        <v>231</v>
      </c>
      <c r="E2301" s="4">
        <v>16497.54</v>
      </c>
      <c r="F2301" s="4">
        <v>16634.62</v>
      </c>
      <c r="G2301" s="4">
        <v>20793.27</v>
      </c>
      <c r="H2301" s="4">
        <v>16856.41</v>
      </c>
      <c r="I2301" s="4">
        <v>16856.41</v>
      </c>
      <c r="J2301" s="4">
        <v>4564.9799999999996</v>
      </c>
      <c r="K2301" s="4">
        <v>17352.650000000001</v>
      </c>
      <c r="L2301" s="4">
        <v>23307.45</v>
      </c>
      <c r="M2301" s="4">
        <v>17352.650000000001</v>
      </c>
      <c r="N2301" s="4">
        <v>17352.650000000001</v>
      </c>
      <c r="O2301" s="4">
        <v>17352.650000000001</v>
      </c>
      <c r="P2301" s="4">
        <v>17352.650000000001</v>
      </c>
      <c r="Q2301" s="4">
        <v>19912.189999999999</v>
      </c>
      <c r="S2301" s="8">
        <f t="shared" si="105"/>
        <v>18771.706666666669</v>
      </c>
      <c r="T2301" s="8">
        <f t="shared" si="106"/>
        <v>-18771.706666666669</v>
      </c>
      <c r="U2301" s="9">
        <f t="shared" si="107"/>
        <v>-1</v>
      </c>
    </row>
    <row r="2302" spans="1:21" outlineLevel="2">
      <c r="A2302" t="s">
        <v>608</v>
      </c>
      <c r="B2302" t="s">
        <v>609</v>
      </c>
      <c r="C2302" t="s">
        <v>47</v>
      </c>
      <c r="D2302" t="s">
        <v>48</v>
      </c>
      <c r="E2302" s="4">
        <v>99.97</v>
      </c>
      <c r="F2302" s="4">
        <v>101.09</v>
      </c>
      <c r="G2302" s="4">
        <v>99.97</v>
      </c>
      <c r="H2302" s="4">
        <v>99.970000000000027</v>
      </c>
      <c r="I2302" s="4">
        <v>99.97</v>
      </c>
      <c r="J2302" s="4">
        <v>99.95999999999998</v>
      </c>
      <c r="K2302" s="4">
        <v>99.96</v>
      </c>
      <c r="L2302" s="4">
        <v>99.97</v>
      </c>
      <c r="M2302" s="4">
        <v>99.97</v>
      </c>
      <c r="N2302" s="4">
        <v>99.959999999991851</v>
      </c>
      <c r="O2302" s="4">
        <v>99.96</v>
      </c>
      <c r="P2302" s="4">
        <v>99.970000000001164</v>
      </c>
      <c r="Q2302" s="4">
        <v>0</v>
      </c>
      <c r="R2302" s="4">
        <v>0</v>
      </c>
      <c r="S2302" s="8">
        <f t="shared" si="105"/>
        <v>83.304999999998827</v>
      </c>
      <c r="T2302" s="8">
        <f t="shared" si="106"/>
        <v>-83.304999999998827</v>
      </c>
      <c r="U2302" s="9">
        <f t="shared" si="107"/>
        <v>-1</v>
      </c>
    </row>
    <row r="2303" spans="1:21" outlineLevel="2">
      <c r="A2303" t="s">
        <v>608</v>
      </c>
      <c r="B2303" t="s">
        <v>609</v>
      </c>
      <c r="C2303" t="s">
        <v>49</v>
      </c>
      <c r="D2303" t="s">
        <v>50</v>
      </c>
      <c r="E2303" s="4">
        <v>0</v>
      </c>
      <c r="F2303" s="4">
        <v>-11.03</v>
      </c>
      <c r="G2303" s="4">
        <v>0</v>
      </c>
      <c r="H2303" s="4">
        <v>1805.14</v>
      </c>
      <c r="I2303" s="4">
        <v>5.14</v>
      </c>
      <c r="J2303" s="4">
        <v>5.14</v>
      </c>
      <c r="K2303" s="4">
        <v>5.21</v>
      </c>
      <c r="L2303" s="4">
        <v>5.14</v>
      </c>
      <c r="M2303" s="4">
        <v>0</v>
      </c>
      <c r="N2303" s="4">
        <v>288709.47000000009</v>
      </c>
      <c r="O2303" s="4">
        <v>5.16</v>
      </c>
      <c r="P2303" s="4">
        <v>-75769.759999999995</v>
      </c>
      <c r="Q2303" s="4">
        <v>5.16</v>
      </c>
      <c r="S2303" s="8">
        <f t="shared" si="105"/>
        <v>35492.528333333343</v>
      </c>
      <c r="T2303" s="8">
        <f t="shared" si="106"/>
        <v>-35492.528333333343</v>
      </c>
      <c r="U2303" s="9">
        <f t="shared" si="107"/>
        <v>-1</v>
      </c>
    </row>
    <row r="2304" spans="1:21" outlineLevel="2">
      <c r="A2304" t="s">
        <v>608</v>
      </c>
      <c r="B2304" t="s">
        <v>609</v>
      </c>
      <c r="C2304" t="s">
        <v>51</v>
      </c>
      <c r="D2304" t="s">
        <v>52</v>
      </c>
      <c r="E2304" s="4">
        <v>124</v>
      </c>
      <c r="F2304" s="4">
        <v>2801.1299999999997</v>
      </c>
      <c r="G2304" s="4">
        <v>989.8900000000001</v>
      </c>
      <c r="H2304" s="4">
        <v>400.16</v>
      </c>
      <c r="I2304" s="4">
        <v>41.16</v>
      </c>
      <c r="J2304" s="4">
        <v>0</v>
      </c>
      <c r="K2304" s="4">
        <v>598.6</v>
      </c>
      <c r="L2304" s="4">
        <v>0</v>
      </c>
      <c r="M2304" s="4">
        <v>687.64</v>
      </c>
      <c r="N2304" s="4">
        <v>18.3</v>
      </c>
      <c r="O2304" s="4">
        <v>1454.63</v>
      </c>
      <c r="P2304" s="4">
        <v>975.2700000000001</v>
      </c>
      <c r="Q2304" s="4">
        <v>1892.02</v>
      </c>
      <c r="S2304" s="8">
        <f t="shared" si="105"/>
        <v>837.9766666666668</v>
      </c>
      <c r="T2304" s="8">
        <f t="shared" si="106"/>
        <v>-837.9766666666668</v>
      </c>
      <c r="U2304" s="9">
        <f t="shared" si="107"/>
        <v>-1</v>
      </c>
    </row>
    <row r="2305" spans="1:21" outlineLevel="2">
      <c r="A2305" t="s">
        <v>608</v>
      </c>
      <c r="B2305" t="s">
        <v>609</v>
      </c>
      <c r="C2305" t="s">
        <v>164</v>
      </c>
      <c r="D2305" t="s">
        <v>165</v>
      </c>
      <c r="E2305" s="4">
        <v>257.25</v>
      </c>
      <c r="F2305" s="4">
        <v>171.5</v>
      </c>
      <c r="G2305" s="4">
        <v>176.75</v>
      </c>
      <c r="H2305" s="4">
        <v>171.5</v>
      </c>
      <c r="I2305" s="4">
        <v>171.5</v>
      </c>
      <c r="J2305" s="4">
        <v>171.5</v>
      </c>
      <c r="K2305" s="4">
        <v>171.5</v>
      </c>
      <c r="L2305" s="4">
        <v>257.25</v>
      </c>
      <c r="M2305" s="4">
        <v>171.5</v>
      </c>
      <c r="N2305" s="4">
        <v>136.5</v>
      </c>
      <c r="O2305" s="4">
        <v>101.5</v>
      </c>
      <c r="P2305" s="4">
        <v>101.5</v>
      </c>
      <c r="Q2305" s="4">
        <v>236.25</v>
      </c>
      <c r="S2305" s="8">
        <f t="shared" si="105"/>
        <v>167.41666666666666</v>
      </c>
      <c r="T2305" s="8">
        <f t="shared" si="106"/>
        <v>-167.41666666666666</v>
      </c>
      <c r="U2305" s="9">
        <f t="shared" si="107"/>
        <v>-1</v>
      </c>
    </row>
    <row r="2306" spans="1:21" outlineLevel="2">
      <c r="A2306" t="s">
        <v>608</v>
      </c>
      <c r="B2306" t="s">
        <v>609</v>
      </c>
      <c r="C2306" t="s">
        <v>53</v>
      </c>
      <c r="D2306" t="s">
        <v>54</v>
      </c>
      <c r="E2306" s="4">
        <v>0</v>
      </c>
      <c r="F2306" s="4">
        <v>0</v>
      </c>
      <c r="G2306" s="4">
        <v>0</v>
      </c>
      <c r="H2306" s="4">
        <v>0</v>
      </c>
      <c r="I2306" s="4">
        <v>0</v>
      </c>
      <c r="J2306" s="4">
        <v>0</v>
      </c>
      <c r="K2306" s="4">
        <v>0</v>
      </c>
      <c r="L2306" s="4">
        <v>0</v>
      </c>
      <c r="M2306" s="4">
        <v>0</v>
      </c>
      <c r="N2306" s="4">
        <v>0</v>
      </c>
      <c r="O2306" s="4">
        <v>0</v>
      </c>
      <c r="P2306" s="4">
        <v>0</v>
      </c>
      <c r="Q2306" s="4">
        <v>1563.09</v>
      </c>
      <c r="S2306" s="8">
        <f t="shared" si="105"/>
        <v>260.51499999999999</v>
      </c>
      <c r="T2306" s="8">
        <f t="shared" si="106"/>
        <v>-260.51499999999999</v>
      </c>
      <c r="U2306" s="9">
        <f t="shared" si="107"/>
        <v>-1</v>
      </c>
    </row>
    <row r="2307" spans="1:21" outlineLevel="2">
      <c r="A2307" t="s">
        <v>608</v>
      </c>
      <c r="B2307" t="s">
        <v>609</v>
      </c>
      <c r="C2307" t="s">
        <v>55</v>
      </c>
      <c r="D2307" t="s">
        <v>56</v>
      </c>
      <c r="E2307" s="4">
        <v>0</v>
      </c>
      <c r="F2307" s="4">
        <v>0</v>
      </c>
      <c r="G2307" s="4">
        <v>0</v>
      </c>
      <c r="H2307" s="4">
        <v>0</v>
      </c>
      <c r="I2307" s="4">
        <v>0</v>
      </c>
      <c r="J2307" s="4">
        <v>0</v>
      </c>
      <c r="K2307" s="4">
        <v>0</v>
      </c>
      <c r="L2307" s="4">
        <v>0</v>
      </c>
      <c r="M2307" s="4">
        <v>0</v>
      </c>
      <c r="N2307" s="4">
        <v>4.7699999999999996</v>
      </c>
      <c r="O2307" s="4">
        <v>6.27</v>
      </c>
      <c r="P2307" s="4">
        <v>2.73</v>
      </c>
      <c r="Q2307" s="4">
        <v>0</v>
      </c>
      <c r="S2307" s="8">
        <f t="shared" ref="S2307:S2370" si="108">AVERAGE(L2307:Q2307)</f>
        <v>2.2949999999999999</v>
      </c>
      <c r="T2307" s="8">
        <f t="shared" ref="T2307:T2370" si="109">R2307-S2307</f>
        <v>-2.2949999999999999</v>
      </c>
      <c r="U2307" s="9">
        <f t="shared" ref="U2307:U2370" si="110">(R2307-S2307)/S2307</f>
        <v>-1</v>
      </c>
    </row>
    <row r="2308" spans="1:21" outlineLevel="2">
      <c r="A2308" t="s">
        <v>608</v>
      </c>
      <c r="B2308" t="s">
        <v>609</v>
      </c>
      <c r="C2308" t="s">
        <v>59</v>
      </c>
      <c r="D2308" t="s">
        <v>60</v>
      </c>
      <c r="E2308" s="4">
        <v>4752.6000000000004</v>
      </c>
      <c r="F2308" s="4">
        <v>1408.89</v>
      </c>
      <c r="G2308" s="4">
        <v>4049.04</v>
      </c>
      <c r="H2308" s="4">
        <v>1117.07</v>
      </c>
      <c r="I2308" s="4">
        <v>6923.6</v>
      </c>
      <c r="J2308" s="4">
        <v>685.95</v>
      </c>
      <c r="K2308" s="4">
        <v>1938.23</v>
      </c>
      <c r="L2308" s="4">
        <v>392.52</v>
      </c>
      <c r="M2308" s="4">
        <v>569.55999999999995</v>
      </c>
      <c r="N2308" s="4">
        <v>3396.28</v>
      </c>
      <c r="O2308" s="4">
        <v>148.34</v>
      </c>
      <c r="P2308" s="4">
        <v>741.56</v>
      </c>
      <c r="Q2308" s="4">
        <v>7404.01</v>
      </c>
      <c r="S2308" s="8">
        <f t="shared" si="108"/>
        <v>2108.7116666666666</v>
      </c>
      <c r="T2308" s="8">
        <f t="shared" si="109"/>
        <v>-2108.7116666666666</v>
      </c>
      <c r="U2308" s="9">
        <f t="shared" si="110"/>
        <v>-1</v>
      </c>
    </row>
    <row r="2309" spans="1:21" outlineLevel="2">
      <c r="A2309" t="s">
        <v>608</v>
      </c>
      <c r="B2309" t="s">
        <v>609</v>
      </c>
      <c r="C2309" t="s">
        <v>63</v>
      </c>
      <c r="D2309" t="s">
        <v>64</v>
      </c>
      <c r="E2309" s="4">
        <v>39642.49</v>
      </c>
      <c r="F2309" s="4">
        <v>27021.569999999996</v>
      </c>
      <c r="G2309" s="4">
        <v>47081.259999999995</v>
      </c>
      <c r="H2309" s="4">
        <v>71739.760000000009</v>
      </c>
      <c r="I2309" s="4">
        <v>71814.199999999983</v>
      </c>
      <c r="J2309" s="4">
        <v>29707.739999999998</v>
      </c>
      <c r="K2309" s="4">
        <v>41183.160000000003</v>
      </c>
      <c r="L2309" s="4">
        <v>20522.289999999994</v>
      </c>
      <c r="M2309" s="4">
        <v>57664.330000000038</v>
      </c>
      <c r="N2309" s="4">
        <v>65817.289999999979</v>
      </c>
      <c r="O2309" s="4">
        <v>42811.779999999992</v>
      </c>
      <c r="P2309" s="4">
        <v>42735.670000000006</v>
      </c>
      <c r="Q2309" s="4">
        <v>38822.269999999997</v>
      </c>
      <c r="R2309" s="4">
        <v>50602.010000000024</v>
      </c>
      <c r="S2309" s="8">
        <f t="shared" si="108"/>
        <v>44728.938333333332</v>
      </c>
      <c r="T2309" s="8">
        <f t="shared" si="109"/>
        <v>5873.0716666666922</v>
      </c>
      <c r="U2309" s="9">
        <f t="shared" si="110"/>
        <v>0.13130362323600928</v>
      </c>
    </row>
    <row r="2310" spans="1:21" outlineLevel="2">
      <c r="A2310" t="s">
        <v>608</v>
      </c>
      <c r="B2310" t="s">
        <v>609</v>
      </c>
      <c r="C2310" t="s">
        <v>415</v>
      </c>
      <c r="D2310" t="s">
        <v>416</v>
      </c>
      <c r="E2310" s="4">
        <v>0</v>
      </c>
      <c r="F2310" s="4">
        <v>0</v>
      </c>
      <c r="G2310" s="4">
        <v>8280.1500000000015</v>
      </c>
      <c r="H2310" s="4">
        <v>0</v>
      </c>
      <c r="I2310" s="4">
        <v>0</v>
      </c>
      <c r="J2310" s="4">
        <v>0</v>
      </c>
      <c r="K2310" s="4">
        <v>0</v>
      </c>
      <c r="L2310" s="4">
        <v>0</v>
      </c>
      <c r="M2310" s="4">
        <v>0</v>
      </c>
      <c r="N2310" s="4">
        <v>0</v>
      </c>
      <c r="O2310" s="4">
        <v>0</v>
      </c>
      <c r="P2310" s="4">
        <v>0</v>
      </c>
      <c r="Q2310" s="4">
        <v>0</v>
      </c>
      <c r="S2310" s="8">
        <f t="shared" si="108"/>
        <v>0</v>
      </c>
      <c r="T2310" s="8">
        <f t="shared" si="109"/>
        <v>0</v>
      </c>
      <c r="U2310" s="9" t="e">
        <f t="shared" si="110"/>
        <v>#DIV/0!</v>
      </c>
    </row>
    <row r="2311" spans="1:21" outlineLevel="2">
      <c r="A2311" t="s">
        <v>608</v>
      </c>
      <c r="B2311" t="s">
        <v>609</v>
      </c>
      <c r="C2311" t="s">
        <v>65</v>
      </c>
      <c r="D2311" t="s">
        <v>66</v>
      </c>
      <c r="E2311" s="4">
        <v>0</v>
      </c>
      <c r="F2311" s="4">
        <v>83.96</v>
      </c>
      <c r="G2311" s="4">
        <v>5226.7</v>
      </c>
      <c r="H2311" s="4">
        <v>0</v>
      </c>
      <c r="I2311" s="4">
        <v>259.79000000000002</v>
      </c>
      <c r="J2311" s="4">
        <v>0</v>
      </c>
      <c r="K2311" s="4">
        <v>46.42</v>
      </c>
      <c r="L2311" s="4">
        <v>0</v>
      </c>
      <c r="M2311" s="4">
        <v>0</v>
      </c>
      <c r="N2311" s="4">
        <v>5.67</v>
      </c>
      <c r="O2311" s="4">
        <v>0</v>
      </c>
      <c r="P2311" s="4">
        <v>10.37</v>
      </c>
      <c r="Q2311" s="4">
        <v>24013.62</v>
      </c>
      <c r="R2311" s="4">
        <v>5218.42</v>
      </c>
      <c r="S2311" s="8">
        <f t="shared" si="108"/>
        <v>4004.9433333333332</v>
      </c>
      <c r="T2311" s="8">
        <f t="shared" si="109"/>
        <v>1213.4766666666669</v>
      </c>
      <c r="U2311" s="9">
        <f t="shared" si="110"/>
        <v>0.30299471569718428</v>
      </c>
    </row>
    <row r="2312" spans="1:21" outlineLevel="2">
      <c r="A2312" t="s">
        <v>608</v>
      </c>
      <c r="B2312" t="s">
        <v>609</v>
      </c>
      <c r="C2312" t="s">
        <v>520</v>
      </c>
      <c r="D2312" t="s">
        <v>521</v>
      </c>
      <c r="E2312" s="4">
        <v>0</v>
      </c>
      <c r="F2312" s="4">
        <v>0</v>
      </c>
      <c r="G2312" s="4">
        <v>0</v>
      </c>
      <c r="H2312" s="4">
        <v>0</v>
      </c>
      <c r="I2312" s="4">
        <v>0</v>
      </c>
      <c r="J2312" s="4">
        <v>0</v>
      </c>
      <c r="K2312" s="4">
        <v>0</v>
      </c>
      <c r="L2312" s="4">
        <v>0</v>
      </c>
      <c r="M2312" s="4">
        <v>0</v>
      </c>
      <c r="N2312" s="4">
        <v>0</v>
      </c>
      <c r="O2312" s="4">
        <v>0</v>
      </c>
      <c r="P2312" s="4">
        <v>1431.1299999999999</v>
      </c>
      <c r="Q2312" s="4">
        <v>0</v>
      </c>
      <c r="S2312" s="8">
        <f t="shared" si="108"/>
        <v>238.52166666666665</v>
      </c>
      <c r="T2312" s="8">
        <f t="shared" si="109"/>
        <v>-238.52166666666665</v>
      </c>
      <c r="U2312" s="9">
        <f t="shared" si="110"/>
        <v>-1</v>
      </c>
    </row>
    <row r="2313" spans="1:21" outlineLevel="2">
      <c r="A2313" t="s">
        <v>608</v>
      </c>
      <c r="B2313" t="s">
        <v>609</v>
      </c>
      <c r="C2313" t="s">
        <v>75</v>
      </c>
      <c r="D2313" t="s">
        <v>76</v>
      </c>
      <c r="E2313" s="4">
        <v>0</v>
      </c>
      <c r="F2313" s="4">
        <v>11284.2</v>
      </c>
      <c r="G2313" s="4">
        <v>11041.5</v>
      </c>
      <c r="H2313" s="4">
        <v>0</v>
      </c>
      <c r="I2313" s="4">
        <v>0</v>
      </c>
      <c r="J2313" s="4">
        <v>11474.5</v>
      </c>
      <c r="K2313" s="4">
        <v>0</v>
      </c>
      <c r="L2313" s="4">
        <v>0</v>
      </c>
      <c r="M2313" s="4">
        <v>468.41999999999996</v>
      </c>
      <c r="N2313" s="4">
        <v>0</v>
      </c>
      <c r="O2313" s="4">
        <v>0</v>
      </c>
      <c r="P2313" s="4">
        <v>0</v>
      </c>
      <c r="Q2313" s="4">
        <v>0</v>
      </c>
      <c r="S2313" s="8">
        <f t="shared" si="108"/>
        <v>78.069999999999993</v>
      </c>
      <c r="T2313" s="8">
        <f t="shared" si="109"/>
        <v>-78.069999999999993</v>
      </c>
      <c r="U2313" s="9">
        <f t="shared" si="110"/>
        <v>-1</v>
      </c>
    </row>
    <row r="2314" spans="1:21" outlineLevel="2">
      <c r="A2314" t="s">
        <v>608</v>
      </c>
      <c r="B2314" t="s">
        <v>609</v>
      </c>
      <c r="C2314" t="s">
        <v>83</v>
      </c>
      <c r="D2314" t="s">
        <v>84</v>
      </c>
      <c r="E2314" s="4">
        <v>54.28</v>
      </c>
      <c r="F2314" s="4">
        <v>97.37</v>
      </c>
      <c r="G2314" s="4">
        <v>0</v>
      </c>
      <c r="H2314" s="4">
        <v>30.490000000000009</v>
      </c>
      <c r="I2314" s="4">
        <v>-107.45</v>
      </c>
      <c r="J2314" s="4">
        <v>363.90000000000003</v>
      </c>
      <c r="K2314" s="4">
        <v>0</v>
      </c>
      <c r="L2314" s="4">
        <v>0</v>
      </c>
      <c r="M2314" s="4">
        <v>0</v>
      </c>
      <c r="N2314" s="4">
        <v>4.76</v>
      </c>
      <c r="O2314" s="4">
        <v>437.57000000000005</v>
      </c>
      <c r="P2314" s="4">
        <v>263.27999999999997</v>
      </c>
      <c r="Q2314" s="4">
        <v>6.36</v>
      </c>
      <c r="S2314" s="8">
        <f t="shared" si="108"/>
        <v>118.66166666666668</v>
      </c>
      <c r="T2314" s="8">
        <f t="shared" si="109"/>
        <v>-118.66166666666668</v>
      </c>
      <c r="U2314" s="9">
        <f t="shared" si="110"/>
        <v>-1</v>
      </c>
    </row>
    <row r="2315" spans="1:21" outlineLevel="2">
      <c r="A2315" t="s">
        <v>608</v>
      </c>
      <c r="B2315" t="s">
        <v>609</v>
      </c>
      <c r="C2315" t="s">
        <v>310</v>
      </c>
      <c r="D2315" t="s">
        <v>311</v>
      </c>
      <c r="E2315" s="4">
        <v>0</v>
      </c>
      <c r="F2315" s="4">
        <v>0</v>
      </c>
      <c r="G2315" s="4">
        <v>0</v>
      </c>
      <c r="H2315" s="4">
        <v>0</v>
      </c>
      <c r="I2315" s="4">
        <v>593.71</v>
      </c>
      <c r="J2315" s="4">
        <v>0</v>
      </c>
      <c r="K2315" s="4">
        <v>0</v>
      </c>
      <c r="L2315" s="4">
        <v>0</v>
      </c>
      <c r="M2315" s="4">
        <v>0</v>
      </c>
      <c r="N2315" s="4">
        <v>2258.9700000000003</v>
      </c>
      <c r="O2315" s="4">
        <v>-98.85</v>
      </c>
      <c r="P2315" s="4">
        <v>482.3</v>
      </c>
      <c r="Q2315" s="4">
        <v>0</v>
      </c>
      <c r="S2315" s="8">
        <f t="shared" si="108"/>
        <v>440.40333333333342</v>
      </c>
      <c r="T2315" s="8">
        <f t="shared" si="109"/>
        <v>-440.40333333333342</v>
      </c>
      <c r="U2315" s="9">
        <f t="shared" si="110"/>
        <v>-1</v>
      </c>
    </row>
    <row r="2316" spans="1:21" outlineLevel="2">
      <c r="A2316" t="s">
        <v>608</v>
      </c>
      <c r="B2316" t="s">
        <v>609</v>
      </c>
      <c r="C2316" t="s">
        <v>87</v>
      </c>
      <c r="D2316" t="s">
        <v>88</v>
      </c>
      <c r="E2316" s="4">
        <v>6.81</v>
      </c>
      <c r="F2316" s="4">
        <v>0</v>
      </c>
      <c r="G2316" s="4">
        <v>17.57</v>
      </c>
      <c r="H2316" s="4">
        <v>6.44</v>
      </c>
      <c r="I2316" s="4">
        <v>6.3</v>
      </c>
      <c r="J2316" s="4">
        <v>0</v>
      </c>
      <c r="K2316" s="4">
        <v>2.3199999999999998</v>
      </c>
      <c r="L2316" s="4">
        <v>0</v>
      </c>
      <c r="M2316" s="4">
        <v>0</v>
      </c>
      <c r="N2316" s="4">
        <v>4.59</v>
      </c>
      <c r="O2316" s="4">
        <v>114.9</v>
      </c>
      <c r="P2316" s="4">
        <v>0</v>
      </c>
      <c r="Q2316" s="4">
        <v>0</v>
      </c>
      <c r="S2316" s="8">
        <f t="shared" si="108"/>
        <v>19.915000000000003</v>
      </c>
      <c r="T2316" s="8">
        <f t="shared" si="109"/>
        <v>-19.915000000000003</v>
      </c>
      <c r="U2316" s="9">
        <f t="shared" si="110"/>
        <v>-1</v>
      </c>
    </row>
    <row r="2317" spans="1:21" outlineLevel="2">
      <c r="A2317" t="s">
        <v>608</v>
      </c>
      <c r="B2317" t="s">
        <v>609</v>
      </c>
      <c r="C2317" t="s">
        <v>182</v>
      </c>
      <c r="D2317" t="s">
        <v>183</v>
      </c>
      <c r="E2317" s="4">
        <v>0</v>
      </c>
      <c r="F2317" s="4">
        <v>0</v>
      </c>
      <c r="G2317" s="4">
        <v>0</v>
      </c>
      <c r="H2317" s="4">
        <v>0</v>
      </c>
      <c r="I2317" s="4">
        <v>0</v>
      </c>
      <c r="J2317" s="4">
        <v>0</v>
      </c>
      <c r="K2317" s="4">
        <v>0</v>
      </c>
      <c r="L2317" s="4">
        <v>0</v>
      </c>
      <c r="M2317" s="4">
        <v>0</v>
      </c>
      <c r="N2317" s="4">
        <v>23.83</v>
      </c>
      <c r="O2317" s="4">
        <v>0</v>
      </c>
      <c r="P2317" s="4">
        <v>63.47</v>
      </c>
      <c r="Q2317" s="4">
        <v>0</v>
      </c>
      <c r="S2317" s="8">
        <f t="shared" si="108"/>
        <v>14.549999999999999</v>
      </c>
      <c r="T2317" s="8">
        <f t="shared" si="109"/>
        <v>-14.549999999999999</v>
      </c>
      <c r="U2317" s="9">
        <f t="shared" si="110"/>
        <v>-1</v>
      </c>
    </row>
    <row r="2318" spans="1:21" outlineLevel="2">
      <c r="A2318" t="s">
        <v>608</v>
      </c>
      <c r="B2318" t="s">
        <v>609</v>
      </c>
      <c r="C2318" t="s">
        <v>93</v>
      </c>
      <c r="D2318" t="s">
        <v>94</v>
      </c>
      <c r="E2318" s="4">
        <v>3119.34</v>
      </c>
      <c r="F2318" s="4">
        <v>19793.990000000002</v>
      </c>
      <c r="G2318" s="4">
        <v>5410.7600000000011</v>
      </c>
      <c r="H2318" s="4">
        <v>5835.5499999999993</v>
      </c>
      <c r="I2318" s="4">
        <v>5207.6499999999996</v>
      </c>
      <c r="J2318" s="4">
        <v>27660.870000000028</v>
      </c>
      <c r="K2318" s="4">
        <v>13229.319999999996</v>
      </c>
      <c r="L2318" s="4">
        <v>5299.36</v>
      </c>
      <c r="M2318" s="4">
        <v>2260.84</v>
      </c>
      <c r="N2318" s="4">
        <v>9863.11</v>
      </c>
      <c r="O2318" s="4">
        <v>-2800.7299999999996</v>
      </c>
      <c r="P2318" s="4">
        <v>0</v>
      </c>
      <c r="Q2318" s="4">
        <v>0</v>
      </c>
      <c r="S2318" s="8">
        <f t="shared" si="108"/>
        <v>2437.0966666666668</v>
      </c>
      <c r="T2318" s="8">
        <f t="shared" si="109"/>
        <v>-2437.0966666666668</v>
      </c>
      <c r="U2318" s="9">
        <f t="shared" si="110"/>
        <v>-1</v>
      </c>
    </row>
    <row r="2319" spans="1:21" outlineLevel="2">
      <c r="A2319" t="s">
        <v>608</v>
      </c>
      <c r="B2319" t="s">
        <v>609</v>
      </c>
      <c r="C2319" t="s">
        <v>97</v>
      </c>
      <c r="D2319" t="s">
        <v>98</v>
      </c>
      <c r="E2319" s="4">
        <v>0</v>
      </c>
      <c r="F2319" s="4">
        <v>0</v>
      </c>
      <c r="G2319" s="4">
        <v>0</v>
      </c>
      <c r="H2319" s="4">
        <v>0</v>
      </c>
      <c r="I2319" s="4">
        <v>0</v>
      </c>
      <c r="J2319" s="4">
        <v>0</v>
      </c>
      <c r="K2319" s="4">
        <v>0</v>
      </c>
      <c r="L2319" s="4">
        <v>0</v>
      </c>
      <c r="M2319" s="4">
        <v>0</v>
      </c>
      <c r="N2319" s="4">
        <v>0</v>
      </c>
      <c r="O2319" s="4">
        <v>0</v>
      </c>
      <c r="P2319" s="4">
        <v>0</v>
      </c>
      <c r="Q2319" s="4">
        <v>890.73</v>
      </c>
      <c r="S2319" s="8">
        <f t="shared" si="108"/>
        <v>148.45500000000001</v>
      </c>
      <c r="T2319" s="8">
        <f t="shared" si="109"/>
        <v>-148.45500000000001</v>
      </c>
      <c r="U2319" s="9">
        <f t="shared" si="110"/>
        <v>-1</v>
      </c>
    </row>
    <row r="2320" spans="1:21" outlineLevel="2">
      <c r="A2320" t="s">
        <v>608</v>
      </c>
      <c r="B2320" t="s">
        <v>609</v>
      </c>
      <c r="C2320" t="s">
        <v>184</v>
      </c>
      <c r="D2320" t="s">
        <v>185</v>
      </c>
      <c r="E2320" s="4">
        <v>0</v>
      </c>
      <c r="F2320" s="4">
        <v>0</v>
      </c>
      <c r="G2320" s="4">
        <v>0</v>
      </c>
      <c r="H2320" s="4">
        <v>38.97</v>
      </c>
      <c r="I2320" s="4">
        <v>0</v>
      </c>
      <c r="J2320" s="4">
        <v>0</v>
      </c>
      <c r="K2320" s="4">
        <v>0</v>
      </c>
      <c r="L2320" s="4">
        <v>0</v>
      </c>
      <c r="M2320" s="4">
        <v>0</v>
      </c>
      <c r="N2320" s="4">
        <v>0</v>
      </c>
      <c r="O2320" s="4">
        <v>0</v>
      </c>
      <c r="P2320" s="4">
        <v>0</v>
      </c>
      <c r="Q2320" s="4">
        <v>0</v>
      </c>
      <c r="S2320" s="8">
        <f t="shared" si="108"/>
        <v>0</v>
      </c>
      <c r="T2320" s="8">
        <f t="shared" si="109"/>
        <v>0</v>
      </c>
      <c r="U2320" s="9" t="e">
        <f t="shared" si="110"/>
        <v>#DIV/0!</v>
      </c>
    </row>
    <row r="2321" spans="1:21" outlineLevel="2">
      <c r="A2321" t="s">
        <v>608</v>
      </c>
      <c r="B2321" t="s">
        <v>609</v>
      </c>
      <c r="C2321" t="s">
        <v>101</v>
      </c>
      <c r="D2321" t="s">
        <v>102</v>
      </c>
      <c r="E2321" s="4">
        <v>86.92</v>
      </c>
      <c r="F2321" s="4">
        <v>46.23</v>
      </c>
      <c r="G2321" s="4">
        <v>660.2</v>
      </c>
      <c r="H2321" s="4">
        <v>79.11</v>
      </c>
      <c r="I2321" s="4">
        <v>68.34</v>
      </c>
      <c r="J2321" s="4">
        <v>15271.98</v>
      </c>
      <c r="K2321" s="4">
        <v>5450.34</v>
      </c>
      <c r="L2321" s="4">
        <v>3646.23</v>
      </c>
      <c r="M2321" s="4">
        <v>1922.8799999999999</v>
      </c>
      <c r="N2321" s="4">
        <v>2408.1899999999996</v>
      </c>
      <c r="O2321" s="4">
        <v>1172.2800000000002</v>
      </c>
      <c r="P2321" s="4">
        <v>3974.6200000000003</v>
      </c>
      <c r="Q2321" s="4">
        <v>1800</v>
      </c>
      <c r="R2321" s="4">
        <v>3600</v>
      </c>
      <c r="S2321" s="8">
        <f t="shared" si="108"/>
        <v>2487.3666666666668</v>
      </c>
      <c r="T2321" s="8">
        <f t="shared" si="109"/>
        <v>1112.6333333333332</v>
      </c>
      <c r="U2321" s="9">
        <f t="shared" si="110"/>
        <v>0.44731375886144642</v>
      </c>
    </row>
    <row r="2322" spans="1:21" outlineLevel="2">
      <c r="A2322" t="s">
        <v>608</v>
      </c>
      <c r="B2322" t="s">
        <v>609</v>
      </c>
      <c r="C2322" t="s">
        <v>398</v>
      </c>
      <c r="D2322" t="s">
        <v>399</v>
      </c>
      <c r="E2322" s="4">
        <v>1102.94</v>
      </c>
      <c r="F2322" s="4">
        <v>101.3</v>
      </c>
      <c r="G2322" s="4">
        <v>7393.1199999999981</v>
      </c>
      <c r="H2322" s="4">
        <v>0</v>
      </c>
      <c r="I2322" s="4">
        <v>0</v>
      </c>
      <c r="J2322" s="4">
        <v>0</v>
      </c>
      <c r="K2322" s="4">
        <v>0</v>
      </c>
      <c r="L2322" s="4">
        <v>0</v>
      </c>
      <c r="M2322" s="4">
        <v>0</v>
      </c>
      <c r="N2322" s="4">
        <v>0</v>
      </c>
      <c r="O2322" s="4">
        <v>0</v>
      </c>
      <c r="P2322" s="4">
        <v>0</v>
      </c>
      <c r="Q2322" s="4">
        <v>0</v>
      </c>
      <c r="S2322" s="8">
        <f t="shared" si="108"/>
        <v>0</v>
      </c>
      <c r="T2322" s="8">
        <f t="shared" si="109"/>
        <v>0</v>
      </c>
      <c r="U2322" s="9" t="e">
        <f t="shared" si="110"/>
        <v>#DIV/0!</v>
      </c>
    </row>
    <row r="2323" spans="1:21" outlineLevel="2">
      <c r="A2323" t="s">
        <v>608</v>
      </c>
      <c r="B2323" t="s">
        <v>609</v>
      </c>
      <c r="C2323" t="s">
        <v>198</v>
      </c>
      <c r="D2323" t="s">
        <v>199</v>
      </c>
      <c r="E2323" s="4">
        <v>0</v>
      </c>
      <c r="F2323" s="4">
        <v>0</v>
      </c>
      <c r="G2323" s="4">
        <v>0</v>
      </c>
      <c r="H2323" s="4">
        <v>0</v>
      </c>
      <c r="I2323" s="4">
        <v>0</v>
      </c>
      <c r="J2323" s="4">
        <v>627.4</v>
      </c>
      <c r="K2323" s="4">
        <v>0</v>
      </c>
      <c r="L2323" s="4">
        <v>0</v>
      </c>
      <c r="M2323" s="4">
        <v>0</v>
      </c>
      <c r="N2323" s="4">
        <v>0</v>
      </c>
      <c r="O2323" s="4">
        <v>0</v>
      </c>
      <c r="P2323" s="4">
        <v>0</v>
      </c>
      <c r="Q2323" s="4">
        <v>0</v>
      </c>
      <c r="S2323" s="8">
        <f t="shared" si="108"/>
        <v>0</v>
      </c>
      <c r="T2323" s="8">
        <f t="shared" si="109"/>
        <v>0</v>
      </c>
      <c r="U2323" s="9" t="e">
        <f t="shared" si="110"/>
        <v>#DIV/0!</v>
      </c>
    </row>
    <row r="2324" spans="1:21" outlineLevel="2">
      <c r="A2324" t="s">
        <v>608</v>
      </c>
      <c r="B2324" t="s">
        <v>609</v>
      </c>
      <c r="C2324" t="s">
        <v>312</v>
      </c>
      <c r="D2324" t="s">
        <v>313</v>
      </c>
      <c r="E2324" s="4">
        <v>0</v>
      </c>
      <c r="F2324" s="4">
        <v>0</v>
      </c>
      <c r="G2324" s="4">
        <v>15</v>
      </c>
      <c r="H2324" s="4">
        <v>750.7700000000001</v>
      </c>
      <c r="I2324" s="4">
        <v>319.94</v>
      </c>
      <c r="J2324" s="4">
        <v>400</v>
      </c>
      <c r="K2324" s="4">
        <v>1319.79</v>
      </c>
      <c r="L2324" s="4">
        <v>0</v>
      </c>
      <c r="M2324" s="4">
        <v>0</v>
      </c>
      <c r="N2324" s="4">
        <v>200</v>
      </c>
      <c r="O2324" s="4">
        <v>0</v>
      </c>
      <c r="P2324" s="4">
        <v>0</v>
      </c>
      <c r="Q2324" s="4">
        <v>0</v>
      </c>
      <c r="R2324" s="4">
        <v>150</v>
      </c>
      <c r="S2324" s="8">
        <f t="shared" si="108"/>
        <v>33.333333333333336</v>
      </c>
      <c r="T2324" s="8">
        <f t="shared" si="109"/>
        <v>116.66666666666666</v>
      </c>
      <c r="U2324" s="9">
        <f t="shared" si="110"/>
        <v>3.4999999999999996</v>
      </c>
    </row>
    <row r="2325" spans="1:21" outlineLevel="2">
      <c r="A2325" t="s">
        <v>608</v>
      </c>
      <c r="B2325" t="s">
        <v>609</v>
      </c>
      <c r="C2325" t="s">
        <v>111</v>
      </c>
      <c r="D2325" t="s">
        <v>112</v>
      </c>
      <c r="E2325" s="4">
        <v>0</v>
      </c>
      <c r="F2325" s="4">
        <v>-27062.5</v>
      </c>
      <c r="G2325" s="4">
        <v>0</v>
      </c>
      <c r="H2325" s="4">
        <v>0</v>
      </c>
      <c r="I2325" s="4">
        <v>0</v>
      </c>
      <c r="J2325" s="4">
        <v>0</v>
      </c>
      <c r="K2325" s="4">
        <v>0</v>
      </c>
      <c r="L2325" s="4">
        <v>-22.009999999999991</v>
      </c>
      <c r="M2325" s="4">
        <v>0</v>
      </c>
      <c r="N2325" s="4">
        <v>0</v>
      </c>
      <c r="O2325" s="4">
        <v>0</v>
      </c>
      <c r="P2325" s="4">
        <v>0</v>
      </c>
      <c r="Q2325" s="4">
        <v>0</v>
      </c>
      <c r="R2325" s="4">
        <v>934</v>
      </c>
      <c r="S2325" s="8">
        <f t="shared" si="108"/>
        <v>-3.6683333333333317</v>
      </c>
      <c r="T2325" s="8">
        <f t="shared" si="109"/>
        <v>937.66833333333329</v>
      </c>
      <c r="U2325" s="9">
        <f t="shared" si="110"/>
        <v>-255.61154020899602</v>
      </c>
    </row>
    <row r="2326" spans="1:21" outlineLevel="2">
      <c r="A2326" t="s">
        <v>608</v>
      </c>
      <c r="B2326" t="s">
        <v>609</v>
      </c>
      <c r="C2326" t="s">
        <v>170</v>
      </c>
      <c r="D2326" t="s">
        <v>171</v>
      </c>
      <c r="E2326" s="4">
        <v>303.75</v>
      </c>
      <c r="F2326" s="4">
        <v>202.5</v>
      </c>
      <c r="G2326" s="4">
        <v>202.5</v>
      </c>
      <c r="H2326" s="4">
        <v>189</v>
      </c>
      <c r="I2326" s="4">
        <v>175.5</v>
      </c>
      <c r="J2326" s="4">
        <v>175.5</v>
      </c>
      <c r="K2326" s="4">
        <v>135</v>
      </c>
      <c r="L2326" s="4">
        <v>189</v>
      </c>
      <c r="M2326" s="4">
        <v>121.5</v>
      </c>
      <c r="N2326" s="4">
        <v>121.5</v>
      </c>
      <c r="O2326" s="4">
        <v>121.5</v>
      </c>
      <c r="P2326" s="4">
        <v>121.5</v>
      </c>
      <c r="Q2326" s="4">
        <v>60.75</v>
      </c>
      <c r="S2326" s="8">
        <f t="shared" si="108"/>
        <v>122.625</v>
      </c>
      <c r="T2326" s="8">
        <f t="shared" si="109"/>
        <v>-122.625</v>
      </c>
      <c r="U2326" s="9">
        <f t="shared" si="110"/>
        <v>-1</v>
      </c>
    </row>
    <row r="2327" spans="1:21" outlineLevel="2">
      <c r="A2327" t="s">
        <v>608</v>
      </c>
      <c r="B2327" t="s">
        <v>609</v>
      </c>
      <c r="C2327" t="s">
        <v>127</v>
      </c>
      <c r="D2327" t="s">
        <v>120</v>
      </c>
      <c r="E2327" s="4">
        <v>216.71</v>
      </c>
      <c r="F2327" s="4">
        <v>248.44</v>
      </c>
      <c r="G2327" s="4">
        <v>0</v>
      </c>
      <c r="H2327" s="4">
        <v>233.71</v>
      </c>
      <c r="I2327" s="4">
        <v>22.88</v>
      </c>
      <c r="J2327" s="4">
        <v>56.25</v>
      </c>
      <c r="K2327" s="4">
        <v>14.45</v>
      </c>
      <c r="L2327" s="4">
        <v>9.3000000000000007</v>
      </c>
      <c r="M2327" s="4">
        <v>22.81</v>
      </c>
      <c r="N2327" s="4">
        <v>141.57</v>
      </c>
      <c r="O2327" s="4">
        <v>16.54</v>
      </c>
      <c r="P2327" s="4">
        <v>73.25</v>
      </c>
      <c r="Q2327" s="4">
        <v>83.86</v>
      </c>
      <c r="S2327" s="8">
        <f t="shared" si="108"/>
        <v>57.888333333333343</v>
      </c>
      <c r="T2327" s="8">
        <f t="shared" si="109"/>
        <v>-57.888333333333343</v>
      </c>
      <c r="U2327" s="9">
        <f t="shared" si="110"/>
        <v>-1</v>
      </c>
    </row>
    <row r="2328" spans="1:21" outlineLevel="2">
      <c r="A2328" t="s">
        <v>608</v>
      </c>
      <c r="B2328" t="s">
        <v>609</v>
      </c>
      <c r="C2328" t="s">
        <v>600</v>
      </c>
      <c r="D2328" t="s">
        <v>601</v>
      </c>
      <c r="E2328" s="4">
        <v>410509.49</v>
      </c>
      <c r="F2328" s="4">
        <v>335724.20999999996</v>
      </c>
      <c r="G2328" s="4">
        <v>359219.08999999997</v>
      </c>
      <c r="H2328" s="4">
        <v>404399.12</v>
      </c>
      <c r="I2328" s="4">
        <v>369461.67</v>
      </c>
      <c r="J2328" s="4">
        <v>417938.85</v>
      </c>
      <c r="K2328" s="4">
        <v>332783.69</v>
      </c>
      <c r="L2328" s="4">
        <v>319187.18</v>
      </c>
      <c r="M2328" s="4">
        <v>361710.86</v>
      </c>
      <c r="N2328" s="4">
        <v>673651.15</v>
      </c>
      <c r="O2328" s="4">
        <v>287943.12000000005</v>
      </c>
      <c r="P2328" s="4">
        <v>347168.3</v>
      </c>
      <c r="Q2328" s="4">
        <v>451297.49</v>
      </c>
      <c r="S2328" s="8">
        <f t="shared" si="108"/>
        <v>406826.35000000003</v>
      </c>
      <c r="T2328" s="8">
        <f t="shared" si="109"/>
        <v>-406826.35000000003</v>
      </c>
      <c r="U2328" s="9">
        <f t="shared" si="110"/>
        <v>-1</v>
      </c>
    </row>
    <row r="2329" spans="1:21" outlineLevel="2">
      <c r="A2329" t="s">
        <v>608</v>
      </c>
      <c r="B2329" t="s">
        <v>609</v>
      </c>
      <c r="C2329" t="s">
        <v>190</v>
      </c>
      <c r="D2329" t="s">
        <v>191</v>
      </c>
      <c r="E2329" s="4">
        <v>0</v>
      </c>
      <c r="F2329" s="4">
        <v>0</v>
      </c>
      <c r="G2329" s="4">
        <v>0</v>
      </c>
      <c r="H2329" s="4">
        <v>0</v>
      </c>
      <c r="I2329" s="4">
        <v>0</v>
      </c>
      <c r="J2329" s="4">
        <v>0</v>
      </c>
      <c r="K2329" s="4">
        <v>0</v>
      </c>
      <c r="L2329" s="4">
        <v>1010.81</v>
      </c>
      <c r="M2329" s="4">
        <v>0</v>
      </c>
      <c r="N2329" s="4">
        <v>0</v>
      </c>
      <c r="O2329" s="4">
        <v>0</v>
      </c>
      <c r="P2329" s="4">
        <v>0</v>
      </c>
      <c r="Q2329" s="4">
        <v>0</v>
      </c>
      <c r="S2329" s="8">
        <f t="shared" si="108"/>
        <v>168.46833333333333</v>
      </c>
      <c r="T2329" s="8">
        <f t="shared" si="109"/>
        <v>-168.46833333333333</v>
      </c>
      <c r="U2329" s="9">
        <f t="shared" si="110"/>
        <v>-1</v>
      </c>
    </row>
    <row r="2330" spans="1:21" outlineLevel="2">
      <c r="A2330" t="s">
        <v>608</v>
      </c>
      <c r="B2330" t="s">
        <v>609</v>
      </c>
      <c r="C2330" t="s">
        <v>238</v>
      </c>
      <c r="D2330" t="s">
        <v>239</v>
      </c>
      <c r="E2330" s="4">
        <v>0</v>
      </c>
      <c r="F2330" s="4">
        <v>40</v>
      </c>
      <c r="G2330" s="4">
        <v>0</v>
      </c>
      <c r="H2330" s="4">
        <v>0</v>
      </c>
      <c r="I2330" s="4">
        <v>0</v>
      </c>
      <c r="J2330" s="4">
        <v>0</v>
      </c>
      <c r="K2330" s="4">
        <v>0</v>
      </c>
      <c r="L2330" s="4">
        <v>0</v>
      </c>
      <c r="M2330" s="4">
        <v>0</v>
      </c>
      <c r="N2330" s="4">
        <v>0</v>
      </c>
      <c r="O2330" s="4">
        <v>0</v>
      </c>
      <c r="P2330" s="4">
        <v>0</v>
      </c>
      <c r="Q2330" s="4">
        <v>0</v>
      </c>
      <c r="S2330" s="8">
        <f t="shared" si="108"/>
        <v>0</v>
      </c>
      <c r="T2330" s="8">
        <f t="shared" si="109"/>
        <v>0</v>
      </c>
      <c r="U2330" s="9" t="e">
        <f t="shared" si="110"/>
        <v>#DIV/0!</v>
      </c>
    </row>
    <row r="2331" spans="1:21" outlineLevel="2">
      <c r="A2331" t="s">
        <v>608</v>
      </c>
      <c r="B2331" t="s">
        <v>609</v>
      </c>
      <c r="C2331" t="s">
        <v>240</v>
      </c>
      <c r="D2331" t="s">
        <v>241</v>
      </c>
      <c r="E2331" s="4">
        <v>0</v>
      </c>
      <c r="F2331" s="4">
        <v>0</v>
      </c>
      <c r="G2331" s="4">
        <v>0</v>
      </c>
      <c r="H2331" s="4">
        <v>9597.2800000000007</v>
      </c>
      <c r="I2331" s="4">
        <v>0</v>
      </c>
      <c r="J2331" s="4">
        <v>0</v>
      </c>
      <c r="K2331" s="4">
        <v>0</v>
      </c>
      <c r="L2331" s="4">
        <v>0</v>
      </c>
      <c r="M2331" s="4">
        <v>0</v>
      </c>
      <c r="N2331" s="4">
        <v>0</v>
      </c>
      <c r="O2331" s="4">
        <v>0</v>
      </c>
      <c r="P2331" s="4">
        <v>1493.39</v>
      </c>
      <c r="Q2331" s="4">
        <v>0</v>
      </c>
      <c r="S2331" s="8">
        <f t="shared" si="108"/>
        <v>248.89833333333334</v>
      </c>
      <c r="T2331" s="8">
        <f t="shared" si="109"/>
        <v>-248.89833333333334</v>
      </c>
      <c r="U2331" s="9">
        <f t="shared" si="110"/>
        <v>-1</v>
      </c>
    </row>
    <row r="2332" spans="1:21" outlineLevel="2">
      <c r="A2332" t="s">
        <v>608</v>
      </c>
      <c r="B2332" t="s">
        <v>609</v>
      </c>
      <c r="C2332" t="s">
        <v>602</v>
      </c>
      <c r="D2332" t="s">
        <v>603</v>
      </c>
      <c r="E2332" s="4">
        <v>0</v>
      </c>
      <c r="F2332" s="4">
        <v>0</v>
      </c>
      <c r="G2332" s="4">
        <v>0</v>
      </c>
      <c r="H2332" s="4">
        <v>0</v>
      </c>
      <c r="I2332" s="4">
        <v>0</v>
      </c>
      <c r="J2332" s="4">
        <v>0</v>
      </c>
      <c r="K2332" s="4">
        <v>0</v>
      </c>
      <c r="L2332" s="4">
        <v>0</v>
      </c>
      <c r="M2332" s="4">
        <v>0</v>
      </c>
      <c r="N2332" s="4">
        <v>0</v>
      </c>
      <c r="O2332" s="4">
        <v>0</v>
      </c>
      <c r="P2332" s="4">
        <v>0</v>
      </c>
      <c r="Q2332" s="4">
        <v>4164.25</v>
      </c>
      <c r="S2332" s="8">
        <f t="shared" si="108"/>
        <v>694.04166666666663</v>
      </c>
      <c r="T2332" s="8">
        <f t="shared" si="109"/>
        <v>-694.04166666666663</v>
      </c>
      <c r="U2332" s="9">
        <f t="shared" si="110"/>
        <v>-1</v>
      </c>
    </row>
    <row r="2333" spans="1:21" outlineLevel="1">
      <c r="A2333" s="1" t="s">
        <v>852</v>
      </c>
      <c r="E2333" s="4">
        <f>SUBTOTAL(9,E2280:E2332)</f>
        <v>820560.17999999993</v>
      </c>
      <c r="F2333" s="4">
        <f>SUBTOTAL(9,F2280:F2332)</f>
        <v>671448.41999999993</v>
      </c>
      <c r="G2333" s="4">
        <f>SUBTOTAL(9,G2280:G2332)</f>
        <v>718586.37000000011</v>
      </c>
      <c r="H2333" s="4">
        <f>SUBTOTAL(9,H2280:H2332)</f>
        <v>808798.24</v>
      </c>
      <c r="I2333" s="4">
        <f>SUBTOTAL(9,I2280:I2332)</f>
        <v>738923.33999999985</v>
      </c>
      <c r="J2333" s="4">
        <f>SUBTOTAL(9,J2280:J2332)</f>
        <v>835672.7200000002</v>
      </c>
      <c r="K2333" s="4">
        <f>SUBTOTAL(9,K2280:K2332)</f>
        <v>665624.16999999993</v>
      </c>
      <c r="L2333" s="4">
        <f>SUBTOTAL(9,L2280:L2332)</f>
        <v>638374.3600000001</v>
      </c>
      <c r="M2333" s="4">
        <f>SUBTOTAL(9,M2280:M2332)</f>
        <v>727578.04999999993</v>
      </c>
      <c r="N2333" s="4">
        <f>SUBTOTAL(9,N2280:N2332)</f>
        <v>1347302.3</v>
      </c>
      <c r="O2333" s="4">
        <f>SUBTOTAL(9,O2280:O2332)</f>
        <v>575886.24000000011</v>
      </c>
      <c r="P2333" s="4">
        <f>SUBTOTAL(9,P2280:P2332)</f>
        <v>693536.27</v>
      </c>
      <c r="Q2333" s="4">
        <f>SUBTOTAL(9,Q2280:Q2332)</f>
        <v>902594.98</v>
      </c>
      <c r="R2333" s="4">
        <f>SUBTOTAL(9,R2280:R2332)</f>
        <v>67020.85000000002</v>
      </c>
      <c r="S2333" s="8">
        <f t="shared" si="108"/>
        <v>814212.03333333333</v>
      </c>
      <c r="T2333" s="8">
        <f t="shared" si="109"/>
        <v>-747191.18333333335</v>
      </c>
      <c r="U2333" s="9">
        <f t="shared" si="110"/>
        <v>-0.91768624479102723</v>
      </c>
    </row>
    <row r="2334" spans="1:21" outlineLevel="2">
      <c r="A2334" t="s">
        <v>610</v>
      </c>
      <c r="B2334" t="s">
        <v>611</v>
      </c>
      <c r="C2334" t="s">
        <v>21</v>
      </c>
      <c r="D2334" t="s">
        <v>22</v>
      </c>
      <c r="E2334" s="4">
        <v>-652.44000000000005</v>
      </c>
      <c r="F2334" s="4">
        <v>-268.56</v>
      </c>
      <c r="G2334" s="4">
        <v>-709.45</v>
      </c>
      <c r="H2334" s="4">
        <v>-431.46</v>
      </c>
      <c r="I2334" s="4">
        <v>-1103.0899999999999</v>
      </c>
      <c r="J2334" s="4">
        <v>-151.97</v>
      </c>
      <c r="K2334" s="4">
        <v>-498.34</v>
      </c>
      <c r="L2334" s="4">
        <v>-1181.43</v>
      </c>
      <c r="M2334" s="4">
        <v>-2326.0100000000002</v>
      </c>
      <c r="N2334" s="4">
        <v>-297.82</v>
      </c>
      <c r="O2334" s="4">
        <v>-623.70000000000005</v>
      </c>
      <c r="P2334" s="4">
        <v>-77.849999999999994</v>
      </c>
      <c r="Q2334" s="4">
        <v>-118.29</v>
      </c>
      <c r="S2334" s="8">
        <f t="shared" si="108"/>
        <v>-770.85000000000025</v>
      </c>
      <c r="T2334" s="8">
        <f t="shared" si="109"/>
        <v>770.85000000000025</v>
      </c>
      <c r="U2334" s="9">
        <f t="shared" si="110"/>
        <v>-1</v>
      </c>
    </row>
    <row r="2335" spans="1:21" outlineLevel="2">
      <c r="A2335" t="s">
        <v>610</v>
      </c>
      <c r="B2335" t="s">
        <v>611</v>
      </c>
      <c r="C2335" t="s">
        <v>23</v>
      </c>
      <c r="D2335" t="s">
        <v>24</v>
      </c>
      <c r="E2335" s="4">
        <v>-463.82</v>
      </c>
      <c r="F2335" s="4">
        <v>-206.26</v>
      </c>
      <c r="G2335" s="4">
        <v>-351.21</v>
      </c>
      <c r="H2335" s="4">
        <v>-113.36</v>
      </c>
      <c r="I2335" s="4">
        <v>-658.63</v>
      </c>
      <c r="J2335" s="4">
        <v>-3202.17</v>
      </c>
      <c r="K2335" s="4">
        <v>-74.069999999999993</v>
      </c>
      <c r="L2335" s="4">
        <v>-56.49</v>
      </c>
      <c r="M2335" s="4">
        <v>0</v>
      </c>
      <c r="N2335" s="4">
        <v>0</v>
      </c>
      <c r="O2335" s="4">
        <v>-11.25</v>
      </c>
      <c r="P2335" s="4">
        <v>0</v>
      </c>
      <c r="Q2335" s="4">
        <v>-20.25</v>
      </c>
      <c r="S2335" s="8">
        <f t="shared" si="108"/>
        <v>-14.665000000000001</v>
      </c>
      <c r="T2335" s="8">
        <f t="shared" si="109"/>
        <v>14.665000000000001</v>
      </c>
      <c r="U2335" s="9">
        <f t="shared" si="110"/>
        <v>-1</v>
      </c>
    </row>
    <row r="2336" spans="1:21" outlineLevel="2">
      <c r="A2336" t="s">
        <v>610</v>
      </c>
      <c r="B2336" t="s">
        <v>611</v>
      </c>
      <c r="C2336" t="s">
        <v>25</v>
      </c>
      <c r="D2336" t="s">
        <v>26</v>
      </c>
      <c r="E2336" s="4">
        <v>0</v>
      </c>
      <c r="F2336" s="4">
        <v>0</v>
      </c>
      <c r="G2336" s="4">
        <v>0</v>
      </c>
      <c r="H2336" s="4">
        <v>0</v>
      </c>
      <c r="I2336" s="4">
        <v>0</v>
      </c>
      <c r="J2336" s="4">
        <v>0</v>
      </c>
      <c r="K2336" s="4">
        <v>0</v>
      </c>
      <c r="L2336" s="4">
        <v>0</v>
      </c>
      <c r="M2336" s="4">
        <v>-485.48</v>
      </c>
      <c r="N2336" s="4">
        <v>-697.05</v>
      </c>
      <c r="O2336" s="4">
        <v>-539.52</v>
      </c>
      <c r="P2336" s="4">
        <v>-29.32</v>
      </c>
      <c r="Q2336" s="4">
        <v>-48.87</v>
      </c>
      <c r="S2336" s="8">
        <f t="shared" si="108"/>
        <v>-300.03999999999996</v>
      </c>
      <c r="T2336" s="8">
        <f t="shared" si="109"/>
        <v>300.03999999999996</v>
      </c>
      <c r="U2336" s="9">
        <f t="shared" si="110"/>
        <v>-1</v>
      </c>
    </row>
    <row r="2337" spans="1:21" outlineLevel="2">
      <c r="A2337" t="s">
        <v>610</v>
      </c>
      <c r="B2337" t="s">
        <v>611</v>
      </c>
      <c r="C2337" t="s">
        <v>27</v>
      </c>
      <c r="D2337" t="s">
        <v>28</v>
      </c>
      <c r="E2337" s="4">
        <v>0</v>
      </c>
      <c r="F2337" s="4">
        <v>0</v>
      </c>
      <c r="G2337" s="4">
        <v>0</v>
      </c>
      <c r="H2337" s="4">
        <v>0</v>
      </c>
      <c r="I2337" s="4">
        <v>0</v>
      </c>
      <c r="J2337" s="4">
        <v>0</v>
      </c>
      <c r="K2337" s="4">
        <v>0</v>
      </c>
      <c r="L2337" s="4">
        <v>0</v>
      </c>
      <c r="M2337" s="4">
        <v>0</v>
      </c>
      <c r="N2337" s="4">
        <v>-75</v>
      </c>
      <c r="O2337" s="4">
        <v>-516.4</v>
      </c>
      <c r="P2337" s="4">
        <v>-138.88999999999999</v>
      </c>
      <c r="Q2337" s="4">
        <v>0</v>
      </c>
      <c r="S2337" s="8">
        <f t="shared" si="108"/>
        <v>-121.71499999999999</v>
      </c>
      <c r="T2337" s="8">
        <f t="shared" si="109"/>
        <v>121.71499999999999</v>
      </c>
      <c r="U2337" s="9">
        <f t="shared" si="110"/>
        <v>-1</v>
      </c>
    </row>
    <row r="2338" spans="1:21" outlineLevel="2">
      <c r="A2338" t="s">
        <v>610</v>
      </c>
      <c r="B2338" t="s">
        <v>611</v>
      </c>
      <c r="C2338" t="s">
        <v>194</v>
      </c>
      <c r="D2338" t="s">
        <v>195</v>
      </c>
      <c r="E2338" s="4">
        <v>-341.55</v>
      </c>
      <c r="F2338" s="4">
        <v>0</v>
      </c>
      <c r="G2338" s="4">
        <v>0</v>
      </c>
      <c r="H2338" s="4">
        <v>0</v>
      </c>
      <c r="I2338" s="4">
        <v>0</v>
      </c>
      <c r="J2338" s="4">
        <v>0</v>
      </c>
      <c r="K2338" s="4">
        <v>0</v>
      </c>
      <c r="L2338" s="4">
        <v>0</v>
      </c>
      <c r="M2338" s="4">
        <v>0</v>
      </c>
      <c r="N2338" s="4">
        <v>-85.39</v>
      </c>
      <c r="O2338" s="4">
        <v>0</v>
      </c>
      <c r="P2338" s="4">
        <v>0</v>
      </c>
      <c r="Q2338" s="4">
        <v>0</v>
      </c>
      <c r="S2338" s="8">
        <f t="shared" si="108"/>
        <v>-14.231666666666667</v>
      </c>
      <c r="T2338" s="8">
        <f t="shared" si="109"/>
        <v>14.231666666666667</v>
      </c>
      <c r="U2338" s="9">
        <f t="shared" si="110"/>
        <v>-1</v>
      </c>
    </row>
    <row r="2339" spans="1:21" outlineLevel="2">
      <c r="A2339" t="s">
        <v>610</v>
      </c>
      <c r="B2339" t="s">
        <v>611</v>
      </c>
      <c r="C2339" t="s">
        <v>136</v>
      </c>
      <c r="D2339" t="s">
        <v>137</v>
      </c>
      <c r="E2339" s="4">
        <v>-185641.49</v>
      </c>
      <c r="F2339" s="4">
        <v>-153998.42000000001</v>
      </c>
      <c r="G2339" s="4">
        <v>-119028.87</v>
      </c>
      <c r="H2339" s="4">
        <v>-160309.35</v>
      </c>
      <c r="I2339" s="4">
        <v>-142237.73000000001</v>
      </c>
      <c r="J2339" s="4">
        <v>-161218.43</v>
      </c>
      <c r="K2339" s="4">
        <v>-132244.74</v>
      </c>
      <c r="L2339" s="4">
        <v>-144598.96</v>
      </c>
      <c r="M2339" s="4">
        <v>-154395.18</v>
      </c>
      <c r="N2339" s="4">
        <v>-156946.63</v>
      </c>
      <c r="O2339" s="4">
        <v>-129747.03</v>
      </c>
      <c r="P2339" s="4">
        <v>-195145.9</v>
      </c>
      <c r="Q2339" s="4">
        <v>-172811.82</v>
      </c>
      <c r="S2339" s="8">
        <f t="shared" si="108"/>
        <v>-158940.92000000001</v>
      </c>
      <c r="T2339" s="8">
        <f t="shared" si="109"/>
        <v>158940.92000000001</v>
      </c>
      <c r="U2339" s="9">
        <f t="shared" si="110"/>
        <v>-1</v>
      </c>
    </row>
    <row r="2340" spans="1:21" outlineLevel="2">
      <c r="A2340" t="s">
        <v>610</v>
      </c>
      <c r="B2340" t="s">
        <v>611</v>
      </c>
      <c r="C2340" t="s">
        <v>138</v>
      </c>
      <c r="D2340" t="s">
        <v>139</v>
      </c>
      <c r="E2340" s="4">
        <v>-107684.8</v>
      </c>
      <c r="F2340" s="4">
        <v>-84328.84</v>
      </c>
      <c r="G2340" s="4">
        <v>-83020.420000000013</v>
      </c>
      <c r="H2340" s="4">
        <v>-92848.99</v>
      </c>
      <c r="I2340" s="4">
        <v>-89270.7</v>
      </c>
      <c r="J2340" s="4">
        <v>-117847.85</v>
      </c>
      <c r="K2340" s="4">
        <v>-89212.81</v>
      </c>
      <c r="L2340" s="4">
        <v>-82985.039999999994</v>
      </c>
      <c r="M2340" s="4">
        <v>-83008.94</v>
      </c>
      <c r="N2340" s="4">
        <v>-87941.37</v>
      </c>
      <c r="O2340" s="4">
        <v>-67975.16</v>
      </c>
      <c r="P2340" s="4">
        <v>-105129.09</v>
      </c>
      <c r="Q2340" s="4">
        <v>-107714.36</v>
      </c>
      <c r="S2340" s="8">
        <f t="shared" si="108"/>
        <v>-89125.659999999989</v>
      </c>
      <c r="T2340" s="8">
        <f t="shared" si="109"/>
        <v>89125.659999999989</v>
      </c>
      <c r="U2340" s="9">
        <f t="shared" si="110"/>
        <v>-1</v>
      </c>
    </row>
    <row r="2341" spans="1:21" outlineLevel="2">
      <c r="A2341" t="s">
        <v>610</v>
      </c>
      <c r="B2341" t="s">
        <v>611</v>
      </c>
      <c r="C2341" t="s">
        <v>29</v>
      </c>
      <c r="D2341" t="s">
        <v>30</v>
      </c>
      <c r="E2341" s="4">
        <v>-5484.66</v>
      </c>
      <c r="F2341" s="4">
        <v>-4746.54</v>
      </c>
      <c r="G2341" s="4">
        <v>-5502.2</v>
      </c>
      <c r="H2341" s="4">
        <v>-3741.12</v>
      </c>
      <c r="I2341" s="4">
        <v>-5094.8</v>
      </c>
      <c r="J2341" s="4">
        <v>-4278.1099999999997</v>
      </c>
      <c r="K2341" s="4">
        <v>-3110.19</v>
      </c>
      <c r="L2341" s="4">
        <v>-2587.98</v>
      </c>
      <c r="M2341" s="4">
        <v>-2020.4</v>
      </c>
      <c r="N2341" s="4">
        <v>-2113.5300000000002</v>
      </c>
      <c r="O2341" s="4">
        <v>-2301.79</v>
      </c>
      <c r="P2341" s="4">
        <v>-1377.52</v>
      </c>
      <c r="Q2341" s="4">
        <v>-2431.0500000000002</v>
      </c>
      <c r="S2341" s="8">
        <f t="shared" si="108"/>
        <v>-2138.7116666666666</v>
      </c>
      <c r="T2341" s="8">
        <f t="shared" si="109"/>
        <v>2138.7116666666666</v>
      </c>
      <c r="U2341" s="9">
        <f t="shared" si="110"/>
        <v>-1</v>
      </c>
    </row>
    <row r="2342" spans="1:21" outlineLevel="2">
      <c r="A2342" t="s">
        <v>610</v>
      </c>
      <c r="B2342" t="s">
        <v>611</v>
      </c>
      <c r="C2342" t="s">
        <v>142</v>
      </c>
      <c r="D2342" t="s">
        <v>143</v>
      </c>
      <c r="E2342" s="4">
        <v>0</v>
      </c>
      <c r="F2342" s="4">
        <v>0</v>
      </c>
      <c r="G2342" s="4">
        <v>0</v>
      </c>
      <c r="H2342" s="4">
        <v>0</v>
      </c>
      <c r="I2342" s="4">
        <v>0</v>
      </c>
      <c r="J2342" s="4">
        <v>0</v>
      </c>
      <c r="K2342" s="4">
        <v>0</v>
      </c>
      <c r="L2342" s="4">
        <v>-2000</v>
      </c>
      <c r="M2342" s="4">
        <v>-2000</v>
      </c>
      <c r="N2342" s="4">
        <v>-3000</v>
      </c>
      <c r="O2342" s="4">
        <v>0</v>
      </c>
      <c r="P2342" s="4">
        <v>0</v>
      </c>
      <c r="Q2342" s="4">
        <v>-5750</v>
      </c>
      <c r="S2342" s="8">
        <f t="shared" si="108"/>
        <v>-2125</v>
      </c>
      <c r="T2342" s="8">
        <f t="shared" si="109"/>
        <v>2125</v>
      </c>
      <c r="U2342" s="9">
        <f t="shared" si="110"/>
        <v>-1</v>
      </c>
    </row>
    <row r="2343" spans="1:21" outlineLevel="2">
      <c r="A2343" t="s">
        <v>610</v>
      </c>
      <c r="B2343" t="s">
        <v>611</v>
      </c>
      <c r="C2343" t="s">
        <v>144</v>
      </c>
      <c r="D2343" t="s">
        <v>145</v>
      </c>
      <c r="E2343" s="4">
        <v>23714.39</v>
      </c>
      <c r="F2343" s="4">
        <v>11328.05</v>
      </c>
      <c r="G2343" s="4">
        <v>9808.5500000000011</v>
      </c>
      <c r="H2343" s="4">
        <v>8408.65</v>
      </c>
      <c r="I2343" s="4">
        <v>7424.68</v>
      </c>
      <c r="J2343" s="4">
        <v>10163.879999999999</v>
      </c>
      <c r="K2343" s="4">
        <v>8958.0700000000015</v>
      </c>
      <c r="L2343" s="4">
        <v>11939.5</v>
      </c>
      <c r="M2343" s="4">
        <v>8656.16</v>
      </c>
      <c r="N2343" s="4">
        <v>7463.04</v>
      </c>
      <c r="O2343" s="4">
        <v>8848.2099999999991</v>
      </c>
      <c r="P2343" s="4">
        <v>7614.77</v>
      </c>
      <c r="Q2343" s="4">
        <v>20454.650000000001</v>
      </c>
      <c r="S2343" s="8">
        <f t="shared" si="108"/>
        <v>10829.388333333334</v>
      </c>
      <c r="T2343" s="8">
        <f t="shared" si="109"/>
        <v>-10829.388333333334</v>
      </c>
      <c r="U2343" s="9">
        <f t="shared" si="110"/>
        <v>-1</v>
      </c>
    </row>
    <row r="2344" spans="1:21" outlineLevel="2">
      <c r="A2344" t="s">
        <v>610</v>
      </c>
      <c r="B2344" t="s">
        <v>611</v>
      </c>
      <c r="C2344" t="s">
        <v>146</v>
      </c>
      <c r="D2344" t="s">
        <v>147</v>
      </c>
      <c r="E2344" s="4">
        <v>-24767.56</v>
      </c>
      <c r="F2344" s="4">
        <v>-20087.25</v>
      </c>
      <c r="G2344" s="4">
        <v>-22863.75</v>
      </c>
      <c r="H2344" s="4">
        <v>-20745.599999999999</v>
      </c>
      <c r="I2344" s="4">
        <v>-18610.38</v>
      </c>
      <c r="J2344" s="4">
        <v>-24580.55</v>
      </c>
      <c r="K2344" s="4">
        <v>-17679.93</v>
      </c>
      <c r="L2344" s="4">
        <v>-18223.61</v>
      </c>
      <c r="M2344" s="4">
        <v>-20499.41</v>
      </c>
      <c r="N2344" s="4">
        <v>-19649.599999999999</v>
      </c>
      <c r="O2344" s="4">
        <v>-16028.82</v>
      </c>
      <c r="P2344" s="4">
        <v>-25391.7</v>
      </c>
      <c r="Q2344" s="4">
        <v>-24380.86</v>
      </c>
      <c r="S2344" s="8">
        <f t="shared" si="108"/>
        <v>-20695.666666666668</v>
      </c>
      <c r="T2344" s="8">
        <f t="shared" si="109"/>
        <v>20695.666666666668</v>
      </c>
      <c r="U2344" s="9">
        <f t="shared" si="110"/>
        <v>-1</v>
      </c>
    </row>
    <row r="2345" spans="1:21" outlineLevel="2">
      <c r="A2345" t="s">
        <v>610</v>
      </c>
      <c r="B2345" t="s">
        <v>611</v>
      </c>
      <c r="C2345" t="s">
        <v>148</v>
      </c>
      <c r="D2345" t="s">
        <v>149</v>
      </c>
      <c r="E2345" s="4">
        <v>-12813.44</v>
      </c>
      <c r="F2345" s="4">
        <v>-6296.48</v>
      </c>
      <c r="G2345" s="4">
        <v>0</v>
      </c>
      <c r="H2345" s="4">
        <v>0</v>
      </c>
      <c r="I2345" s="4">
        <v>0</v>
      </c>
      <c r="J2345" s="4">
        <v>0</v>
      </c>
      <c r="K2345" s="4">
        <v>0</v>
      </c>
      <c r="L2345" s="4">
        <v>0</v>
      </c>
      <c r="M2345" s="4">
        <v>0</v>
      </c>
      <c r="N2345" s="4">
        <v>0</v>
      </c>
      <c r="O2345" s="4">
        <v>0</v>
      </c>
      <c r="P2345" s="4">
        <v>0</v>
      </c>
      <c r="Q2345" s="4">
        <v>-28855.81</v>
      </c>
      <c r="S2345" s="8">
        <f t="shared" si="108"/>
        <v>-4809.3016666666672</v>
      </c>
      <c r="T2345" s="8">
        <f t="shared" si="109"/>
        <v>4809.3016666666672</v>
      </c>
      <c r="U2345" s="9">
        <f t="shared" si="110"/>
        <v>-1</v>
      </c>
    </row>
    <row r="2346" spans="1:21" outlineLevel="2">
      <c r="A2346" t="s">
        <v>610</v>
      </c>
      <c r="B2346" t="s">
        <v>611</v>
      </c>
      <c r="C2346" t="s">
        <v>150</v>
      </c>
      <c r="D2346" t="s">
        <v>151</v>
      </c>
      <c r="E2346" s="4">
        <v>0</v>
      </c>
      <c r="F2346" s="4">
        <v>0</v>
      </c>
      <c r="G2346" s="4">
        <v>0</v>
      </c>
      <c r="H2346" s="4">
        <v>0</v>
      </c>
      <c r="I2346" s="4">
        <v>0</v>
      </c>
      <c r="J2346" s="4">
        <v>0</v>
      </c>
      <c r="K2346" s="4">
        <v>0</v>
      </c>
      <c r="L2346" s="4">
        <v>0</v>
      </c>
      <c r="M2346" s="4">
        <v>0</v>
      </c>
      <c r="N2346" s="4">
        <v>0</v>
      </c>
      <c r="O2346" s="4">
        <v>0</v>
      </c>
      <c r="P2346" s="4">
        <v>0</v>
      </c>
      <c r="Q2346" s="4">
        <v>0</v>
      </c>
      <c r="S2346" s="8">
        <f t="shared" si="108"/>
        <v>0</v>
      </c>
      <c r="T2346" s="8">
        <f t="shared" si="109"/>
        <v>0</v>
      </c>
      <c r="U2346" s="9" t="e">
        <f t="shared" si="110"/>
        <v>#DIV/0!</v>
      </c>
    </row>
    <row r="2347" spans="1:21" outlineLevel="2">
      <c r="A2347" t="s">
        <v>610</v>
      </c>
      <c r="B2347" t="s">
        <v>611</v>
      </c>
      <c r="C2347" t="s">
        <v>152</v>
      </c>
      <c r="D2347" t="s">
        <v>153</v>
      </c>
      <c r="E2347" s="4">
        <v>-21585.88</v>
      </c>
      <c r="F2347" s="4">
        <v>-17567.48</v>
      </c>
      <c r="G2347" s="4">
        <v>-19859.63</v>
      </c>
      <c r="H2347" s="4">
        <v>-18686.71</v>
      </c>
      <c r="I2347" s="4">
        <v>-17162.36</v>
      </c>
      <c r="J2347" s="4">
        <v>-22965.57</v>
      </c>
      <c r="K2347" s="4">
        <v>-16451.04</v>
      </c>
      <c r="L2347" s="4">
        <v>-16551.259999999998</v>
      </c>
      <c r="M2347" s="4">
        <v>-18500.849999999999</v>
      </c>
      <c r="N2347" s="4">
        <v>-17743.43</v>
      </c>
      <c r="O2347" s="4">
        <v>-14407.56</v>
      </c>
      <c r="P2347" s="4">
        <v>-25970.21</v>
      </c>
      <c r="Q2347" s="4">
        <v>-20472.509999999998</v>
      </c>
      <c r="S2347" s="8">
        <f t="shared" si="108"/>
        <v>-18940.969999999998</v>
      </c>
      <c r="T2347" s="8">
        <f t="shared" si="109"/>
        <v>18940.969999999998</v>
      </c>
      <c r="U2347" s="9">
        <f t="shared" si="110"/>
        <v>-1</v>
      </c>
    </row>
    <row r="2348" spans="1:21" outlineLevel="2">
      <c r="A2348" t="s">
        <v>610</v>
      </c>
      <c r="B2348" t="s">
        <v>611</v>
      </c>
      <c r="C2348" t="s">
        <v>154</v>
      </c>
      <c r="D2348" t="s">
        <v>155</v>
      </c>
      <c r="E2348" s="4">
        <v>-6166.02</v>
      </c>
      <c r="F2348" s="4">
        <v>-190.83</v>
      </c>
      <c r="G2348" s="4">
        <v>0</v>
      </c>
      <c r="H2348" s="4">
        <v>-46.14</v>
      </c>
      <c r="I2348" s="4">
        <v>1248.94</v>
      </c>
      <c r="J2348" s="4">
        <v>-160.94</v>
      </c>
      <c r="K2348" s="4">
        <v>-67.44</v>
      </c>
      <c r="L2348" s="4">
        <v>-168.88</v>
      </c>
      <c r="M2348" s="4">
        <v>-76.12</v>
      </c>
      <c r="N2348" s="4">
        <v>-51.51</v>
      </c>
      <c r="O2348" s="4">
        <v>-80.47</v>
      </c>
      <c r="P2348" s="4">
        <v>-243.53</v>
      </c>
      <c r="Q2348" s="4">
        <v>-4106.59</v>
      </c>
      <c r="S2348" s="8">
        <f t="shared" si="108"/>
        <v>-787.85</v>
      </c>
      <c r="T2348" s="8">
        <f t="shared" si="109"/>
        <v>787.85</v>
      </c>
      <c r="U2348" s="9">
        <f t="shared" si="110"/>
        <v>-1</v>
      </c>
    </row>
    <row r="2349" spans="1:21" outlineLevel="2">
      <c r="A2349" t="s">
        <v>610</v>
      </c>
      <c r="B2349" t="s">
        <v>611</v>
      </c>
      <c r="C2349" t="s">
        <v>212</v>
      </c>
      <c r="D2349" t="s">
        <v>213</v>
      </c>
      <c r="E2349" s="4">
        <v>0</v>
      </c>
      <c r="F2349" s="4">
        <v>0</v>
      </c>
      <c r="G2349" s="4">
        <v>0</v>
      </c>
      <c r="H2349" s="4">
        <v>0</v>
      </c>
      <c r="I2349" s="4">
        <v>0</v>
      </c>
      <c r="J2349" s="4">
        <v>0</v>
      </c>
      <c r="K2349" s="4">
        <v>0</v>
      </c>
      <c r="L2349" s="4">
        <v>-3</v>
      </c>
      <c r="M2349" s="4">
        <v>0</v>
      </c>
      <c r="N2349" s="4">
        <v>0</v>
      </c>
      <c r="O2349" s="4">
        <v>0</v>
      </c>
      <c r="P2349" s="4">
        <v>0</v>
      </c>
      <c r="Q2349" s="4">
        <v>0</v>
      </c>
      <c r="S2349" s="8">
        <f t="shared" si="108"/>
        <v>-0.5</v>
      </c>
      <c r="T2349" s="8">
        <f t="shared" si="109"/>
        <v>0.5</v>
      </c>
      <c r="U2349" s="9">
        <f t="shared" si="110"/>
        <v>-1</v>
      </c>
    </row>
    <row r="2350" spans="1:21" outlineLevel="2">
      <c r="A2350" t="s">
        <v>610</v>
      </c>
      <c r="B2350" t="s">
        <v>611</v>
      </c>
      <c r="C2350" t="s">
        <v>35</v>
      </c>
      <c r="D2350" t="s">
        <v>36</v>
      </c>
      <c r="E2350" s="4">
        <v>0</v>
      </c>
      <c r="F2350" s="4">
        <v>0</v>
      </c>
      <c r="G2350" s="4">
        <v>0</v>
      </c>
      <c r="H2350" s="4">
        <v>0</v>
      </c>
      <c r="I2350" s="4">
        <v>0</v>
      </c>
      <c r="J2350" s="4">
        <v>0</v>
      </c>
      <c r="K2350" s="4">
        <v>0</v>
      </c>
      <c r="L2350" s="4">
        <v>0</v>
      </c>
      <c r="M2350" s="4">
        <v>0</v>
      </c>
      <c r="N2350" s="4">
        <v>0</v>
      </c>
      <c r="O2350" s="4">
        <v>0</v>
      </c>
      <c r="P2350" s="4">
        <v>-796.95</v>
      </c>
      <c r="Q2350" s="4">
        <v>0</v>
      </c>
      <c r="S2350" s="8">
        <f t="shared" si="108"/>
        <v>-132.82500000000002</v>
      </c>
      <c r="T2350" s="8">
        <f t="shared" si="109"/>
        <v>132.82500000000002</v>
      </c>
      <c r="U2350" s="9">
        <f t="shared" si="110"/>
        <v>-1</v>
      </c>
    </row>
    <row r="2351" spans="1:21" outlineLevel="2">
      <c r="A2351" t="s">
        <v>610</v>
      </c>
      <c r="B2351" t="s">
        <v>611</v>
      </c>
      <c r="C2351" t="s">
        <v>37</v>
      </c>
      <c r="D2351" t="s">
        <v>38</v>
      </c>
      <c r="E2351" s="4">
        <v>-1566.22</v>
      </c>
      <c r="F2351" s="4">
        <v>-6117.42</v>
      </c>
      <c r="G2351" s="4">
        <v>-5675.25</v>
      </c>
      <c r="H2351" s="4">
        <v>-4533.5200000000004</v>
      </c>
      <c r="I2351" s="4">
        <v>-279.29000000000002</v>
      </c>
      <c r="J2351" s="4">
        <v>-1970.15</v>
      </c>
      <c r="K2351" s="4">
        <v>-142.88999999999999</v>
      </c>
      <c r="L2351" s="4">
        <v>-4166.54</v>
      </c>
      <c r="M2351" s="4">
        <v>-2465.94</v>
      </c>
      <c r="N2351" s="4">
        <v>0</v>
      </c>
      <c r="O2351" s="4">
        <v>0</v>
      </c>
      <c r="P2351" s="4">
        <v>0</v>
      </c>
      <c r="Q2351" s="4">
        <v>0</v>
      </c>
      <c r="S2351" s="8">
        <f t="shared" si="108"/>
        <v>-1105.4133333333332</v>
      </c>
      <c r="T2351" s="8">
        <f t="shared" si="109"/>
        <v>1105.4133333333332</v>
      </c>
      <c r="U2351" s="9">
        <f t="shared" si="110"/>
        <v>-1</v>
      </c>
    </row>
    <row r="2352" spans="1:21" outlineLevel="2">
      <c r="A2352" t="s">
        <v>610</v>
      </c>
      <c r="B2352" t="s">
        <v>611</v>
      </c>
      <c r="C2352" t="s">
        <v>180</v>
      </c>
      <c r="D2352" t="s">
        <v>181</v>
      </c>
      <c r="E2352" s="4">
        <v>-332.6</v>
      </c>
      <c r="F2352" s="4">
        <v>-280.92</v>
      </c>
      <c r="G2352" s="4">
        <v>-579.18000000000006</v>
      </c>
      <c r="H2352" s="4">
        <v>-2400.19</v>
      </c>
      <c r="I2352" s="4">
        <v>-1259.67</v>
      </c>
      <c r="J2352" s="4">
        <v>-461.32</v>
      </c>
      <c r="K2352" s="4">
        <v>-713.36</v>
      </c>
      <c r="L2352" s="4">
        <v>-3886.18</v>
      </c>
      <c r="M2352" s="4">
        <v>-582.16</v>
      </c>
      <c r="N2352" s="4">
        <v>-1888.95</v>
      </c>
      <c r="O2352" s="4">
        <v>-3616.13</v>
      </c>
      <c r="P2352" s="4">
        <v>-7229.17</v>
      </c>
      <c r="Q2352" s="4">
        <v>-4181.3599999999997</v>
      </c>
      <c r="S2352" s="8">
        <f t="shared" si="108"/>
        <v>-3563.9916666666668</v>
      </c>
      <c r="T2352" s="8">
        <f t="shared" si="109"/>
        <v>3563.9916666666668</v>
      </c>
      <c r="U2352" s="9">
        <f t="shared" si="110"/>
        <v>-1</v>
      </c>
    </row>
    <row r="2353" spans="1:21" outlineLevel="2">
      <c r="A2353" t="s">
        <v>610</v>
      </c>
      <c r="B2353" t="s">
        <v>611</v>
      </c>
      <c r="C2353" t="s">
        <v>160</v>
      </c>
      <c r="D2353" t="s">
        <v>161</v>
      </c>
      <c r="E2353" s="4">
        <v>0</v>
      </c>
      <c r="F2353" s="4">
        <v>0</v>
      </c>
      <c r="G2353" s="4">
        <v>0</v>
      </c>
      <c r="H2353" s="4">
        <v>0</v>
      </c>
      <c r="I2353" s="4">
        <v>0</v>
      </c>
      <c r="J2353" s="4">
        <v>0</v>
      </c>
      <c r="K2353" s="4">
        <v>0</v>
      </c>
      <c r="L2353" s="4">
        <v>0</v>
      </c>
      <c r="M2353" s="4">
        <v>-2664.43</v>
      </c>
      <c r="N2353" s="4">
        <v>0</v>
      </c>
      <c r="O2353" s="4">
        <v>0</v>
      </c>
      <c r="P2353" s="4">
        <v>-593.42999999999995</v>
      </c>
      <c r="Q2353" s="4">
        <v>0</v>
      </c>
      <c r="S2353" s="8">
        <f t="shared" si="108"/>
        <v>-542.97666666666657</v>
      </c>
      <c r="T2353" s="8">
        <f t="shared" si="109"/>
        <v>542.97666666666657</v>
      </c>
      <c r="U2353" s="9">
        <f t="shared" si="110"/>
        <v>-1</v>
      </c>
    </row>
    <row r="2354" spans="1:21" outlineLevel="2">
      <c r="A2354" t="s">
        <v>610</v>
      </c>
      <c r="B2354" t="s">
        <v>611</v>
      </c>
      <c r="C2354" t="s">
        <v>43</v>
      </c>
      <c r="D2354" t="s">
        <v>44</v>
      </c>
      <c r="E2354" s="4">
        <v>0</v>
      </c>
      <c r="F2354" s="4">
        <v>0</v>
      </c>
      <c r="G2354" s="4">
        <v>0</v>
      </c>
      <c r="H2354" s="4">
        <v>0</v>
      </c>
      <c r="I2354" s="4">
        <v>0</v>
      </c>
      <c r="J2354" s="4">
        <v>0</v>
      </c>
      <c r="K2354" s="4">
        <v>0</v>
      </c>
      <c r="L2354" s="4">
        <v>0</v>
      </c>
      <c r="M2354" s="4">
        <v>0</v>
      </c>
      <c r="N2354" s="4">
        <v>-56.5</v>
      </c>
      <c r="O2354" s="4">
        <v>0</v>
      </c>
      <c r="P2354" s="4">
        <v>0</v>
      </c>
      <c r="Q2354" s="4">
        <v>-5.81</v>
      </c>
      <c r="S2354" s="8">
        <f t="shared" si="108"/>
        <v>-10.385</v>
      </c>
      <c r="T2354" s="8">
        <f t="shared" si="109"/>
        <v>10.385</v>
      </c>
      <c r="U2354" s="9">
        <f t="shared" si="110"/>
        <v>-1</v>
      </c>
    </row>
    <row r="2355" spans="1:21" outlineLevel="2">
      <c r="A2355" t="s">
        <v>610</v>
      </c>
      <c r="B2355" t="s">
        <v>611</v>
      </c>
      <c r="C2355" t="s">
        <v>230</v>
      </c>
      <c r="D2355" t="s">
        <v>231</v>
      </c>
      <c r="E2355" s="4">
        <v>-16497.54</v>
      </c>
      <c r="F2355" s="4">
        <v>-16634.62</v>
      </c>
      <c r="G2355" s="4">
        <v>-20793.27</v>
      </c>
      <c r="H2355" s="4">
        <v>-16856.41</v>
      </c>
      <c r="I2355" s="4">
        <v>-16856.41</v>
      </c>
      <c r="J2355" s="4">
        <v>-4564.9799999999996</v>
      </c>
      <c r="K2355" s="4">
        <v>-17352.650000000001</v>
      </c>
      <c r="L2355" s="4">
        <v>-23307.45</v>
      </c>
      <c r="M2355" s="4">
        <v>-17352.650000000001</v>
      </c>
      <c r="N2355" s="4">
        <v>-17352.650000000001</v>
      </c>
      <c r="O2355" s="4">
        <v>-17352.650000000001</v>
      </c>
      <c r="P2355" s="4">
        <v>-17352.650000000001</v>
      </c>
      <c r="Q2355" s="4">
        <v>-19912.189999999999</v>
      </c>
      <c r="S2355" s="8">
        <f t="shared" si="108"/>
        <v>-18771.706666666669</v>
      </c>
      <c r="T2355" s="8">
        <f t="shared" si="109"/>
        <v>18771.706666666669</v>
      </c>
      <c r="U2355" s="9">
        <f t="shared" si="110"/>
        <v>-1</v>
      </c>
    </row>
    <row r="2356" spans="1:21" outlineLevel="2">
      <c r="A2356" t="s">
        <v>610</v>
      </c>
      <c r="B2356" t="s">
        <v>611</v>
      </c>
      <c r="C2356" t="s">
        <v>47</v>
      </c>
      <c r="D2356" t="s">
        <v>48</v>
      </c>
      <c r="E2356" s="4">
        <v>-99.97</v>
      </c>
      <c r="F2356" s="4">
        <v>-101.09</v>
      </c>
      <c r="G2356" s="4">
        <v>-99.97</v>
      </c>
      <c r="H2356" s="4">
        <v>-99.97</v>
      </c>
      <c r="I2356" s="4">
        <v>-99.97</v>
      </c>
      <c r="J2356" s="4">
        <v>-99.96</v>
      </c>
      <c r="K2356" s="4">
        <v>-99.96</v>
      </c>
      <c r="L2356" s="4">
        <v>-99.97</v>
      </c>
      <c r="M2356" s="4">
        <v>-99.97</v>
      </c>
      <c r="N2356" s="4">
        <v>-99.96</v>
      </c>
      <c r="O2356" s="4">
        <v>-99.96</v>
      </c>
      <c r="P2356" s="4">
        <v>-99.970000000001164</v>
      </c>
      <c r="Q2356" s="4">
        <v>0</v>
      </c>
      <c r="S2356" s="8">
        <f t="shared" si="108"/>
        <v>-83.305000000000192</v>
      </c>
      <c r="T2356" s="8">
        <f t="shared" si="109"/>
        <v>83.305000000000192</v>
      </c>
      <c r="U2356" s="9">
        <f t="shared" si="110"/>
        <v>-1</v>
      </c>
    </row>
    <row r="2357" spans="1:21" outlineLevel="2">
      <c r="A2357" t="s">
        <v>610</v>
      </c>
      <c r="B2357" t="s">
        <v>611</v>
      </c>
      <c r="C2357" t="s">
        <v>49</v>
      </c>
      <c r="D2357" t="s">
        <v>50</v>
      </c>
      <c r="E2357" s="4">
        <v>0</v>
      </c>
      <c r="F2357" s="4">
        <v>11.03</v>
      </c>
      <c r="G2357" s="4">
        <v>0</v>
      </c>
      <c r="H2357" s="4">
        <v>-1805.14</v>
      </c>
      <c r="I2357" s="4">
        <v>-5.14</v>
      </c>
      <c r="J2357" s="4">
        <v>-5.14</v>
      </c>
      <c r="K2357" s="4">
        <v>-5.21</v>
      </c>
      <c r="L2357" s="4">
        <v>-5.14</v>
      </c>
      <c r="M2357" s="4">
        <v>0</v>
      </c>
      <c r="N2357" s="4">
        <v>-288709.46999999997</v>
      </c>
      <c r="O2357" s="4">
        <v>-5.16</v>
      </c>
      <c r="P2357" s="4">
        <v>75769.759999999995</v>
      </c>
      <c r="Q2357" s="4">
        <v>-5.16</v>
      </c>
      <c r="S2357" s="8">
        <f t="shared" si="108"/>
        <v>-35492.528333333328</v>
      </c>
      <c r="T2357" s="8">
        <f t="shared" si="109"/>
        <v>35492.528333333328</v>
      </c>
      <c r="U2357" s="9">
        <f t="shared" si="110"/>
        <v>-1</v>
      </c>
    </row>
    <row r="2358" spans="1:21" outlineLevel="2">
      <c r="A2358" t="s">
        <v>610</v>
      </c>
      <c r="B2358" t="s">
        <v>611</v>
      </c>
      <c r="C2358" t="s">
        <v>51</v>
      </c>
      <c r="D2358" t="s">
        <v>52</v>
      </c>
      <c r="E2358" s="4">
        <v>-124</v>
      </c>
      <c r="F2358" s="4">
        <v>-2801.13</v>
      </c>
      <c r="G2358" s="4">
        <v>-989.89</v>
      </c>
      <c r="H2358" s="4">
        <v>-400.16</v>
      </c>
      <c r="I2358" s="4">
        <v>-41.16</v>
      </c>
      <c r="J2358" s="4">
        <v>0</v>
      </c>
      <c r="K2358" s="4">
        <v>-598.6</v>
      </c>
      <c r="L2358" s="4">
        <v>0</v>
      </c>
      <c r="M2358" s="4">
        <v>-687.64</v>
      </c>
      <c r="N2358" s="4">
        <v>-18.3</v>
      </c>
      <c r="O2358" s="4">
        <v>-1454.63</v>
      </c>
      <c r="P2358" s="4">
        <v>-975.27</v>
      </c>
      <c r="Q2358" s="4">
        <v>-1892.02</v>
      </c>
      <c r="S2358" s="8">
        <f t="shared" si="108"/>
        <v>-837.9766666666668</v>
      </c>
      <c r="T2358" s="8">
        <f t="shared" si="109"/>
        <v>837.9766666666668</v>
      </c>
      <c r="U2358" s="9">
        <f t="shared" si="110"/>
        <v>-1</v>
      </c>
    </row>
    <row r="2359" spans="1:21" outlineLevel="2">
      <c r="A2359" t="s">
        <v>610</v>
      </c>
      <c r="B2359" t="s">
        <v>611</v>
      </c>
      <c r="C2359" t="s">
        <v>164</v>
      </c>
      <c r="D2359" t="s">
        <v>165</v>
      </c>
      <c r="E2359" s="4">
        <v>-257.25</v>
      </c>
      <c r="F2359" s="4">
        <v>-171.5</v>
      </c>
      <c r="G2359" s="4">
        <v>-176.75</v>
      </c>
      <c r="H2359" s="4">
        <v>-171.5</v>
      </c>
      <c r="I2359" s="4">
        <v>-171.5</v>
      </c>
      <c r="J2359" s="4">
        <v>-171.5</v>
      </c>
      <c r="K2359" s="4">
        <v>-171.5</v>
      </c>
      <c r="L2359" s="4">
        <v>-257.25</v>
      </c>
      <c r="M2359" s="4">
        <v>-171.5</v>
      </c>
      <c r="N2359" s="4">
        <v>-136.5</v>
      </c>
      <c r="O2359" s="4">
        <v>-101.5</v>
      </c>
      <c r="P2359" s="4">
        <v>-101.5</v>
      </c>
      <c r="Q2359" s="4">
        <v>-236.25</v>
      </c>
      <c r="S2359" s="8">
        <f t="shared" si="108"/>
        <v>-167.41666666666666</v>
      </c>
      <c r="T2359" s="8">
        <f t="shared" si="109"/>
        <v>167.41666666666666</v>
      </c>
      <c r="U2359" s="9">
        <f t="shared" si="110"/>
        <v>-1</v>
      </c>
    </row>
    <row r="2360" spans="1:21" outlineLevel="2">
      <c r="A2360" t="s">
        <v>610</v>
      </c>
      <c r="B2360" t="s">
        <v>611</v>
      </c>
      <c r="C2360" t="s">
        <v>53</v>
      </c>
      <c r="D2360" t="s">
        <v>54</v>
      </c>
      <c r="E2360" s="4">
        <v>0</v>
      </c>
      <c r="F2360" s="4">
        <v>0</v>
      </c>
      <c r="G2360" s="4">
        <v>0</v>
      </c>
      <c r="H2360" s="4">
        <v>0</v>
      </c>
      <c r="I2360" s="4">
        <v>0</v>
      </c>
      <c r="J2360" s="4">
        <v>0</v>
      </c>
      <c r="K2360" s="4">
        <v>0</v>
      </c>
      <c r="L2360" s="4">
        <v>0</v>
      </c>
      <c r="M2360" s="4">
        <v>0</v>
      </c>
      <c r="N2360" s="4">
        <v>0</v>
      </c>
      <c r="O2360" s="4">
        <v>0</v>
      </c>
      <c r="P2360" s="4">
        <v>0</v>
      </c>
      <c r="Q2360" s="4">
        <v>-1563.09</v>
      </c>
      <c r="S2360" s="8">
        <f t="shared" si="108"/>
        <v>-260.51499999999999</v>
      </c>
      <c r="T2360" s="8">
        <f t="shared" si="109"/>
        <v>260.51499999999999</v>
      </c>
      <c r="U2360" s="9">
        <f t="shared" si="110"/>
        <v>-1</v>
      </c>
    </row>
    <row r="2361" spans="1:21" outlineLevel="2">
      <c r="A2361" t="s">
        <v>610</v>
      </c>
      <c r="B2361" t="s">
        <v>611</v>
      </c>
      <c r="C2361" t="s">
        <v>55</v>
      </c>
      <c r="D2361" t="s">
        <v>56</v>
      </c>
      <c r="E2361" s="4">
        <v>0</v>
      </c>
      <c r="F2361" s="4">
        <v>0</v>
      </c>
      <c r="G2361" s="4">
        <v>0</v>
      </c>
      <c r="H2361" s="4">
        <v>0</v>
      </c>
      <c r="I2361" s="4">
        <v>0</v>
      </c>
      <c r="J2361" s="4">
        <v>0</v>
      </c>
      <c r="K2361" s="4">
        <v>0</v>
      </c>
      <c r="L2361" s="4">
        <v>0</v>
      </c>
      <c r="M2361" s="4">
        <v>0</v>
      </c>
      <c r="N2361" s="4">
        <v>-4.7699999999999996</v>
      </c>
      <c r="O2361" s="4">
        <v>-6.27</v>
      </c>
      <c r="P2361" s="4">
        <v>-2.73</v>
      </c>
      <c r="Q2361" s="4">
        <v>0</v>
      </c>
      <c r="S2361" s="8">
        <f t="shared" si="108"/>
        <v>-2.2949999999999999</v>
      </c>
      <c r="T2361" s="8">
        <f t="shared" si="109"/>
        <v>2.2949999999999999</v>
      </c>
      <c r="U2361" s="9">
        <f t="shared" si="110"/>
        <v>-1</v>
      </c>
    </row>
    <row r="2362" spans="1:21" outlineLevel="2">
      <c r="A2362" t="s">
        <v>610</v>
      </c>
      <c r="B2362" t="s">
        <v>611</v>
      </c>
      <c r="C2362" t="s">
        <v>59</v>
      </c>
      <c r="D2362" t="s">
        <v>60</v>
      </c>
      <c r="E2362" s="4">
        <v>-4752.6000000000004</v>
      </c>
      <c r="F2362" s="4">
        <v>-1408.89</v>
      </c>
      <c r="G2362" s="4">
        <v>-4049.04</v>
      </c>
      <c r="H2362" s="4">
        <v>-1117.07</v>
      </c>
      <c r="I2362" s="4">
        <v>-6923.6</v>
      </c>
      <c r="J2362" s="4">
        <v>-685.95</v>
      </c>
      <c r="K2362" s="4">
        <v>-1938.23</v>
      </c>
      <c r="L2362" s="4">
        <v>-392.52</v>
      </c>
      <c r="M2362" s="4">
        <v>-569.55999999999995</v>
      </c>
      <c r="N2362" s="4">
        <v>-3396.28</v>
      </c>
      <c r="O2362" s="4">
        <v>-148.34</v>
      </c>
      <c r="P2362" s="4">
        <v>-741.56</v>
      </c>
      <c r="Q2362" s="4">
        <v>-7404.01</v>
      </c>
      <c r="S2362" s="8">
        <f t="shared" si="108"/>
        <v>-2108.7116666666666</v>
      </c>
      <c r="T2362" s="8">
        <f t="shared" si="109"/>
        <v>2108.7116666666666</v>
      </c>
      <c r="U2362" s="9">
        <f t="shared" si="110"/>
        <v>-1</v>
      </c>
    </row>
    <row r="2363" spans="1:21" outlineLevel="2">
      <c r="A2363" t="s">
        <v>610</v>
      </c>
      <c r="B2363" t="s">
        <v>611</v>
      </c>
      <c r="C2363" t="s">
        <v>63</v>
      </c>
      <c r="D2363" t="s">
        <v>64</v>
      </c>
      <c r="E2363" s="4">
        <v>-39642.49</v>
      </c>
      <c r="F2363" s="4">
        <v>-27021.57</v>
      </c>
      <c r="G2363" s="4">
        <v>-47081.26</v>
      </c>
      <c r="H2363" s="4">
        <v>-71739.759999999995</v>
      </c>
      <c r="I2363" s="4">
        <v>-71814.2</v>
      </c>
      <c r="J2363" s="4">
        <v>-29707.74</v>
      </c>
      <c r="K2363" s="4">
        <v>-41183.160000000003</v>
      </c>
      <c r="L2363" s="4">
        <v>-20522.29</v>
      </c>
      <c r="M2363" s="4">
        <v>-57664.33</v>
      </c>
      <c r="N2363" s="4">
        <v>-65817.289999999994</v>
      </c>
      <c r="O2363" s="4">
        <v>-42811.78</v>
      </c>
      <c r="P2363" s="4">
        <v>-42735.67</v>
      </c>
      <c r="Q2363" s="4">
        <v>-38822.269999999997</v>
      </c>
      <c r="S2363" s="8">
        <f t="shared" si="108"/>
        <v>-44728.938333333332</v>
      </c>
      <c r="T2363" s="8">
        <f t="shared" si="109"/>
        <v>44728.938333333332</v>
      </c>
      <c r="U2363" s="9">
        <f t="shared" si="110"/>
        <v>-1</v>
      </c>
    </row>
    <row r="2364" spans="1:21" outlineLevel="2">
      <c r="A2364" t="s">
        <v>610</v>
      </c>
      <c r="B2364" t="s">
        <v>611</v>
      </c>
      <c r="C2364" t="s">
        <v>415</v>
      </c>
      <c r="D2364" t="s">
        <v>416</v>
      </c>
      <c r="E2364" s="4">
        <v>0</v>
      </c>
      <c r="F2364" s="4">
        <v>0</v>
      </c>
      <c r="G2364" s="4">
        <v>-8280.15</v>
      </c>
      <c r="H2364" s="4">
        <v>0</v>
      </c>
      <c r="I2364" s="4">
        <v>0</v>
      </c>
      <c r="J2364" s="4">
        <v>0</v>
      </c>
      <c r="K2364" s="4">
        <v>0</v>
      </c>
      <c r="L2364" s="4">
        <v>0</v>
      </c>
      <c r="M2364" s="4">
        <v>0</v>
      </c>
      <c r="N2364" s="4">
        <v>0</v>
      </c>
      <c r="O2364" s="4">
        <v>0</v>
      </c>
      <c r="P2364" s="4">
        <v>0</v>
      </c>
      <c r="Q2364" s="4">
        <v>0</v>
      </c>
      <c r="S2364" s="8">
        <f t="shared" si="108"/>
        <v>0</v>
      </c>
      <c r="T2364" s="8">
        <f t="shared" si="109"/>
        <v>0</v>
      </c>
      <c r="U2364" s="9" t="e">
        <f t="shared" si="110"/>
        <v>#DIV/0!</v>
      </c>
    </row>
    <row r="2365" spans="1:21" outlineLevel="2">
      <c r="A2365" t="s">
        <v>610</v>
      </c>
      <c r="B2365" t="s">
        <v>611</v>
      </c>
      <c r="C2365" t="s">
        <v>65</v>
      </c>
      <c r="D2365" t="s">
        <v>66</v>
      </c>
      <c r="E2365" s="4">
        <v>0</v>
      </c>
      <c r="F2365" s="4">
        <v>-83.96</v>
      </c>
      <c r="G2365" s="4">
        <v>-5226.7</v>
      </c>
      <c r="H2365" s="4">
        <v>0</v>
      </c>
      <c r="I2365" s="4">
        <v>-259.79000000000002</v>
      </c>
      <c r="J2365" s="4">
        <v>0</v>
      </c>
      <c r="K2365" s="4">
        <v>-46.42</v>
      </c>
      <c r="L2365" s="4">
        <v>0</v>
      </c>
      <c r="M2365" s="4">
        <v>0</v>
      </c>
      <c r="N2365" s="4">
        <v>-5.67</v>
      </c>
      <c r="O2365" s="4">
        <v>0</v>
      </c>
      <c r="P2365" s="4">
        <v>-10.37</v>
      </c>
      <c r="Q2365" s="4">
        <v>-24013.62</v>
      </c>
      <c r="S2365" s="8">
        <f t="shared" si="108"/>
        <v>-4004.9433333333332</v>
      </c>
      <c r="T2365" s="8">
        <f t="shared" si="109"/>
        <v>4004.9433333333332</v>
      </c>
      <c r="U2365" s="9">
        <f t="shared" si="110"/>
        <v>-1</v>
      </c>
    </row>
    <row r="2366" spans="1:21" outlineLevel="2">
      <c r="A2366" t="s">
        <v>610</v>
      </c>
      <c r="B2366" t="s">
        <v>611</v>
      </c>
      <c r="C2366" t="s">
        <v>520</v>
      </c>
      <c r="D2366" t="s">
        <v>521</v>
      </c>
      <c r="E2366" s="4">
        <v>0</v>
      </c>
      <c r="F2366" s="4">
        <v>0</v>
      </c>
      <c r="G2366" s="4">
        <v>0</v>
      </c>
      <c r="H2366" s="4">
        <v>0</v>
      </c>
      <c r="I2366" s="4">
        <v>0</v>
      </c>
      <c r="J2366" s="4">
        <v>0</v>
      </c>
      <c r="K2366" s="4">
        <v>0</v>
      </c>
      <c r="L2366" s="4">
        <v>0</v>
      </c>
      <c r="M2366" s="4">
        <v>0</v>
      </c>
      <c r="N2366" s="4">
        <v>0</v>
      </c>
      <c r="O2366" s="4">
        <v>0</v>
      </c>
      <c r="P2366" s="4">
        <v>-1431.13</v>
      </c>
      <c r="Q2366" s="4">
        <v>0</v>
      </c>
      <c r="S2366" s="8">
        <f t="shared" si="108"/>
        <v>-238.52166666666668</v>
      </c>
      <c r="T2366" s="8">
        <f t="shared" si="109"/>
        <v>238.52166666666668</v>
      </c>
      <c r="U2366" s="9">
        <f t="shared" si="110"/>
        <v>-1</v>
      </c>
    </row>
    <row r="2367" spans="1:21" outlineLevel="2">
      <c r="A2367" t="s">
        <v>610</v>
      </c>
      <c r="B2367" t="s">
        <v>611</v>
      </c>
      <c r="C2367" t="s">
        <v>75</v>
      </c>
      <c r="D2367" t="s">
        <v>76</v>
      </c>
      <c r="E2367" s="4">
        <v>0</v>
      </c>
      <c r="F2367" s="4">
        <v>-11284.2</v>
      </c>
      <c r="G2367" s="4">
        <v>-11041.5</v>
      </c>
      <c r="H2367" s="4">
        <v>0</v>
      </c>
      <c r="I2367" s="4">
        <v>0</v>
      </c>
      <c r="J2367" s="4">
        <v>-11474.5</v>
      </c>
      <c r="K2367" s="4">
        <v>0</v>
      </c>
      <c r="L2367" s="4">
        <v>0</v>
      </c>
      <c r="M2367" s="4">
        <v>-468.42</v>
      </c>
      <c r="N2367" s="4">
        <v>0</v>
      </c>
      <c r="O2367" s="4">
        <v>0</v>
      </c>
      <c r="P2367" s="4">
        <v>0</v>
      </c>
      <c r="Q2367" s="4">
        <v>0</v>
      </c>
      <c r="S2367" s="8">
        <f t="shared" si="108"/>
        <v>-78.070000000000007</v>
      </c>
      <c r="T2367" s="8">
        <f t="shared" si="109"/>
        <v>78.070000000000007</v>
      </c>
      <c r="U2367" s="9">
        <f t="shared" si="110"/>
        <v>-1</v>
      </c>
    </row>
    <row r="2368" spans="1:21" outlineLevel="2">
      <c r="A2368" t="s">
        <v>610</v>
      </c>
      <c r="B2368" t="s">
        <v>611</v>
      </c>
      <c r="C2368" t="s">
        <v>83</v>
      </c>
      <c r="D2368" t="s">
        <v>84</v>
      </c>
      <c r="E2368" s="4">
        <v>-54.28</v>
      </c>
      <c r="F2368" s="4">
        <v>-97.37</v>
      </c>
      <c r="G2368" s="4">
        <v>0</v>
      </c>
      <c r="H2368" s="4">
        <v>-30.49</v>
      </c>
      <c r="I2368" s="4">
        <v>107.45</v>
      </c>
      <c r="J2368" s="4">
        <v>-363.9</v>
      </c>
      <c r="K2368" s="4">
        <v>0</v>
      </c>
      <c r="L2368" s="4">
        <v>0</v>
      </c>
      <c r="M2368" s="4">
        <v>0</v>
      </c>
      <c r="N2368" s="4">
        <v>-4.76</v>
      </c>
      <c r="O2368" s="4">
        <v>-437.57</v>
      </c>
      <c r="P2368" s="4">
        <v>-263.27999999999997</v>
      </c>
      <c r="Q2368" s="4">
        <v>-6.36</v>
      </c>
      <c r="S2368" s="8">
        <f t="shared" si="108"/>
        <v>-118.66166666666665</v>
      </c>
      <c r="T2368" s="8">
        <f t="shared" si="109"/>
        <v>118.66166666666665</v>
      </c>
      <c r="U2368" s="9">
        <f t="shared" si="110"/>
        <v>-1</v>
      </c>
    </row>
    <row r="2369" spans="1:21" outlineLevel="2">
      <c r="A2369" t="s">
        <v>610</v>
      </c>
      <c r="B2369" t="s">
        <v>611</v>
      </c>
      <c r="C2369" t="s">
        <v>310</v>
      </c>
      <c r="D2369" t="s">
        <v>311</v>
      </c>
      <c r="E2369" s="4">
        <v>0</v>
      </c>
      <c r="F2369" s="4">
        <v>0</v>
      </c>
      <c r="G2369" s="4">
        <v>0</v>
      </c>
      <c r="H2369" s="4">
        <v>0</v>
      </c>
      <c r="I2369" s="4">
        <v>-593.71</v>
      </c>
      <c r="J2369" s="4">
        <v>0</v>
      </c>
      <c r="K2369" s="4">
        <v>0</v>
      </c>
      <c r="L2369" s="4">
        <v>0</v>
      </c>
      <c r="M2369" s="4">
        <v>0</v>
      </c>
      <c r="N2369" s="4">
        <v>-2258.9699999999998</v>
      </c>
      <c r="O2369" s="4">
        <v>98.85</v>
      </c>
      <c r="P2369" s="4">
        <v>-482.3</v>
      </c>
      <c r="Q2369" s="4">
        <v>0</v>
      </c>
      <c r="S2369" s="8">
        <f t="shared" si="108"/>
        <v>-440.40333333333336</v>
      </c>
      <c r="T2369" s="8">
        <f t="shared" si="109"/>
        <v>440.40333333333336</v>
      </c>
      <c r="U2369" s="9">
        <f t="shared" si="110"/>
        <v>-1</v>
      </c>
    </row>
    <row r="2370" spans="1:21" outlineLevel="2">
      <c r="A2370" t="s">
        <v>610</v>
      </c>
      <c r="B2370" t="s">
        <v>611</v>
      </c>
      <c r="C2370" t="s">
        <v>87</v>
      </c>
      <c r="D2370" t="s">
        <v>88</v>
      </c>
      <c r="E2370" s="4">
        <v>-6.81</v>
      </c>
      <c r="F2370" s="4">
        <v>0</v>
      </c>
      <c r="G2370" s="4">
        <v>-17.57</v>
      </c>
      <c r="H2370" s="4">
        <v>-6.44</v>
      </c>
      <c r="I2370" s="4">
        <v>-6.3</v>
      </c>
      <c r="J2370" s="4">
        <v>0</v>
      </c>
      <c r="K2370" s="4">
        <v>-2.3199999999999998</v>
      </c>
      <c r="L2370" s="4">
        <v>0</v>
      </c>
      <c r="M2370" s="4">
        <v>0</v>
      </c>
      <c r="N2370" s="4">
        <v>-4.59</v>
      </c>
      <c r="O2370" s="4">
        <v>-114.9</v>
      </c>
      <c r="P2370" s="4">
        <v>0</v>
      </c>
      <c r="Q2370" s="4">
        <v>0</v>
      </c>
      <c r="S2370" s="8">
        <f t="shared" si="108"/>
        <v>-19.915000000000003</v>
      </c>
      <c r="T2370" s="8">
        <f t="shared" si="109"/>
        <v>19.915000000000003</v>
      </c>
      <c r="U2370" s="9">
        <f t="shared" si="110"/>
        <v>-1</v>
      </c>
    </row>
    <row r="2371" spans="1:21" outlineLevel="2">
      <c r="A2371" t="s">
        <v>610</v>
      </c>
      <c r="B2371" t="s">
        <v>611</v>
      </c>
      <c r="C2371" t="s">
        <v>182</v>
      </c>
      <c r="D2371" t="s">
        <v>183</v>
      </c>
      <c r="E2371" s="4">
        <v>0</v>
      </c>
      <c r="F2371" s="4">
        <v>0</v>
      </c>
      <c r="G2371" s="4">
        <v>0</v>
      </c>
      <c r="H2371" s="4">
        <v>0</v>
      </c>
      <c r="I2371" s="4">
        <v>0</v>
      </c>
      <c r="J2371" s="4">
        <v>0</v>
      </c>
      <c r="K2371" s="4">
        <v>0</v>
      </c>
      <c r="L2371" s="4">
        <v>0</v>
      </c>
      <c r="M2371" s="4">
        <v>0</v>
      </c>
      <c r="N2371" s="4">
        <v>-23.83</v>
      </c>
      <c r="O2371" s="4">
        <v>0</v>
      </c>
      <c r="P2371" s="4">
        <v>-63.47</v>
      </c>
      <c r="Q2371" s="4">
        <v>0</v>
      </c>
      <c r="S2371" s="8">
        <f t="shared" ref="S2371:S2434" si="111">AVERAGE(L2371:Q2371)</f>
        <v>-14.549999999999999</v>
      </c>
      <c r="T2371" s="8">
        <f t="shared" ref="T2371:T2434" si="112">R2371-S2371</f>
        <v>14.549999999999999</v>
      </c>
      <c r="U2371" s="9">
        <f t="shared" ref="U2371:U2434" si="113">(R2371-S2371)/S2371</f>
        <v>-1</v>
      </c>
    </row>
    <row r="2372" spans="1:21" outlineLevel="2">
      <c r="A2372" t="s">
        <v>610</v>
      </c>
      <c r="B2372" t="s">
        <v>611</v>
      </c>
      <c r="C2372" t="s">
        <v>93</v>
      </c>
      <c r="D2372" t="s">
        <v>94</v>
      </c>
      <c r="E2372" s="4">
        <v>-3119.34</v>
      </c>
      <c r="F2372" s="4">
        <v>-19793.990000000002</v>
      </c>
      <c r="G2372" s="4">
        <v>-5410.76</v>
      </c>
      <c r="H2372" s="4">
        <v>-5835.55</v>
      </c>
      <c r="I2372" s="4">
        <v>-5207.6499999999996</v>
      </c>
      <c r="J2372" s="4">
        <v>-27660.87</v>
      </c>
      <c r="K2372" s="4">
        <v>-13229.32</v>
      </c>
      <c r="L2372" s="4">
        <v>-5299.36</v>
      </c>
      <c r="M2372" s="4">
        <v>-2260.84</v>
      </c>
      <c r="N2372" s="4">
        <v>-9863.11</v>
      </c>
      <c r="O2372" s="4">
        <v>2800.73</v>
      </c>
      <c r="P2372" s="4">
        <v>0</v>
      </c>
      <c r="Q2372" s="4">
        <v>0</v>
      </c>
      <c r="S2372" s="8">
        <f t="shared" si="111"/>
        <v>-2437.0966666666668</v>
      </c>
      <c r="T2372" s="8">
        <f t="shared" si="112"/>
        <v>2437.0966666666668</v>
      </c>
      <c r="U2372" s="9">
        <f t="shared" si="113"/>
        <v>-1</v>
      </c>
    </row>
    <row r="2373" spans="1:21" outlineLevel="2">
      <c r="A2373" t="s">
        <v>610</v>
      </c>
      <c r="B2373" t="s">
        <v>611</v>
      </c>
      <c r="C2373" t="s">
        <v>97</v>
      </c>
      <c r="D2373" t="s">
        <v>98</v>
      </c>
      <c r="E2373" s="4">
        <v>0</v>
      </c>
      <c r="F2373" s="4">
        <v>0</v>
      </c>
      <c r="G2373" s="4">
        <v>0</v>
      </c>
      <c r="H2373" s="4">
        <v>0</v>
      </c>
      <c r="I2373" s="4">
        <v>0</v>
      </c>
      <c r="J2373" s="4">
        <v>0</v>
      </c>
      <c r="K2373" s="4">
        <v>0</v>
      </c>
      <c r="L2373" s="4">
        <v>0</v>
      </c>
      <c r="M2373" s="4">
        <v>0</v>
      </c>
      <c r="N2373" s="4">
        <v>0</v>
      </c>
      <c r="O2373" s="4">
        <v>0</v>
      </c>
      <c r="P2373" s="4">
        <v>0</v>
      </c>
      <c r="Q2373" s="4">
        <v>-890.73</v>
      </c>
      <c r="S2373" s="8">
        <f t="shared" si="111"/>
        <v>-148.45500000000001</v>
      </c>
      <c r="T2373" s="8">
        <f t="shared" si="112"/>
        <v>148.45500000000001</v>
      </c>
      <c r="U2373" s="9">
        <f t="shared" si="113"/>
        <v>-1</v>
      </c>
    </row>
    <row r="2374" spans="1:21" outlineLevel="2">
      <c r="A2374" t="s">
        <v>610</v>
      </c>
      <c r="B2374" t="s">
        <v>611</v>
      </c>
      <c r="C2374" t="s">
        <v>184</v>
      </c>
      <c r="D2374" t="s">
        <v>185</v>
      </c>
      <c r="E2374" s="4">
        <v>0</v>
      </c>
      <c r="F2374" s="4">
        <v>0</v>
      </c>
      <c r="G2374" s="4">
        <v>0</v>
      </c>
      <c r="H2374" s="4">
        <v>-38.97</v>
      </c>
      <c r="I2374" s="4">
        <v>0</v>
      </c>
      <c r="J2374" s="4">
        <v>0</v>
      </c>
      <c r="K2374" s="4">
        <v>0</v>
      </c>
      <c r="L2374" s="4">
        <v>0</v>
      </c>
      <c r="M2374" s="4">
        <v>0</v>
      </c>
      <c r="N2374" s="4">
        <v>0</v>
      </c>
      <c r="O2374" s="4">
        <v>0</v>
      </c>
      <c r="P2374" s="4">
        <v>0</v>
      </c>
      <c r="Q2374" s="4">
        <v>0</v>
      </c>
      <c r="S2374" s="8">
        <f t="shared" si="111"/>
        <v>0</v>
      </c>
      <c r="T2374" s="8">
        <f t="shared" si="112"/>
        <v>0</v>
      </c>
      <c r="U2374" s="9" t="e">
        <f t="shared" si="113"/>
        <v>#DIV/0!</v>
      </c>
    </row>
    <row r="2375" spans="1:21" outlineLevel="2">
      <c r="A2375" t="s">
        <v>610</v>
      </c>
      <c r="B2375" t="s">
        <v>611</v>
      </c>
      <c r="C2375" t="s">
        <v>101</v>
      </c>
      <c r="D2375" t="s">
        <v>102</v>
      </c>
      <c r="E2375" s="4">
        <v>-86.92</v>
      </c>
      <c r="F2375" s="4">
        <v>-46.23</v>
      </c>
      <c r="G2375" s="4">
        <v>-660.2</v>
      </c>
      <c r="H2375" s="4">
        <v>-79.11</v>
      </c>
      <c r="I2375" s="4">
        <v>-68.34</v>
      </c>
      <c r="J2375" s="4">
        <v>-15271.98</v>
      </c>
      <c r="K2375" s="4">
        <v>-5450.34</v>
      </c>
      <c r="L2375" s="4">
        <v>-3646.23</v>
      </c>
      <c r="M2375" s="4">
        <v>-1922.88</v>
      </c>
      <c r="N2375" s="4">
        <v>-2408.19</v>
      </c>
      <c r="O2375" s="4">
        <v>-1172.28</v>
      </c>
      <c r="P2375" s="4">
        <v>-3974.62</v>
      </c>
      <c r="Q2375" s="4">
        <v>-1800</v>
      </c>
      <c r="S2375" s="8">
        <f t="shared" si="111"/>
        <v>-2487.3666666666668</v>
      </c>
      <c r="T2375" s="8">
        <f t="shared" si="112"/>
        <v>2487.3666666666668</v>
      </c>
      <c r="U2375" s="9">
        <f t="shared" si="113"/>
        <v>-1</v>
      </c>
    </row>
    <row r="2376" spans="1:21" outlineLevel="2">
      <c r="A2376" t="s">
        <v>610</v>
      </c>
      <c r="B2376" t="s">
        <v>611</v>
      </c>
      <c r="C2376" t="s">
        <v>398</v>
      </c>
      <c r="D2376" t="s">
        <v>399</v>
      </c>
      <c r="E2376" s="4">
        <v>-1102.94</v>
      </c>
      <c r="F2376" s="4">
        <v>-101.3</v>
      </c>
      <c r="G2376" s="4">
        <v>-7393.12</v>
      </c>
      <c r="H2376" s="4">
        <v>0</v>
      </c>
      <c r="I2376" s="4">
        <v>0</v>
      </c>
      <c r="J2376" s="4">
        <v>0</v>
      </c>
      <c r="K2376" s="4">
        <v>0</v>
      </c>
      <c r="L2376" s="4">
        <v>0</v>
      </c>
      <c r="M2376" s="4">
        <v>0</v>
      </c>
      <c r="N2376" s="4">
        <v>0</v>
      </c>
      <c r="O2376" s="4">
        <v>0</v>
      </c>
      <c r="P2376" s="4">
        <v>0</v>
      </c>
      <c r="Q2376" s="4">
        <v>0</v>
      </c>
      <c r="S2376" s="8">
        <f t="shared" si="111"/>
        <v>0</v>
      </c>
      <c r="T2376" s="8">
        <f t="shared" si="112"/>
        <v>0</v>
      </c>
      <c r="U2376" s="9" t="e">
        <f t="shared" si="113"/>
        <v>#DIV/0!</v>
      </c>
    </row>
    <row r="2377" spans="1:21" outlineLevel="2">
      <c r="A2377" t="s">
        <v>610</v>
      </c>
      <c r="B2377" t="s">
        <v>611</v>
      </c>
      <c r="C2377" t="s">
        <v>198</v>
      </c>
      <c r="D2377" t="s">
        <v>199</v>
      </c>
      <c r="E2377" s="4">
        <v>0</v>
      </c>
      <c r="F2377" s="4">
        <v>0</v>
      </c>
      <c r="G2377" s="4">
        <v>0</v>
      </c>
      <c r="H2377" s="4">
        <v>0</v>
      </c>
      <c r="I2377" s="4">
        <v>0</v>
      </c>
      <c r="J2377" s="4">
        <v>-627.4</v>
      </c>
      <c r="K2377" s="4">
        <v>0</v>
      </c>
      <c r="L2377" s="4">
        <v>0</v>
      </c>
      <c r="M2377" s="4">
        <v>0</v>
      </c>
      <c r="N2377" s="4">
        <v>0</v>
      </c>
      <c r="O2377" s="4">
        <v>0</v>
      </c>
      <c r="P2377" s="4">
        <v>0</v>
      </c>
      <c r="Q2377" s="4">
        <v>0</v>
      </c>
      <c r="S2377" s="8">
        <f t="shared" si="111"/>
        <v>0</v>
      </c>
      <c r="T2377" s="8">
        <f t="shared" si="112"/>
        <v>0</v>
      </c>
      <c r="U2377" s="9" t="e">
        <f t="shared" si="113"/>
        <v>#DIV/0!</v>
      </c>
    </row>
    <row r="2378" spans="1:21" outlineLevel="2">
      <c r="A2378" t="s">
        <v>610</v>
      </c>
      <c r="B2378" t="s">
        <v>611</v>
      </c>
      <c r="C2378" t="s">
        <v>312</v>
      </c>
      <c r="D2378" t="s">
        <v>313</v>
      </c>
      <c r="E2378" s="4">
        <v>0</v>
      </c>
      <c r="F2378" s="4">
        <v>0</v>
      </c>
      <c r="G2378" s="4">
        <v>-15</v>
      </c>
      <c r="H2378" s="4">
        <v>-750.77</v>
      </c>
      <c r="I2378" s="4">
        <v>-319.94</v>
      </c>
      <c r="J2378" s="4">
        <v>-400</v>
      </c>
      <c r="K2378" s="4">
        <v>-1319.79</v>
      </c>
      <c r="L2378" s="4">
        <v>0</v>
      </c>
      <c r="M2378" s="4">
        <v>0</v>
      </c>
      <c r="N2378" s="4">
        <v>-200</v>
      </c>
      <c r="O2378" s="4">
        <v>0</v>
      </c>
      <c r="P2378" s="4">
        <v>0</v>
      </c>
      <c r="Q2378" s="4">
        <v>0</v>
      </c>
      <c r="S2378" s="8">
        <f t="shared" si="111"/>
        <v>-33.333333333333336</v>
      </c>
      <c r="T2378" s="8">
        <f t="shared" si="112"/>
        <v>33.333333333333336</v>
      </c>
      <c r="U2378" s="9">
        <f t="shared" si="113"/>
        <v>-1</v>
      </c>
    </row>
    <row r="2379" spans="1:21" outlineLevel="2">
      <c r="A2379" t="s">
        <v>610</v>
      </c>
      <c r="B2379" t="s">
        <v>611</v>
      </c>
      <c r="C2379" t="s">
        <v>111</v>
      </c>
      <c r="D2379" t="s">
        <v>112</v>
      </c>
      <c r="E2379" s="4">
        <v>0</v>
      </c>
      <c r="F2379" s="4">
        <v>27062.5</v>
      </c>
      <c r="G2379" s="4">
        <v>0</v>
      </c>
      <c r="H2379" s="4">
        <v>0</v>
      </c>
      <c r="I2379" s="4">
        <v>0</v>
      </c>
      <c r="J2379" s="4">
        <v>0</v>
      </c>
      <c r="K2379" s="4">
        <v>0</v>
      </c>
      <c r="L2379" s="4">
        <v>22.01</v>
      </c>
      <c r="M2379" s="4">
        <v>0</v>
      </c>
      <c r="N2379" s="4">
        <v>0</v>
      </c>
      <c r="O2379" s="4">
        <v>0</v>
      </c>
      <c r="P2379" s="4">
        <v>0</v>
      </c>
      <c r="Q2379" s="4">
        <v>0</v>
      </c>
      <c r="S2379" s="8">
        <f t="shared" si="111"/>
        <v>3.6683333333333334</v>
      </c>
      <c r="T2379" s="8">
        <f t="shared" si="112"/>
        <v>-3.6683333333333334</v>
      </c>
      <c r="U2379" s="9">
        <f t="shared" si="113"/>
        <v>-1</v>
      </c>
    </row>
    <row r="2380" spans="1:21" outlineLevel="2">
      <c r="A2380" t="s">
        <v>610</v>
      </c>
      <c r="B2380" t="s">
        <v>611</v>
      </c>
      <c r="C2380" t="s">
        <v>170</v>
      </c>
      <c r="D2380" t="s">
        <v>171</v>
      </c>
      <c r="E2380" s="4">
        <v>-303.75</v>
      </c>
      <c r="F2380" s="4">
        <v>-202.5</v>
      </c>
      <c r="G2380" s="4">
        <v>-202.5</v>
      </c>
      <c r="H2380" s="4">
        <v>-189</v>
      </c>
      <c r="I2380" s="4">
        <v>-175.5</v>
      </c>
      <c r="J2380" s="4">
        <v>-175.5</v>
      </c>
      <c r="K2380" s="4">
        <v>-135</v>
      </c>
      <c r="L2380" s="4">
        <v>-189</v>
      </c>
      <c r="M2380" s="4">
        <v>-121.5</v>
      </c>
      <c r="N2380" s="4">
        <v>-121.5</v>
      </c>
      <c r="O2380" s="4">
        <v>-121.5</v>
      </c>
      <c r="P2380" s="4">
        <v>-121.5</v>
      </c>
      <c r="Q2380" s="4">
        <v>-60.75</v>
      </c>
      <c r="S2380" s="8">
        <f t="shared" si="111"/>
        <v>-122.625</v>
      </c>
      <c r="T2380" s="8">
        <f t="shared" si="112"/>
        <v>122.625</v>
      </c>
      <c r="U2380" s="9">
        <f t="shared" si="113"/>
        <v>-1</v>
      </c>
    </row>
    <row r="2381" spans="1:21" outlineLevel="2">
      <c r="A2381" t="s">
        <v>610</v>
      </c>
      <c r="B2381" t="s">
        <v>611</v>
      </c>
      <c r="C2381" t="s">
        <v>127</v>
      </c>
      <c r="D2381" t="s">
        <v>120</v>
      </c>
      <c r="E2381" s="4">
        <v>-216.71</v>
      </c>
      <c r="F2381" s="4">
        <v>-248.44</v>
      </c>
      <c r="G2381" s="4">
        <v>0</v>
      </c>
      <c r="H2381" s="4">
        <v>-233.71</v>
      </c>
      <c r="I2381" s="4">
        <v>-22.88</v>
      </c>
      <c r="J2381" s="4">
        <v>-56.25</v>
      </c>
      <c r="K2381" s="4">
        <v>-14.45</v>
      </c>
      <c r="L2381" s="4">
        <v>-9.3000000000000007</v>
      </c>
      <c r="M2381" s="4">
        <v>-22.81</v>
      </c>
      <c r="N2381" s="4">
        <v>-141.57</v>
      </c>
      <c r="O2381" s="4">
        <v>-16.54</v>
      </c>
      <c r="P2381" s="4">
        <v>-73.25</v>
      </c>
      <c r="Q2381" s="4">
        <v>-83.86</v>
      </c>
      <c r="S2381" s="8">
        <f t="shared" si="111"/>
        <v>-57.888333333333343</v>
      </c>
      <c r="T2381" s="8">
        <f t="shared" si="112"/>
        <v>57.888333333333343</v>
      </c>
      <c r="U2381" s="9">
        <f t="shared" si="113"/>
        <v>-1</v>
      </c>
    </row>
    <row r="2382" spans="1:21" outlineLevel="2">
      <c r="A2382" t="s">
        <v>610</v>
      </c>
      <c r="B2382" t="s">
        <v>611</v>
      </c>
      <c r="C2382" t="s">
        <v>600</v>
      </c>
      <c r="D2382" t="s">
        <v>601</v>
      </c>
      <c r="E2382" s="4">
        <v>-410509.49</v>
      </c>
      <c r="F2382" s="4">
        <v>-335724.20999999996</v>
      </c>
      <c r="G2382" s="4">
        <v>-359219.08999999997</v>
      </c>
      <c r="H2382" s="4">
        <v>-404399.12</v>
      </c>
      <c r="I2382" s="4">
        <v>-369461.67</v>
      </c>
      <c r="J2382" s="4">
        <v>-417938.85</v>
      </c>
      <c r="K2382" s="4">
        <v>-332783.69</v>
      </c>
      <c r="L2382" s="4">
        <v>-319187.18</v>
      </c>
      <c r="M2382" s="4">
        <v>-361710.86</v>
      </c>
      <c r="N2382" s="4">
        <v>-673651.15</v>
      </c>
      <c r="O2382" s="4">
        <v>-287943.12000000005</v>
      </c>
      <c r="P2382" s="4">
        <v>-347168.3</v>
      </c>
      <c r="Q2382" s="4">
        <v>-451297.49</v>
      </c>
      <c r="S2382" s="8">
        <f t="shared" si="111"/>
        <v>-406826.35000000003</v>
      </c>
      <c r="T2382" s="8">
        <f t="shared" si="112"/>
        <v>406826.35000000003</v>
      </c>
      <c r="U2382" s="9">
        <f t="shared" si="113"/>
        <v>-1</v>
      </c>
    </row>
    <row r="2383" spans="1:21" outlineLevel="2">
      <c r="A2383" t="s">
        <v>610</v>
      </c>
      <c r="B2383" t="s">
        <v>611</v>
      </c>
      <c r="C2383" t="s">
        <v>190</v>
      </c>
      <c r="D2383" t="s">
        <v>191</v>
      </c>
      <c r="E2383" s="4">
        <v>0</v>
      </c>
      <c r="F2383" s="4">
        <v>0</v>
      </c>
      <c r="G2383" s="4">
        <v>0</v>
      </c>
      <c r="H2383" s="4">
        <v>0</v>
      </c>
      <c r="I2383" s="4">
        <v>0</v>
      </c>
      <c r="J2383" s="4">
        <v>0</v>
      </c>
      <c r="K2383" s="4">
        <v>0</v>
      </c>
      <c r="L2383" s="4">
        <v>-1010.81</v>
      </c>
      <c r="M2383" s="4">
        <v>0</v>
      </c>
      <c r="N2383" s="4">
        <v>0</v>
      </c>
      <c r="O2383" s="4">
        <v>0</v>
      </c>
      <c r="P2383" s="4">
        <v>0</v>
      </c>
      <c r="Q2383" s="4">
        <v>0</v>
      </c>
      <c r="S2383" s="8">
        <f t="shared" si="111"/>
        <v>-168.46833333333333</v>
      </c>
      <c r="T2383" s="8">
        <f t="shared" si="112"/>
        <v>168.46833333333333</v>
      </c>
      <c r="U2383" s="9">
        <f t="shared" si="113"/>
        <v>-1</v>
      </c>
    </row>
    <row r="2384" spans="1:21" outlineLevel="2">
      <c r="A2384" t="s">
        <v>610</v>
      </c>
      <c r="B2384" t="s">
        <v>611</v>
      </c>
      <c r="C2384" t="s">
        <v>238</v>
      </c>
      <c r="D2384" t="s">
        <v>239</v>
      </c>
      <c r="E2384" s="4">
        <v>0</v>
      </c>
      <c r="F2384" s="4">
        <v>-40</v>
      </c>
      <c r="G2384" s="4">
        <v>0</v>
      </c>
      <c r="H2384" s="4">
        <v>0</v>
      </c>
      <c r="I2384" s="4">
        <v>0</v>
      </c>
      <c r="J2384" s="4">
        <v>0</v>
      </c>
      <c r="K2384" s="4">
        <v>0</v>
      </c>
      <c r="L2384" s="4">
        <v>0</v>
      </c>
      <c r="M2384" s="4">
        <v>0</v>
      </c>
      <c r="N2384" s="4">
        <v>0</v>
      </c>
      <c r="O2384" s="4">
        <v>0</v>
      </c>
      <c r="P2384" s="4">
        <v>0</v>
      </c>
      <c r="Q2384" s="4">
        <v>0</v>
      </c>
      <c r="S2384" s="8">
        <f t="shared" si="111"/>
        <v>0</v>
      </c>
      <c r="T2384" s="8">
        <f t="shared" si="112"/>
        <v>0</v>
      </c>
      <c r="U2384" s="9" t="e">
        <f t="shared" si="113"/>
        <v>#DIV/0!</v>
      </c>
    </row>
    <row r="2385" spans="1:21" outlineLevel="2">
      <c r="A2385" t="s">
        <v>610</v>
      </c>
      <c r="B2385" t="s">
        <v>611</v>
      </c>
      <c r="C2385" t="s">
        <v>240</v>
      </c>
      <c r="D2385" t="s">
        <v>241</v>
      </c>
      <c r="E2385" s="4">
        <v>0</v>
      </c>
      <c r="F2385" s="4">
        <v>0</v>
      </c>
      <c r="G2385" s="4">
        <v>0</v>
      </c>
      <c r="H2385" s="4">
        <v>-9597.2800000000007</v>
      </c>
      <c r="I2385" s="4">
        <v>0</v>
      </c>
      <c r="J2385" s="4">
        <v>0</v>
      </c>
      <c r="K2385" s="4">
        <v>0</v>
      </c>
      <c r="L2385" s="4">
        <v>0</v>
      </c>
      <c r="M2385" s="4">
        <v>0</v>
      </c>
      <c r="N2385" s="4">
        <v>0</v>
      </c>
      <c r="O2385" s="4">
        <v>0</v>
      </c>
      <c r="P2385" s="4">
        <v>0</v>
      </c>
      <c r="Q2385" s="4">
        <v>0</v>
      </c>
      <c r="S2385" s="8">
        <f t="shared" si="111"/>
        <v>0</v>
      </c>
      <c r="T2385" s="8">
        <f t="shared" si="112"/>
        <v>0</v>
      </c>
      <c r="U2385" s="9" t="e">
        <f t="shared" si="113"/>
        <v>#DIV/0!</v>
      </c>
    </row>
    <row r="2386" spans="1:21" outlineLevel="2">
      <c r="A2386" t="s">
        <v>610</v>
      </c>
      <c r="B2386" t="s">
        <v>611</v>
      </c>
      <c r="C2386" t="s">
        <v>602</v>
      </c>
      <c r="D2386" t="s">
        <v>603</v>
      </c>
      <c r="E2386" s="4">
        <v>0</v>
      </c>
      <c r="F2386" s="4">
        <v>0</v>
      </c>
      <c r="G2386" s="4">
        <v>0</v>
      </c>
      <c r="H2386" s="4">
        <v>0</v>
      </c>
      <c r="I2386" s="4">
        <v>0</v>
      </c>
      <c r="J2386" s="4">
        <v>0</v>
      </c>
      <c r="K2386" s="4">
        <v>0</v>
      </c>
      <c r="L2386" s="4">
        <v>0</v>
      </c>
      <c r="M2386" s="4">
        <v>0</v>
      </c>
      <c r="N2386" s="4">
        <v>0</v>
      </c>
      <c r="O2386" s="4">
        <v>0</v>
      </c>
      <c r="P2386" s="4">
        <v>0</v>
      </c>
      <c r="Q2386" s="4">
        <v>-4164.25</v>
      </c>
      <c r="S2386" s="8">
        <f t="shared" si="111"/>
        <v>-694.04166666666663</v>
      </c>
      <c r="T2386" s="8">
        <f t="shared" si="112"/>
        <v>694.04166666666663</v>
      </c>
      <c r="U2386" s="9">
        <f t="shared" si="113"/>
        <v>-1</v>
      </c>
    </row>
    <row r="2387" spans="1:21" outlineLevel="1">
      <c r="A2387" s="1" t="s">
        <v>853</v>
      </c>
      <c r="E2387" s="4">
        <f>SUBTOTAL(9,E2334:E2386)</f>
        <v>-820560.17999999993</v>
      </c>
      <c r="F2387" s="4">
        <f>SUBTOTAL(9,F2334:F2386)</f>
        <v>-671448.41999999993</v>
      </c>
      <c r="G2387" s="4">
        <f>SUBTOTAL(9,G2334:G2386)</f>
        <v>-718438.18</v>
      </c>
      <c r="H2387" s="4">
        <f>SUBTOTAL(9,H2334:H2386)</f>
        <v>-808798.24</v>
      </c>
      <c r="I2387" s="4">
        <f>SUBTOTAL(9,I2334:I2386)</f>
        <v>-738923.33999999985</v>
      </c>
      <c r="J2387" s="4">
        <f>SUBTOTAL(9,J2334:J2386)</f>
        <v>-835877.70000000007</v>
      </c>
      <c r="K2387" s="4">
        <f>SUBTOTAL(9,K2334:K2386)</f>
        <v>-665567.38000000012</v>
      </c>
      <c r="L2387" s="4">
        <f>SUBTOTAL(9,L2334:L2386)</f>
        <v>-638374.3600000001</v>
      </c>
      <c r="M2387" s="4">
        <f>SUBTOTAL(9,M2334:M2386)</f>
        <v>-723421.72</v>
      </c>
      <c r="N2387" s="4">
        <f>SUBTOTAL(9,N2334:N2386)</f>
        <v>-1347302.3</v>
      </c>
      <c r="O2387" s="4">
        <f>SUBTOTAL(9,O2334:O2386)</f>
        <v>-575886.24000000022</v>
      </c>
      <c r="P2387" s="4">
        <f>SUBTOTAL(9,P2334:P2386)</f>
        <v>-694336.6</v>
      </c>
      <c r="Q2387" s="4">
        <f>SUBTOTAL(9,Q2334:Q2386)</f>
        <v>-902594.98</v>
      </c>
      <c r="R2387" s="4">
        <f>SUBTOTAL(9,R2334:R2386)</f>
        <v>0</v>
      </c>
      <c r="S2387" s="8">
        <f t="shared" si="111"/>
        <v>-813652.70000000007</v>
      </c>
      <c r="T2387" s="8">
        <f t="shared" si="112"/>
        <v>813652.70000000007</v>
      </c>
      <c r="U2387" s="9">
        <f t="shared" si="113"/>
        <v>-1</v>
      </c>
    </row>
    <row r="2388" spans="1:21" outlineLevel="2">
      <c r="A2388" t="s">
        <v>612</v>
      </c>
      <c r="B2388" t="s">
        <v>613</v>
      </c>
      <c r="C2388" t="s">
        <v>19</v>
      </c>
      <c r="D2388" t="s">
        <v>20</v>
      </c>
      <c r="E2388" s="4">
        <v>-54.34</v>
      </c>
      <c r="F2388" s="4">
        <v>0</v>
      </c>
      <c r="G2388" s="4">
        <v>0</v>
      </c>
      <c r="H2388" s="4">
        <v>0</v>
      </c>
      <c r="I2388" s="4">
        <v>0</v>
      </c>
      <c r="J2388" s="4">
        <v>0</v>
      </c>
      <c r="K2388" s="4">
        <v>0</v>
      </c>
      <c r="L2388" s="4">
        <v>0</v>
      </c>
      <c r="M2388" s="4">
        <v>0</v>
      </c>
      <c r="N2388" s="4">
        <v>156.88</v>
      </c>
      <c r="O2388" s="4">
        <v>0</v>
      </c>
      <c r="P2388" s="4">
        <v>0</v>
      </c>
      <c r="Q2388" s="4">
        <v>0</v>
      </c>
      <c r="S2388" s="8">
        <f t="shared" si="111"/>
        <v>26.146666666666665</v>
      </c>
      <c r="T2388" s="8">
        <f t="shared" si="112"/>
        <v>-26.146666666666665</v>
      </c>
      <c r="U2388" s="9">
        <f t="shared" si="113"/>
        <v>-1</v>
      </c>
    </row>
    <row r="2389" spans="1:21" outlineLevel="2">
      <c r="A2389" t="s">
        <v>612</v>
      </c>
      <c r="B2389" t="s">
        <v>613</v>
      </c>
      <c r="C2389" t="s">
        <v>21</v>
      </c>
      <c r="D2389" t="s">
        <v>22</v>
      </c>
      <c r="E2389" s="4">
        <v>299.62</v>
      </c>
      <c r="F2389" s="4">
        <v>325.58000000000004</v>
      </c>
      <c r="G2389" s="4">
        <v>1754.1599999999999</v>
      </c>
      <c r="H2389" s="4">
        <v>457.37</v>
      </c>
      <c r="I2389" s="4">
        <v>511.72</v>
      </c>
      <c r="J2389" s="4">
        <v>1173.03</v>
      </c>
      <c r="K2389" s="4">
        <v>1712.8400000000001</v>
      </c>
      <c r="L2389" s="4">
        <v>1084.8599999999999</v>
      </c>
      <c r="M2389" s="4">
        <v>2705.73</v>
      </c>
      <c r="N2389" s="4">
        <v>2191.8199999999997</v>
      </c>
      <c r="O2389" s="4">
        <v>3292.37</v>
      </c>
      <c r="P2389" s="4">
        <v>668.73</v>
      </c>
      <c r="Q2389" s="4">
        <v>603.98</v>
      </c>
      <c r="S2389" s="8">
        <f t="shared" si="111"/>
        <v>1757.9149999999997</v>
      </c>
      <c r="T2389" s="8">
        <f t="shared" si="112"/>
        <v>-1757.9149999999997</v>
      </c>
      <c r="U2389" s="9">
        <f t="shared" si="113"/>
        <v>-1</v>
      </c>
    </row>
    <row r="2390" spans="1:21" outlineLevel="2">
      <c r="A2390" t="s">
        <v>612</v>
      </c>
      <c r="B2390" t="s">
        <v>613</v>
      </c>
      <c r="C2390" t="s">
        <v>23</v>
      </c>
      <c r="D2390" t="s">
        <v>24</v>
      </c>
      <c r="E2390" s="4">
        <v>743.2</v>
      </c>
      <c r="F2390" s="4">
        <v>1436.0900000000001</v>
      </c>
      <c r="G2390" s="4">
        <v>1913.97</v>
      </c>
      <c r="H2390" s="4">
        <v>6828.75</v>
      </c>
      <c r="I2390" s="4">
        <v>1712.6599999999999</v>
      </c>
      <c r="J2390" s="4">
        <v>986.6099999999999</v>
      </c>
      <c r="K2390" s="4">
        <v>3185.42</v>
      </c>
      <c r="L2390" s="4">
        <v>1273.74</v>
      </c>
      <c r="M2390" s="4">
        <v>60</v>
      </c>
      <c r="N2390" s="4">
        <v>1722.03</v>
      </c>
      <c r="O2390" s="4">
        <v>52.5</v>
      </c>
      <c r="P2390" s="4">
        <v>0</v>
      </c>
      <c r="Q2390" s="4">
        <v>94.5</v>
      </c>
      <c r="S2390" s="8">
        <f t="shared" si="111"/>
        <v>533.79499999999996</v>
      </c>
      <c r="T2390" s="8">
        <f t="shared" si="112"/>
        <v>-533.79499999999996</v>
      </c>
      <c r="U2390" s="9">
        <f t="shared" si="113"/>
        <v>-1</v>
      </c>
    </row>
    <row r="2391" spans="1:21" outlineLevel="2">
      <c r="A2391" t="s">
        <v>612</v>
      </c>
      <c r="B2391" t="s">
        <v>613</v>
      </c>
      <c r="C2391" t="s">
        <v>25</v>
      </c>
      <c r="D2391" t="s">
        <v>26</v>
      </c>
      <c r="E2391" s="4">
        <v>0</v>
      </c>
      <c r="F2391" s="4">
        <v>0</v>
      </c>
      <c r="G2391" s="4">
        <v>0</v>
      </c>
      <c r="H2391" s="4">
        <v>0</v>
      </c>
      <c r="I2391" s="4">
        <v>0</v>
      </c>
      <c r="J2391" s="4">
        <v>0</v>
      </c>
      <c r="K2391" s="4">
        <v>0</v>
      </c>
      <c r="L2391" s="4">
        <v>0</v>
      </c>
      <c r="M2391" s="4">
        <v>1414.63</v>
      </c>
      <c r="N2391" s="4">
        <v>7529.14</v>
      </c>
      <c r="O2391" s="4">
        <v>3360.6400000000003</v>
      </c>
      <c r="P2391" s="4">
        <v>499.78</v>
      </c>
      <c r="Q2391" s="4">
        <v>228.04</v>
      </c>
      <c r="S2391" s="8">
        <f t="shared" si="111"/>
        <v>2172.0383333333334</v>
      </c>
      <c r="T2391" s="8">
        <f t="shared" si="112"/>
        <v>-2172.0383333333334</v>
      </c>
      <c r="U2391" s="9">
        <f t="shared" si="113"/>
        <v>-1</v>
      </c>
    </row>
    <row r="2392" spans="1:21" outlineLevel="2">
      <c r="A2392" t="s">
        <v>612</v>
      </c>
      <c r="B2392" t="s">
        <v>613</v>
      </c>
      <c r="C2392" t="s">
        <v>27</v>
      </c>
      <c r="D2392" t="s">
        <v>28</v>
      </c>
      <c r="E2392" s="4">
        <v>0</v>
      </c>
      <c r="F2392" s="4">
        <v>0</v>
      </c>
      <c r="G2392" s="4">
        <v>0</v>
      </c>
      <c r="H2392" s="4">
        <v>0</v>
      </c>
      <c r="I2392" s="4">
        <v>0</v>
      </c>
      <c r="J2392" s="4">
        <v>0</v>
      </c>
      <c r="K2392" s="4">
        <v>0</v>
      </c>
      <c r="L2392" s="4">
        <v>0</v>
      </c>
      <c r="M2392" s="4">
        <v>149.28</v>
      </c>
      <c r="N2392" s="4">
        <v>545.80999999999995</v>
      </c>
      <c r="O2392" s="4">
        <v>2609.86</v>
      </c>
      <c r="P2392" s="4">
        <v>683.17</v>
      </c>
      <c r="Q2392" s="4">
        <v>0</v>
      </c>
      <c r="S2392" s="8">
        <f t="shared" si="111"/>
        <v>664.68666666666661</v>
      </c>
      <c r="T2392" s="8">
        <f t="shared" si="112"/>
        <v>-664.68666666666661</v>
      </c>
      <c r="U2392" s="9">
        <f t="shared" si="113"/>
        <v>-1</v>
      </c>
    </row>
    <row r="2393" spans="1:21" outlineLevel="2">
      <c r="A2393" t="s">
        <v>612</v>
      </c>
      <c r="B2393" t="s">
        <v>613</v>
      </c>
      <c r="C2393" t="s">
        <v>194</v>
      </c>
      <c r="D2393" t="s">
        <v>195</v>
      </c>
      <c r="E2393" s="4">
        <v>-636.91</v>
      </c>
      <c r="F2393" s="4">
        <v>0</v>
      </c>
      <c r="G2393" s="4">
        <v>0</v>
      </c>
      <c r="H2393" s="4">
        <v>0</v>
      </c>
      <c r="I2393" s="4">
        <v>0</v>
      </c>
      <c r="J2393" s="4">
        <v>0</v>
      </c>
      <c r="K2393" s="4">
        <v>0</v>
      </c>
      <c r="L2393" s="4">
        <v>0</v>
      </c>
      <c r="M2393" s="4">
        <v>0</v>
      </c>
      <c r="N2393" s="4">
        <v>398.47</v>
      </c>
      <c r="O2393" s="4">
        <v>113.85</v>
      </c>
      <c r="P2393" s="4">
        <v>0</v>
      </c>
      <c r="Q2393" s="4">
        <v>0</v>
      </c>
      <c r="S2393" s="8">
        <f t="shared" si="111"/>
        <v>85.38666666666667</v>
      </c>
      <c r="T2393" s="8">
        <f t="shared" si="112"/>
        <v>-85.38666666666667</v>
      </c>
      <c r="U2393" s="9">
        <f t="shared" si="113"/>
        <v>-1</v>
      </c>
    </row>
    <row r="2394" spans="1:21" outlineLevel="2">
      <c r="A2394" t="s">
        <v>612</v>
      </c>
      <c r="B2394" t="s">
        <v>613</v>
      </c>
      <c r="C2394" t="s">
        <v>136</v>
      </c>
      <c r="D2394" t="s">
        <v>137</v>
      </c>
      <c r="E2394" s="4">
        <v>1008374.78</v>
      </c>
      <c r="F2394" s="4">
        <v>904136.09</v>
      </c>
      <c r="G2394" s="4">
        <v>970865.89</v>
      </c>
      <c r="H2394" s="4">
        <v>974477.51</v>
      </c>
      <c r="I2394" s="4">
        <v>944181.22000000009</v>
      </c>
      <c r="J2394" s="4">
        <v>992298.15999999992</v>
      </c>
      <c r="K2394" s="4">
        <v>947993.16</v>
      </c>
      <c r="L2394" s="4">
        <v>1029251.04</v>
      </c>
      <c r="M2394" s="4">
        <v>942618</v>
      </c>
      <c r="N2394" s="4">
        <v>944549.91</v>
      </c>
      <c r="O2394" s="4">
        <v>870940.59</v>
      </c>
      <c r="P2394" s="4">
        <v>1072203.52</v>
      </c>
      <c r="Q2394" s="4">
        <v>1067155.3399999999</v>
      </c>
      <c r="S2394" s="8">
        <f t="shared" si="111"/>
        <v>987786.4</v>
      </c>
      <c r="T2394" s="8">
        <f t="shared" si="112"/>
        <v>-987786.4</v>
      </c>
      <c r="U2394" s="9">
        <f t="shared" si="113"/>
        <v>-1</v>
      </c>
    </row>
    <row r="2395" spans="1:21" outlineLevel="2">
      <c r="A2395" t="s">
        <v>612</v>
      </c>
      <c r="B2395" t="s">
        <v>613</v>
      </c>
      <c r="C2395" t="s">
        <v>138</v>
      </c>
      <c r="D2395" t="s">
        <v>139</v>
      </c>
      <c r="E2395" s="4">
        <v>89348.170000000013</v>
      </c>
      <c r="F2395" s="4">
        <v>68697.51999999999</v>
      </c>
      <c r="G2395" s="4">
        <v>84972.72</v>
      </c>
      <c r="H2395" s="4">
        <v>83136.25</v>
      </c>
      <c r="I2395" s="4">
        <v>71335.839999999997</v>
      </c>
      <c r="J2395" s="4">
        <v>81832.62</v>
      </c>
      <c r="K2395" s="4">
        <v>77496.13</v>
      </c>
      <c r="L2395" s="4">
        <v>60248.85</v>
      </c>
      <c r="M2395" s="4">
        <v>48456.75</v>
      </c>
      <c r="N2395" s="4">
        <v>54928.88</v>
      </c>
      <c r="O2395" s="4">
        <v>55459.44</v>
      </c>
      <c r="P2395" s="4">
        <v>71433.919999999998</v>
      </c>
      <c r="Q2395" s="4">
        <v>58656.59</v>
      </c>
      <c r="S2395" s="8">
        <f t="shared" si="111"/>
        <v>58197.405000000006</v>
      </c>
      <c r="T2395" s="8">
        <f t="shared" si="112"/>
        <v>-58197.405000000006</v>
      </c>
      <c r="U2395" s="9">
        <f t="shared" si="113"/>
        <v>-1</v>
      </c>
    </row>
    <row r="2396" spans="1:21" outlineLevel="2">
      <c r="A2396" t="s">
        <v>612</v>
      </c>
      <c r="B2396" t="s">
        <v>613</v>
      </c>
      <c r="C2396" t="s">
        <v>29</v>
      </c>
      <c r="D2396" t="s">
        <v>30</v>
      </c>
      <c r="E2396" s="4">
        <v>36047.11</v>
      </c>
      <c r="F2396" s="4">
        <v>31909.409999999996</v>
      </c>
      <c r="G2396" s="4">
        <v>37635.149999999994</v>
      </c>
      <c r="H2396" s="4">
        <v>27590.98</v>
      </c>
      <c r="I2396" s="4">
        <v>35035.910000000003</v>
      </c>
      <c r="J2396" s="4">
        <v>28331.79</v>
      </c>
      <c r="K2396" s="4">
        <v>23787.93</v>
      </c>
      <c r="L2396" s="4">
        <v>22045.85</v>
      </c>
      <c r="M2396" s="4">
        <v>16579.68</v>
      </c>
      <c r="N2396" s="4">
        <v>19403.089999999997</v>
      </c>
      <c r="O2396" s="4">
        <v>18368.62</v>
      </c>
      <c r="P2396" s="4">
        <v>10667.36</v>
      </c>
      <c r="Q2396" s="4">
        <v>19765.550000000003</v>
      </c>
      <c r="S2396" s="8">
        <f t="shared" si="111"/>
        <v>17805.024999999998</v>
      </c>
      <c r="T2396" s="8">
        <f t="shared" si="112"/>
        <v>-17805.024999999998</v>
      </c>
      <c r="U2396" s="9">
        <f t="shared" si="113"/>
        <v>-1</v>
      </c>
    </row>
    <row r="2397" spans="1:21" outlineLevel="2">
      <c r="A2397" t="s">
        <v>612</v>
      </c>
      <c r="B2397" t="s">
        <v>613</v>
      </c>
      <c r="C2397" t="s">
        <v>142</v>
      </c>
      <c r="D2397" t="s">
        <v>143</v>
      </c>
      <c r="E2397" s="4">
        <v>0</v>
      </c>
      <c r="F2397" s="4">
        <v>0</v>
      </c>
      <c r="G2397" s="4">
        <v>2250</v>
      </c>
      <c r="H2397" s="4">
        <v>0</v>
      </c>
      <c r="I2397" s="4">
        <v>2000</v>
      </c>
      <c r="J2397" s="4">
        <v>0</v>
      </c>
      <c r="K2397" s="4">
        <v>0</v>
      </c>
      <c r="L2397" s="4">
        <v>0</v>
      </c>
      <c r="M2397" s="4">
        <v>0</v>
      </c>
      <c r="N2397" s="4">
        <v>4000</v>
      </c>
      <c r="O2397" s="4">
        <v>0</v>
      </c>
      <c r="P2397" s="4">
        <v>2000</v>
      </c>
      <c r="Q2397" s="4">
        <v>5000</v>
      </c>
      <c r="S2397" s="8">
        <f t="shared" si="111"/>
        <v>1833.3333333333333</v>
      </c>
      <c r="T2397" s="8">
        <f t="shared" si="112"/>
        <v>-1833.3333333333333</v>
      </c>
      <c r="U2397" s="9">
        <f t="shared" si="113"/>
        <v>-1</v>
      </c>
    </row>
    <row r="2398" spans="1:21" outlineLevel="2">
      <c r="A2398" t="s">
        <v>612</v>
      </c>
      <c r="B2398" t="s">
        <v>613</v>
      </c>
      <c r="C2398" t="s">
        <v>144</v>
      </c>
      <c r="D2398" t="s">
        <v>145</v>
      </c>
      <c r="E2398" s="4">
        <v>-64360.53</v>
      </c>
      <c r="F2398" s="4">
        <v>-27220.329999999994</v>
      </c>
      <c r="G2398" s="4">
        <v>-23212.74</v>
      </c>
      <c r="H2398" s="4">
        <v>-24128.670000000002</v>
      </c>
      <c r="I2398" s="4">
        <v>-18940.8</v>
      </c>
      <c r="J2398" s="4">
        <v>-30950.639999999999</v>
      </c>
      <c r="K2398" s="4">
        <v>-26000.62</v>
      </c>
      <c r="L2398" s="4">
        <v>-42981.9</v>
      </c>
      <c r="M2398" s="4">
        <v>-21299.360000000001</v>
      </c>
      <c r="N2398" s="4">
        <v>-16654.620000000003</v>
      </c>
      <c r="O2398" s="4">
        <v>-25370.270000000004</v>
      </c>
      <c r="P2398" s="4">
        <v>-12102.91</v>
      </c>
      <c r="Q2398" s="4">
        <v>-65086.95</v>
      </c>
      <c r="S2398" s="8">
        <f t="shared" si="111"/>
        <v>-30582.668333333335</v>
      </c>
      <c r="T2398" s="8">
        <f t="shared" si="112"/>
        <v>30582.668333333335</v>
      </c>
      <c r="U2398" s="9">
        <f t="shared" si="113"/>
        <v>-1</v>
      </c>
    </row>
    <row r="2399" spans="1:21" outlineLevel="2">
      <c r="A2399" t="s">
        <v>612</v>
      </c>
      <c r="B2399" t="s">
        <v>613</v>
      </c>
      <c r="C2399" t="s">
        <v>146</v>
      </c>
      <c r="D2399" t="s">
        <v>147</v>
      </c>
      <c r="E2399" s="4">
        <v>87865.61</v>
      </c>
      <c r="F2399" s="4">
        <v>79999.73</v>
      </c>
      <c r="G2399" s="4">
        <v>102848.32000000001</v>
      </c>
      <c r="H2399" s="4">
        <v>84519.739999999991</v>
      </c>
      <c r="I2399" s="4">
        <v>81669.289999999994</v>
      </c>
      <c r="J2399" s="4">
        <v>87962</v>
      </c>
      <c r="K2399" s="4">
        <v>80339.94</v>
      </c>
      <c r="L2399" s="4">
        <v>84833.3</v>
      </c>
      <c r="M2399" s="4">
        <v>107386.56999999999</v>
      </c>
      <c r="N2399" s="4">
        <v>79772.08</v>
      </c>
      <c r="O2399" s="4">
        <v>74061.76999999999</v>
      </c>
      <c r="P2399" s="4">
        <v>95057.59</v>
      </c>
      <c r="Q2399" s="4">
        <v>90104.27</v>
      </c>
      <c r="S2399" s="8">
        <f t="shared" si="111"/>
        <v>88535.93</v>
      </c>
      <c r="T2399" s="8">
        <f t="shared" si="112"/>
        <v>-88535.93</v>
      </c>
      <c r="U2399" s="9">
        <f t="shared" si="113"/>
        <v>-1</v>
      </c>
    </row>
    <row r="2400" spans="1:21" outlineLevel="2">
      <c r="A2400" t="s">
        <v>612</v>
      </c>
      <c r="B2400" t="s">
        <v>613</v>
      </c>
      <c r="C2400" t="s">
        <v>148</v>
      </c>
      <c r="D2400" t="s">
        <v>149</v>
      </c>
      <c r="E2400" s="4">
        <v>176.19</v>
      </c>
      <c r="F2400" s="4">
        <v>0</v>
      </c>
      <c r="G2400" s="4">
        <v>0</v>
      </c>
      <c r="H2400" s="4">
        <v>0</v>
      </c>
      <c r="I2400" s="4">
        <v>0</v>
      </c>
      <c r="J2400" s="4">
        <v>0</v>
      </c>
      <c r="K2400" s="4">
        <v>0</v>
      </c>
      <c r="L2400" s="4">
        <v>0</v>
      </c>
      <c r="M2400" s="4">
        <v>0</v>
      </c>
      <c r="N2400" s="4">
        <v>0</v>
      </c>
      <c r="O2400" s="4">
        <v>0</v>
      </c>
      <c r="P2400" s="4">
        <v>0</v>
      </c>
      <c r="Q2400" s="4">
        <v>0</v>
      </c>
      <c r="S2400" s="8">
        <f t="shared" si="111"/>
        <v>0</v>
      </c>
      <c r="T2400" s="8">
        <f t="shared" si="112"/>
        <v>0</v>
      </c>
      <c r="U2400" s="9" t="e">
        <f t="shared" si="113"/>
        <v>#DIV/0!</v>
      </c>
    </row>
    <row r="2401" spans="1:21" outlineLevel="2">
      <c r="A2401" t="s">
        <v>612</v>
      </c>
      <c r="B2401" t="s">
        <v>613</v>
      </c>
      <c r="C2401" t="s">
        <v>152</v>
      </c>
      <c r="D2401" t="s">
        <v>153</v>
      </c>
      <c r="E2401" s="4">
        <v>82757.990000000005</v>
      </c>
      <c r="F2401" s="4">
        <v>73647.61</v>
      </c>
      <c r="G2401" s="4">
        <v>102131.51000000001</v>
      </c>
      <c r="H2401" s="4">
        <v>79569.05</v>
      </c>
      <c r="I2401" s="4">
        <v>77340.12</v>
      </c>
      <c r="J2401" s="4">
        <v>96019</v>
      </c>
      <c r="K2401" s="4">
        <v>76905.109999999986</v>
      </c>
      <c r="L2401" s="4">
        <v>82653.299999999988</v>
      </c>
      <c r="M2401" s="4">
        <v>77542.069999999992</v>
      </c>
      <c r="N2401" s="4">
        <v>74392.05</v>
      </c>
      <c r="O2401" s="4">
        <v>69022</v>
      </c>
      <c r="P2401" s="4">
        <v>91558.88</v>
      </c>
      <c r="Q2401" s="4">
        <v>84066.06</v>
      </c>
      <c r="S2401" s="8">
        <f t="shared" si="111"/>
        <v>79872.393333333326</v>
      </c>
      <c r="T2401" s="8">
        <f t="shared" si="112"/>
        <v>-79872.393333333326</v>
      </c>
      <c r="U2401" s="9">
        <f t="shared" si="113"/>
        <v>-1</v>
      </c>
    </row>
    <row r="2402" spans="1:21" outlineLevel="2">
      <c r="A2402" t="s">
        <v>612</v>
      </c>
      <c r="B2402" t="s">
        <v>613</v>
      </c>
      <c r="C2402" t="s">
        <v>154</v>
      </c>
      <c r="D2402" t="s">
        <v>155</v>
      </c>
      <c r="E2402" s="4">
        <v>29849.18</v>
      </c>
      <c r="F2402" s="4">
        <v>933</v>
      </c>
      <c r="G2402" s="4">
        <v>767.62</v>
      </c>
      <c r="H2402" s="4">
        <v>783.65</v>
      </c>
      <c r="I2402" s="4">
        <v>-12142.050000000001</v>
      </c>
      <c r="J2402" s="4">
        <v>392.53</v>
      </c>
      <c r="K2402" s="4">
        <v>429.52000000000004</v>
      </c>
      <c r="L2402" s="4">
        <v>527.16</v>
      </c>
      <c r="M2402" s="4">
        <v>412.78</v>
      </c>
      <c r="N2402" s="4">
        <v>638.12</v>
      </c>
      <c r="O2402" s="4">
        <v>571.54</v>
      </c>
      <c r="P2402" s="4">
        <v>217.78</v>
      </c>
      <c r="Q2402" s="4">
        <v>15700.42</v>
      </c>
      <c r="S2402" s="8">
        <f t="shared" si="111"/>
        <v>3011.2999999999997</v>
      </c>
      <c r="T2402" s="8">
        <f t="shared" si="112"/>
        <v>-3011.2999999999997</v>
      </c>
      <c r="U2402" s="9">
        <f t="shared" si="113"/>
        <v>-1</v>
      </c>
    </row>
    <row r="2403" spans="1:21" outlineLevel="2">
      <c r="A2403" t="s">
        <v>612</v>
      </c>
      <c r="B2403" t="s">
        <v>613</v>
      </c>
      <c r="C2403" t="s">
        <v>33</v>
      </c>
      <c r="D2403" t="s">
        <v>34</v>
      </c>
      <c r="E2403" s="4">
        <v>0</v>
      </c>
      <c r="F2403" s="4">
        <v>0</v>
      </c>
      <c r="G2403" s="4">
        <v>0</v>
      </c>
      <c r="H2403" s="4">
        <v>0</v>
      </c>
      <c r="I2403" s="4">
        <v>0</v>
      </c>
      <c r="J2403" s="4">
        <v>0</v>
      </c>
      <c r="K2403" s="4">
        <v>0</v>
      </c>
      <c r="L2403" s="4">
        <v>0</v>
      </c>
      <c r="M2403" s="4">
        <v>0</v>
      </c>
      <c r="N2403" s="4">
        <v>0</v>
      </c>
      <c r="O2403" s="4">
        <v>0</v>
      </c>
      <c r="P2403" s="4">
        <v>0</v>
      </c>
      <c r="Q2403" s="4">
        <v>273</v>
      </c>
      <c r="S2403" s="8">
        <f t="shared" si="111"/>
        <v>45.5</v>
      </c>
      <c r="T2403" s="8">
        <f t="shared" si="112"/>
        <v>-45.5</v>
      </c>
      <c r="U2403" s="9">
        <f t="shared" si="113"/>
        <v>-1</v>
      </c>
    </row>
    <row r="2404" spans="1:21" outlineLevel="2">
      <c r="A2404" t="s">
        <v>612</v>
      </c>
      <c r="B2404" t="s">
        <v>613</v>
      </c>
      <c r="C2404" t="s">
        <v>212</v>
      </c>
      <c r="D2404" t="s">
        <v>213</v>
      </c>
      <c r="E2404" s="4">
        <v>0</v>
      </c>
      <c r="F2404" s="4">
        <v>0</v>
      </c>
      <c r="G2404" s="4">
        <v>0</v>
      </c>
      <c r="H2404" s="4">
        <v>0</v>
      </c>
      <c r="I2404" s="4">
        <v>0</v>
      </c>
      <c r="J2404" s="4">
        <v>0</v>
      </c>
      <c r="K2404" s="4">
        <v>0</v>
      </c>
      <c r="L2404" s="4">
        <v>13.98</v>
      </c>
      <c r="M2404" s="4">
        <v>0</v>
      </c>
      <c r="N2404" s="4">
        <v>0</v>
      </c>
      <c r="O2404" s="4">
        <v>0</v>
      </c>
      <c r="P2404" s="4">
        <v>0</v>
      </c>
      <c r="Q2404" s="4">
        <v>0</v>
      </c>
      <c r="S2404" s="8">
        <f t="shared" si="111"/>
        <v>2.33</v>
      </c>
      <c r="T2404" s="8">
        <f t="shared" si="112"/>
        <v>-2.33</v>
      </c>
      <c r="U2404" s="9">
        <f t="shared" si="113"/>
        <v>-1</v>
      </c>
    </row>
    <row r="2405" spans="1:21" outlineLevel="2">
      <c r="A2405" t="s">
        <v>612</v>
      </c>
      <c r="B2405" t="s">
        <v>613</v>
      </c>
      <c r="C2405" t="s">
        <v>156</v>
      </c>
      <c r="D2405" t="s">
        <v>157</v>
      </c>
      <c r="E2405" s="4">
        <v>109.35</v>
      </c>
      <c r="F2405" s="4">
        <v>231.78</v>
      </c>
      <c r="G2405" s="4">
        <v>47.45</v>
      </c>
      <c r="H2405" s="4">
        <v>0</v>
      </c>
      <c r="I2405" s="4">
        <v>0</v>
      </c>
      <c r="J2405" s="4">
        <v>0</v>
      </c>
      <c r="K2405" s="4">
        <v>0</v>
      </c>
      <c r="L2405" s="4">
        <v>0</v>
      </c>
      <c r="M2405" s="4">
        <v>0</v>
      </c>
      <c r="N2405" s="4">
        <v>0</v>
      </c>
      <c r="O2405" s="4">
        <v>0</v>
      </c>
      <c r="P2405" s="4">
        <v>0</v>
      </c>
      <c r="Q2405" s="4">
        <v>0</v>
      </c>
      <c r="S2405" s="8">
        <f t="shared" si="111"/>
        <v>0</v>
      </c>
      <c r="T2405" s="8">
        <f t="shared" si="112"/>
        <v>0</v>
      </c>
      <c r="U2405" s="9" t="e">
        <f t="shared" si="113"/>
        <v>#DIV/0!</v>
      </c>
    </row>
    <row r="2406" spans="1:21" outlineLevel="2">
      <c r="A2406" t="s">
        <v>612</v>
      </c>
      <c r="B2406" t="s">
        <v>613</v>
      </c>
      <c r="C2406" t="s">
        <v>304</v>
      </c>
      <c r="D2406" t="s">
        <v>305</v>
      </c>
      <c r="E2406" s="4">
        <v>398.04</v>
      </c>
      <c r="F2406" s="4">
        <v>570</v>
      </c>
      <c r="G2406" s="4">
        <v>235</v>
      </c>
      <c r="H2406" s="4">
        <v>135</v>
      </c>
      <c r="I2406" s="4">
        <v>126</v>
      </c>
      <c r="J2406" s="4">
        <v>135</v>
      </c>
      <c r="K2406" s="4">
        <v>135</v>
      </c>
      <c r="L2406" s="4">
        <v>100</v>
      </c>
      <c r="M2406" s="4">
        <v>200</v>
      </c>
      <c r="N2406" s="4">
        <v>135</v>
      </c>
      <c r="O2406" s="4">
        <v>200</v>
      </c>
      <c r="P2406" s="4">
        <v>100</v>
      </c>
      <c r="Q2406" s="4">
        <v>0</v>
      </c>
      <c r="R2406" s="4">
        <v>160</v>
      </c>
      <c r="S2406" s="8">
        <f t="shared" si="111"/>
        <v>122.5</v>
      </c>
      <c r="T2406" s="8">
        <f t="shared" si="112"/>
        <v>37.5</v>
      </c>
      <c r="U2406" s="9">
        <f t="shared" si="113"/>
        <v>0.30612244897959184</v>
      </c>
    </row>
    <row r="2407" spans="1:21" outlineLevel="2">
      <c r="A2407" t="s">
        <v>612</v>
      </c>
      <c r="B2407" t="s">
        <v>613</v>
      </c>
      <c r="C2407" t="s">
        <v>587</v>
      </c>
      <c r="D2407" t="s">
        <v>588</v>
      </c>
      <c r="E2407" s="4">
        <v>0</v>
      </c>
      <c r="F2407" s="4">
        <v>0</v>
      </c>
      <c r="G2407" s="4">
        <v>0</v>
      </c>
      <c r="H2407" s="4">
        <v>0</v>
      </c>
      <c r="I2407" s="4">
        <v>0</v>
      </c>
      <c r="J2407" s="4">
        <v>0</v>
      </c>
      <c r="K2407" s="4">
        <v>0</v>
      </c>
      <c r="L2407" s="4">
        <v>0</v>
      </c>
      <c r="M2407" s="4">
        <v>0</v>
      </c>
      <c r="N2407" s="4">
        <v>0</v>
      </c>
      <c r="O2407" s="4">
        <v>0</v>
      </c>
      <c r="P2407" s="4">
        <v>167</v>
      </c>
      <c r="Q2407" s="4">
        <v>35</v>
      </c>
      <c r="S2407" s="8">
        <f t="shared" si="111"/>
        <v>33.666666666666664</v>
      </c>
      <c r="T2407" s="8">
        <f t="shared" si="112"/>
        <v>-33.666666666666664</v>
      </c>
      <c r="U2407" s="9">
        <f t="shared" si="113"/>
        <v>-1</v>
      </c>
    </row>
    <row r="2408" spans="1:21" outlineLevel="2">
      <c r="A2408" t="s">
        <v>612</v>
      </c>
      <c r="B2408" t="s">
        <v>613</v>
      </c>
      <c r="C2408" t="s">
        <v>37</v>
      </c>
      <c r="D2408" t="s">
        <v>38</v>
      </c>
      <c r="E2408" s="4">
        <v>27451.27000000003</v>
      </c>
      <c r="F2408" s="4">
        <v>20168.170000000006</v>
      </c>
      <c r="G2408" s="4">
        <v>22102.089999999993</v>
      </c>
      <c r="H2408" s="4">
        <v>22288.830000000005</v>
      </c>
      <c r="I2408" s="4">
        <v>9935.8099999999977</v>
      </c>
      <c r="J2408" s="4">
        <v>4288.5200000000004</v>
      </c>
      <c r="K2408" s="4">
        <v>613.48</v>
      </c>
      <c r="L2408" s="4">
        <v>2563.0100000000002</v>
      </c>
      <c r="M2408" s="4">
        <v>8403.6</v>
      </c>
      <c r="N2408" s="4">
        <v>5765.7300000000005</v>
      </c>
      <c r="O2408" s="4">
        <v>0</v>
      </c>
      <c r="P2408" s="4">
        <v>8590.5799999999981</v>
      </c>
      <c r="Q2408" s="4">
        <v>0</v>
      </c>
      <c r="R2408" s="4">
        <v>7690.4499999999989</v>
      </c>
      <c r="S2408" s="8">
        <f t="shared" si="111"/>
        <v>4220.4866666666667</v>
      </c>
      <c r="T2408" s="8">
        <f t="shared" si="112"/>
        <v>3469.9633333333322</v>
      </c>
      <c r="U2408" s="9">
        <f t="shared" si="113"/>
        <v>0.82217137676065766</v>
      </c>
    </row>
    <row r="2409" spans="1:21" outlineLevel="2">
      <c r="A2409" t="s">
        <v>612</v>
      </c>
      <c r="B2409" t="s">
        <v>613</v>
      </c>
      <c r="C2409" t="s">
        <v>180</v>
      </c>
      <c r="D2409" t="s">
        <v>181</v>
      </c>
      <c r="E2409" s="4">
        <v>3151.4000000000005</v>
      </c>
      <c r="F2409" s="4">
        <v>3659.96</v>
      </c>
      <c r="G2409" s="4">
        <v>5112.2699999999995</v>
      </c>
      <c r="H2409" s="4">
        <v>227.54999999999995</v>
      </c>
      <c r="I2409" s="4">
        <v>4903.91</v>
      </c>
      <c r="J2409" s="4">
        <v>3668.57</v>
      </c>
      <c r="K2409" s="4">
        <v>5663.51</v>
      </c>
      <c r="L2409" s="4">
        <v>3692.91</v>
      </c>
      <c r="M2409" s="4">
        <v>5946.6799999999994</v>
      </c>
      <c r="N2409" s="4">
        <v>8620.82</v>
      </c>
      <c r="O2409" s="4">
        <v>4464.4699999999993</v>
      </c>
      <c r="P2409" s="4">
        <v>5161.1000000000004</v>
      </c>
      <c r="Q2409" s="4">
        <v>8319.39</v>
      </c>
      <c r="R2409" s="4">
        <v>5202.1099999999979</v>
      </c>
      <c r="S2409" s="8">
        <f t="shared" si="111"/>
        <v>6034.2283333333326</v>
      </c>
      <c r="T2409" s="8">
        <f t="shared" si="112"/>
        <v>-832.1183333333347</v>
      </c>
      <c r="U2409" s="9">
        <f t="shared" si="113"/>
        <v>-0.13789970935250789</v>
      </c>
    </row>
    <row r="2410" spans="1:21" outlineLevel="2">
      <c r="A2410" t="s">
        <v>612</v>
      </c>
      <c r="B2410" t="s">
        <v>613</v>
      </c>
      <c r="C2410" t="s">
        <v>160</v>
      </c>
      <c r="D2410" t="s">
        <v>161</v>
      </c>
      <c r="E2410" s="4">
        <v>0</v>
      </c>
      <c r="F2410" s="4">
        <v>0</v>
      </c>
      <c r="G2410" s="4">
        <v>0</v>
      </c>
      <c r="H2410" s="4">
        <v>0</v>
      </c>
      <c r="I2410" s="4">
        <v>0</v>
      </c>
      <c r="J2410" s="4">
        <v>0</v>
      </c>
      <c r="K2410" s="4">
        <v>0</v>
      </c>
      <c r="L2410" s="4">
        <v>0</v>
      </c>
      <c r="M2410" s="4">
        <v>9831.02</v>
      </c>
      <c r="N2410" s="4">
        <v>0</v>
      </c>
      <c r="O2410" s="4">
        <v>0</v>
      </c>
      <c r="P2410" s="4">
        <v>2928.5</v>
      </c>
      <c r="Q2410" s="4">
        <v>0</v>
      </c>
      <c r="S2410" s="8">
        <f t="shared" si="111"/>
        <v>2126.5866666666666</v>
      </c>
      <c r="T2410" s="8">
        <f t="shared" si="112"/>
        <v>-2126.5866666666666</v>
      </c>
      <c r="U2410" s="9">
        <f t="shared" si="113"/>
        <v>-1</v>
      </c>
    </row>
    <row r="2411" spans="1:21" outlineLevel="2">
      <c r="A2411" t="s">
        <v>612</v>
      </c>
      <c r="B2411" t="s">
        <v>613</v>
      </c>
      <c r="C2411" t="s">
        <v>39</v>
      </c>
      <c r="D2411" t="s">
        <v>40</v>
      </c>
      <c r="E2411" s="4">
        <v>412.28</v>
      </c>
      <c r="F2411" s="4">
        <v>651.23</v>
      </c>
      <c r="G2411" s="4">
        <v>535.45000000000005</v>
      </c>
      <c r="H2411" s="4">
        <v>347.93</v>
      </c>
      <c r="I2411" s="4">
        <v>385.3</v>
      </c>
      <c r="J2411" s="4">
        <v>349.43</v>
      </c>
      <c r="K2411" s="4">
        <v>381.05</v>
      </c>
      <c r="L2411" s="4">
        <v>446.86</v>
      </c>
      <c r="M2411" s="4">
        <v>437.26</v>
      </c>
      <c r="N2411" s="4">
        <v>381.46</v>
      </c>
      <c r="O2411" s="4">
        <v>375.27</v>
      </c>
      <c r="P2411" s="4">
        <v>429.02</v>
      </c>
      <c r="Q2411" s="4">
        <v>22.37</v>
      </c>
      <c r="R2411" s="4">
        <v>624.19000000000005</v>
      </c>
      <c r="S2411" s="8">
        <f t="shared" si="111"/>
        <v>348.70666666666665</v>
      </c>
      <c r="T2411" s="8">
        <f t="shared" si="112"/>
        <v>275.48333333333341</v>
      </c>
      <c r="U2411" s="9">
        <f t="shared" si="113"/>
        <v>0.79001452988184939</v>
      </c>
    </row>
    <row r="2412" spans="1:21" outlineLevel="2">
      <c r="A2412" t="s">
        <v>612</v>
      </c>
      <c r="B2412" t="s">
        <v>613</v>
      </c>
      <c r="C2412" t="s">
        <v>614</v>
      </c>
      <c r="D2412" t="s">
        <v>615</v>
      </c>
      <c r="E2412" s="4">
        <v>24535.84</v>
      </c>
      <c r="F2412" s="4">
        <v>21932.82</v>
      </c>
      <c r="G2412" s="4">
        <v>28256.11</v>
      </c>
      <c r="H2412" s="4">
        <v>31440.199999999997</v>
      </c>
      <c r="I2412" s="4">
        <v>25212.600000000002</v>
      </c>
      <c r="J2412" s="4">
        <v>26538.489999999998</v>
      </c>
      <c r="K2412" s="4">
        <v>32921.800000000003</v>
      </c>
      <c r="L2412" s="4">
        <v>40727.21</v>
      </c>
      <c r="M2412" s="4">
        <v>41565.15</v>
      </c>
      <c r="N2412" s="4">
        <v>37239.72</v>
      </c>
      <c r="O2412" s="4">
        <v>32345.88</v>
      </c>
      <c r="P2412" s="4">
        <v>34169.829999999994</v>
      </c>
      <c r="Q2412" s="4">
        <v>24549.95</v>
      </c>
      <c r="R2412" s="4">
        <v>35194.89</v>
      </c>
      <c r="S2412" s="8">
        <f t="shared" si="111"/>
        <v>35099.623333333329</v>
      </c>
      <c r="T2412" s="8">
        <f t="shared" si="112"/>
        <v>95.266666666670062</v>
      </c>
      <c r="U2412" s="9">
        <f t="shared" si="113"/>
        <v>2.7141791740026289E-3</v>
      </c>
    </row>
    <row r="2413" spans="1:21" outlineLevel="2">
      <c r="A2413" t="s">
        <v>612</v>
      </c>
      <c r="B2413" t="s">
        <v>613</v>
      </c>
      <c r="C2413" t="s">
        <v>41</v>
      </c>
      <c r="D2413" t="s">
        <v>42</v>
      </c>
      <c r="E2413" s="4">
        <v>180.59</v>
      </c>
      <c r="F2413" s="4">
        <v>45.82</v>
      </c>
      <c r="G2413" s="4">
        <v>15.26</v>
      </c>
      <c r="H2413" s="4">
        <v>48.33</v>
      </c>
      <c r="I2413" s="4">
        <v>361.45</v>
      </c>
      <c r="J2413" s="4">
        <v>15.53</v>
      </c>
      <c r="K2413" s="4">
        <v>19.72</v>
      </c>
      <c r="L2413" s="4">
        <v>93.08</v>
      </c>
      <c r="M2413" s="4">
        <v>15.62</v>
      </c>
      <c r="N2413" s="4">
        <v>54.1</v>
      </c>
      <c r="O2413" s="4">
        <v>34.6</v>
      </c>
      <c r="P2413" s="4">
        <v>34.6</v>
      </c>
      <c r="Q2413" s="4">
        <v>34.6</v>
      </c>
      <c r="R2413" s="4">
        <v>34.6</v>
      </c>
      <c r="S2413" s="8">
        <f t="shared" si="111"/>
        <v>44.433333333333337</v>
      </c>
      <c r="T2413" s="8">
        <f t="shared" si="112"/>
        <v>-9.8333333333333357</v>
      </c>
      <c r="U2413" s="9">
        <f t="shared" si="113"/>
        <v>-0.22130532633158292</v>
      </c>
    </row>
    <row r="2414" spans="1:21" outlineLevel="2">
      <c r="A2414" t="s">
        <v>612</v>
      </c>
      <c r="B2414" t="s">
        <v>613</v>
      </c>
      <c r="C2414" t="s">
        <v>43</v>
      </c>
      <c r="D2414" t="s">
        <v>44</v>
      </c>
      <c r="E2414" s="4">
        <v>0</v>
      </c>
      <c r="F2414" s="4">
        <v>0</v>
      </c>
      <c r="G2414" s="4">
        <v>0</v>
      </c>
      <c r="H2414" s="4">
        <v>0</v>
      </c>
      <c r="I2414" s="4">
        <v>0</v>
      </c>
      <c r="J2414" s="4">
        <v>0</v>
      </c>
      <c r="K2414" s="4">
        <v>0</v>
      </c>
      <c r="L2414" s="4">
        <v>0</v>
      </c>
      <c r="M2414" s="4">
        <v>0</v>
      </c>
      <c r="N2414" s="4">
        <v>263.67</v>
      </c>
      <c r="O2414" s="4">
        <v>0</v>
      </c>
      <c r="P2414" s="4">
        <v>0</v>
      </c>
      <c r="Q2414" s="4">
        <v>27.1</v>
      </c>
      <c r="S2414" s="8">
        <f t="shared" si="111"/>
        <v>48.461666666666673</v>
      </c>
      <c r="T2414" s="8">
        <f t="shared" si="112"/>
        <v>-48.461666666666673</v>
      </c>
      <c r="U2414" s="9">
        <f t="shared" si="113"/>
        <v>-1</v>
      </c>
    </row>
    <row r="2415" spans="1:21" outlineLevel="2">
      <c r="A2415" t="s">
        <v>612</v>
      </c>
      <c r="B2415" t="s">
        <v>613</v>
      </c>
      <c r="C2415" t="s">
        <v>490</v>
      </c>
      <c r="D2415" t="s">
        <v>491</v>
      </c>
      <c r="E2415" s="4">
        <v>-36176.870000000003</v>
      </c>
      <c r="F2415" s="4">
        <v>-18370.48</v>
      </c>
      <c r="G2415" s="4">
        <v>6088.02</v>
      </c>
      <c r="H2415" s="4">
        <v>14863.78</v>
      </c>
      <c r="I2415" s="4">
        <v>-11637.06</v>
      </c>
      <c r="J2415" s="4">
        <v>10050.25</v>
      </c>
      <c r="K2415" s="4">
        <v>-35168.86</v>
      </c>
      <c r="L2415" s="4">
        <v>-23651.46</v>
      </c>
      <c r="M2415" s="4">
        <v>56397.73</v>
      </c>
      <c r="N2415" s="4">
        <v>-95246.48</v>
      </c>
      <c r="O2415" s="4">
        <v>-61798.12</v>
      </c>
      <c r="P2415" s="4">
        <v>164242.57</v>
      </c>
      <c r="Q2415" s="4">
        <v>-66052.039999999994</v>
      </c>
      <c r="S2415" s="8">
        <f t="shared" si="111"/>
        <v>-4351.2999999999956</v>
      </c>
      <c r="T2415" s="8">
        <f t="shared" si="112"/>
        <v>4351.2999999999956</v>
      </c>
      <c r="U2415" s="9">
        <f t="shared" si="113"/>
        <v>-1</v>
      </c>
    </row>
    <row r="2416" spans="1:21" outlineLevel="2">
      <c r="A2416" t="s">
        <v>612</v>
      </c>
      <c r="B2416" t="s">
        <v>613</v>
      </c>
      <c r="C2416" t="s">
        <v>230</v>
      </c>
      <c r="D2416" t="s">
        <v>231</v>
      </c>
      <c r="E2416" s="4">
        <v>65990.17</v>
      </c>
      <c r="F2416" s="4">
        <v>66538.47</v>
      </c>
      <c r="G2416" s="4">
        <v>74855.78</v>
      </c>
      <c r="H2416" s="4">
        <v>67425.649999999994</v>
      </c>
      <c r="I2416" s="4">
        <v>67425.649999999994</v>
      </c>
      <c r="J2416" s="4">
        <v>18259.91</v>
      </c>
      <c r="K2416" s="4">
        <v>69410.58</v>
      </c>
      <c r="L2416" s="4">
        <v>93229.8</v>
      </c>
      <c r="M2416" s="4">
        <v>69410.58</v>
      </c>
      <c r="N2416" s="4">
        <v>69410.58</v>
      </c>
      <c r="O2416" s="4">
        <v>69410.58</v>
      </c>
      <c r="P2416" s="4">
        <v>69410.58</v>
      </c>
      <c r="Q2416" s="4">
        <v>79648.77</v>
      </c>
      <c r="S2416" s="8">
        <f t="shared" si="111"/>
        <v>75086.815000000017</v>
      </c>
      <c r="T2416" s="8">
        <f t="shared" si="112"/>
        <v>-75086.815000000017</v>
      </c>
      <c r="U2416" s="9">
        <f t="shared" si="113"/>
        <v>-1</v>
      </c>
    </row>
    <row r="2417" spans="1:22" outlineLevel="2">
      <c r="A2417" t="s">
        <v>612</v>
      </c>
      <c r="B2417" t="s">
        <v>613</v>
      </c>
      <c r="C2417" t="s">
        <v>47</v>
      </c>
      <c r="D2417" t="s">
        <v>48</v>
      </c>
      <c r="E2417" s="4">
        <v>18388.41</v>
      </c>
      <c r="F2417" s="4">
        <v>18674.760000000002</v>
      </c>
      <c r="G2417" s="4">
        <v>9276.9000000000015</v>
      </c>
      <c r="H2417" s="4">
        <v>9142.239999999998</v>
      </c>
      <c r="I2417" s="4">
        <v>528.53999999999905</v>
      </c>
      <c r="J2417" s="4">
        <v>10169.759999999998</v>
      </c>
      <c r="K2417" s="4">
        <v>17424.64</v>
      </c>
      <c r="L2417" s="4">
        <v>9156.0699999999979</v>
      </c>
      <c r="M2417" s="4">
        <v>1156.0400000000022</v>
      </c>
      <c r="N2417" s="4">
        <v>9156.0599999999977</v>
      </c>
      <c r="O2417" s="4">
        <v>8558.06</v>
      </c>
      <c r="P2417" s="4">
        <v>9107.0700000000015</v>
      </c>
      <c r="Q2417" s="4">
        <v>17080.72</v>
      </c>
      <c r="R2417" s="4">
        <v>826.34000000000106</v>
      </c>
      <c r="S2417" s="8">
        <f t="shared" si="111"/>
        <v>9035.67</v>
      </c>
      <c r="T2417" s="8">
        <f t="shared" si="112"/>
        <v>-8209.3299999999981</v>
      </c>
      <c r="U2417" s="9">
        <f t="shared" si="113"/>
        <v>-0.90854690355004086</v>
      </c>
    </row>
    <row r="2418" spans="1:22" outlineLevel="2">
      <c r="A2418" t="s">
        <v>612</v>
      </c>
      <c r="B2418" t="s">
        <v>613</v>
      </c>
      <c r="C2418" t="s">
        <v>49</v>
      </c>
      <c r="D2418" t="s">
        <v>50</v>
      </c>
      <c r="E2418" s="4">
        <v>127.19</v>
      </c>
      <c r="F2418" s="4">
        <v>253.38</v>
      </c>
      <c r="G2418" s="4">
        <v>9139.130000000001</v>
      </c>
      <c r="H2418" s="4">
        <v>6288.4099999999989</v>
      </c>
      <c r="I2418" s="4">
        <v>287.86999999999995</v>
      </c>
      <c r="J2418" s="4">
        <v>160.68</v>
      </c>
      <c r="K2418" s="4">
        <v>544.71</v>
      </c>
      <c r="L2418" s="4">
        <v>2287.8700000000003</v>
      </c>
      <c r="M2418" s="4">
        <v>127.19</v>
      </c>
      <c r="N2418" s="4">
        <v>1451.01</v>
      </c>
      <c r="O2418" s="4">
        <v>787.99</v>
      </c>
      <c r="P2418" s="4">
        <v>779.48</v>
      </c>
      <c r="Q2418" s="4">
        <v>317.45</v>
      </c>
      <c r="R2418" s="4">
        <v>422.17</v>
      </c>
      <c r="S2418" s="8">
        <f t="shared" si="111"/>
        <v>958.49833333333345</v>
      </c>
      <c r="T2418" s="8">
        <f t="shared" si="112"/>
        <v>-536.32833333333338</v>
      </c>
      <c r="U2418" s="9">
        <f t="shared" si="113"/>
        <v>-0.55955061650255</v>
      </c>
    </row>
    <row r="2419" spans="1:22" outlineLevel="2">
      <c r="A2419" t="s">
        <v>612</v>
      </c>
      <c r="B2419" t="s">
        <v>613</v>
      </c>
      <c r="C2419" t="s">
        <v>51</v>
      </c>
      <c r="D2419" t="s">
        <v>52</v>
      </c>
      <c r="E2419" s="4">
        <v>31174</v>
      </c>
      <c r="F2419" s="4">
        <v>26342.010000000002</v>
      </c>
      <c r="G2419" s="4">
        <v>646.15000000000009</v>
      </c>
      <c r="H2419" s="4">
        <v>27354.690000000002</v>
      </c>
      <c r="I2419" s="4">
        <v>446.3</v>
      </c>
      <c r="J2419" s="4">
        <v>26476.99</v>
      </c>
      <c r="K2419" s="4">
        <v>28709.919999999998</v>
      </c>
      <c r="L2419" s="4">
        <v>1985.54</v>
      </c>
      <c r="M2419" s="4">
        <v>26293.260000000002</v>
      </c>
      <c r="N2419" s="4">
        <v>25267.86</v>
      </c>
      <c r="O2419" s="4">
        <v>755.71999999999991</v>
      </c>
      <c r="P2419" s="4">
        <v>29099.09</v>
      </c>
      <c r="Q2419" s="4">
        <v>10085.700000000001</v>
      </c>
      <c r="R2419" s="4">
        <v>1361.12</v>
      </c>
      <c r="S2419" s="8">
        <f t="shared" si="111"/>
        <v>15581.195</v>
      </c>
      <c r="T2419" s="8">
        <f t="shared" si="112"/>
        <v>-14220.075000000001</v>
      </c>
      <c r="U2419" s="9">
        <f t="shared" si="113"/>
        <v>-0.91264341406419736</v>
      </c>
    </row>
    <row r="2420" spans="1:22" outlineLevel="2">
      <c r="A2420" t="s">
        <v>612</v>
      </c>
      <c r="B2420" t="s">
        <v>613</v>
      </c>
      <c r="C2420" t="s">
        <v>164</v>
      </c>
      <c r="D2420" t="s">
        <v>165</v>
      </c>
      <c r="E2420" s="4">
        <v>535.5</v>
      </c>
      <c r="F2420" s="4">
        <v>357</v>
      </c>
      <c r="G2420" s="4">
        <v>381.5</v>
      </c>
      <c r="H2420" s="4">
        <v>357</v>
      </c>
      <c r="I2420" s="4">
        <v>357</v>
      </c>
      <c r="J2420" s="4">
        <v>357</v>
      </c>
      <c r="K2420" s="4">
        <v>357</v>
      </c>
      <c r="L2420" s="4">
        <v>1375.5</v>
      </c>
      <c r="M2420" s="4">
        <v>427</v>
      </c>
      <c r="N2420" s="4">
        <v>427</v>
      </c>
      <c r="O2420" s="4">
        <v>427</v>
      </c>
      <c r="P2420" s="4">
        <v>427</v>
      </c>
      <c r="Q2420" s="4">
        <v>1522.5</v>
      </c>
      <c r="S2420" s="8">
        <f t="shared" si="111"/>
        <v>767.66666666666663</v>
      </c>
      <c r="T2420" s="8">
        <f t="shared" si="112"/>
        <v>-767.66666666666663</v>
      </c>
      <c r="U2420" s="9">
        <f t="shared" si="113"/>
        <v>-1</v>
      </c>
    </row>
    <row r="2421" spans="1:22" outlineLevel="2">
      <c r="A2421" t="s">
        <v>612</v>
      </c>
      <c r="B2421" t="s">
        <v>613</v>
      </c>
      <c r="C2421" t="s">
        <v>53</v>
      </c>
      <c r="D2421" t="s">
        <v>54</v>
      </c>
      <c r="E2421" s="4">
        <v>0</v>
      </c>
      <c r="F2421" s="4">
        <v>0</v>
      </c>
      <c r="G2421" s="4">
        <v>5</v>
      </c>
      <c r="H2421" s="4">
        <v>0</v>
      </c>
      <c r="I2421" s="4">
        <v>0</v>
      </c>
      <c r="J2421" s="4">
        <v>0</v>
      </c>
      <c r="K2421" s="4">
        <v>0</v>
      </c>
      <c r="L2421" s="4">
        <v>0</v>
      </c>
      <c r="M2421" s="4">
        <v>0</v>
      </c>
      <c r="N2421" s="4">
        <v>0</v>
      </c>
      <c r="O2421" s="4">
        <v>0</v>
      </c>
      <c r="P2421" s="4">
        <v>0</v>
      </c>
      <c r="Q2421" s="4">
        <v>0</v>
      </c>
      <c r="S2421" s="8">
        <f t="shared" si="111"/>
        <v>0</v>
      </c>
      <c r="T2421" s="8">
        <f t="shared" si="112"/>
        <v>0</v>
      </c>
      <c r="U2421" s="9" t="e">
        <f t="shared" si="113"/>
        <v>#DIV/0!</v>
      </c>
    </row>
    <row r="2422" spans="1:22" outlineLevel="2">
      <c r="A2422" t="s">
        <v>612</v>
      </c>
      <c r="B2422" t="s">
        <v>613</v>
      </c>
      <c r="C2422" t="s">
        <v>55</v>
      </c>
      <c r="D2422" t="s">
        <v>56</v>
      </c>
      <c r="E2422" s="4">
        <v>0</v>
      </c>
      <c r="F2422" s="4">
        <v>0</v>
      </c>
      <c r="G2422" s="4">
        <v>0</v>
      </c>
      <c r="H2422" s="4">
        <v>216.15</v>
      </c>
      <c r="I2422" s="4">
        <v>0</v>
      </c>
      <c r="J2422" s="4">
        <v>0</v>
      </c>
      <c r="K2422" s="4">
        <v>0</v>
      </c>
      <c r="L2422" s="4">
        <v>100.92</v>
      </c>
      <c r="M2422" s="4">
        <v>0</v>
      </c>
      <c r="N2422" s="4">
        <v>39.519999999999996</v>
      </c>
      <c r="O2422" s="4">
        <v>33.08</v>
      </c>
      <c r="P2422" s="4">
        <v>60.819999999999993</v>
      </c>
      <c r="Q2422" s="4">
        <v>0</v>
      </c>
      <c r="S2422" s="8">
        <f t="shared" si="111"/>
        <v>39.056666666666665</v>
      </c>
      <c r="T2422" s="8">
        <f t="shared" si="112"/>
        <v>-39.056666666666665</v>
      </c>
      <c r="U2422" s="9">
        <f t="shared" si="113"/>
        <v>-1</v>
      </c>
    </row>
    <row r="2423" spans="1:22" outlineLevel="2">
      <c r="A2423" t="s">
        <v>612</v>
      </c>
      <c r="B2423" t="s">
        <v>613</v>
      </c>
      <c r="C2423" t="s">
        <v>59</v>
      </c>
      <c r="D2423" t="s">
        <v>60</v>
      </c>
      <c r="E2423" s="4">
        <v>0</v>
      </c>
      <c r="F2423" s="4">
        <v>530.82000000000005</v>
      </c>
      <c r="G2423" s="4">
        <v>23.07</v>
      </c>
      <c r="H2423" s="4">
        <v>237</v>
      </c>
      <c r="I2423" s="4">
        <v>72.13</v>
      </c>
      <c r="J2423" s="4">
        <v>550.20000000000005</v>
      </c>
      <c r="K2423" s="4">
        <v>462.77</v>
      </c>
      <c r="L2423" s="4">
        <v>341.52</v>
      </c>
      <c r="M2423" s="4">
        <v>575.57000000000005</v>
      </c>
      <c r="N2423" s="4">
        <v>539.16999999999996</v>
      </c>
      <c r="O2423" s="4">
        <v>276.27</v>
      </c>
      <c r="P2423" s="4">
        <v>838.74</v>
      </c>
      <c r="Q2423" s="4">
        <v>0</v>
      </c>
      <c r="S2423" s="8">
        <f t="shared" si="111"/>
        <v>428.54500000000002</v>
      </c>
      <c r="T2423" s="8">
        <f t="shared" si="112"/>
        <v>-428.54500000000002</v>
      </c>
      <c r="U2423" s="9">
        <f t="shared" si="113"/>
        <v>-1</v>
      </c>
    </row>
    <row r="2424" spans="1:22" outlineLevel="2">
      <c r="A2424" t="s">
        <v>612</v>
      </c>
      <c r="B2424" t="s">
        <v>613</v>
      </c>
      <c r="C2424" t="s">
        <v>61</v>
      </c>
      <c r="D2424" t="s">
        <v>62</v>
      </c>
      <c r="E2424" s="4">
        <v>19041.97</v>
      </c>
      <c r="F2424" s="4">
        <v>1224.27</v>
      </c>
      <c r="G2424" s="4">
        <v>1133.8399999999999</v>
      </c>
      <c r="H2424" s="4">
        <v>1521.39</v>
      </c>
      <c r="I2424" s="4">
        <v>1467.41</v>
      </c>
      <c r="J2424" s="4">
        <v>59570.600000000006</v>
      </c>
      <c r="K2424" s="4">
        <v>1459.19</v>
      </c>
      <c r="L2424" s="4">
        <v>1626</v>
      </c>
      <c r="M2424" s="4">
        <v>13158.34</v>
      </c>
      <c r="N2424" s="4">
        <v>1527.12</v>
      </c>
      <c r="O2424" s="4">
        <v>21044.06</v>
      </c>
      <c r="P2424" s="4">
        <v>18252.07</v>
      </c>
      <c r="Q2424" s="4">
        <v>1486.33</v>
      </c>
      <c r="R2424" s="4">
        <v>1940.94</v>
      </c>
      <c r="S2424" s="8">
        <f t="shared" si="111"/>
        <v>9515.6533333333336</v>
      </c>
      <c r="T2424" s="8">
        <f t="shared" si="112"/>
        <v>-7574.7133333333331</v>
      </c>
      <c r="U2424" s="9">
        <f t="shared" si="113"/>
        <v>-0.7960266171949657</v>
      </c>
    </row>
    <row r="2425" spans="1:22" outlineLevel="2">
      <c r="A2425" t="s">
        <v>612</v>
      </c>
      <c r="B2425" t="s">
        <v>613</v>
      </c>
      <c r="C2425" t="s">
        <v>196</v>
      </c>
      <c r="D2425" t="s">
        <v>197</v>
      </c>
      <c r="E2425" s="4">
        <v>0</v>
      </c>
      <c r="F2425" s="4">
        <v>0</v>
      </c>
      <c r="G2425" s="4">
        <v>0</v>
      </c>
      <c r="H2425" s="4">
        <v>0</v>
      </c>
      <c r="I2425" s="4">
        <v>0</v>
      </c>
      <c r="J2425" s="4">
        <v>0</v>
      </c>
      <c r="K2425" s="4">
        <v>0</v>
      </c>
      <c r="L2425" s="4">
        <v>0</v>
      </c>
      <c r="M2425" s="4">
        <v>246.94</v>
      </c>
      <c r="N2425" s="4">
        <v>0</v>
      </c>
      <c r="O2425" s="4">
        <v>0</v>
      </c>
      <c r="P2425" s="4">
        <v>0</v>
      </c>
      <c r="Q2425" s="4">
        <v>1912.52</v>
      </c>
      <c r="S2425" s="8">
        <f t="shared" si="111"/>
        <v>359.91</v>
      </c>
      <c r="T2425" s="8">
        <f t="shared" si="112"/>
        <v>-359.91</v>
      </c>
      <c r="U2425" s="9">
        <f t="shared" si="113"/>
        <v>-1</v>
      </c>
    </row>
    <row r="2426" spans="1:22" outlineLevel="2">
      <c r="A2426" t="s">
        <v>612</v>
      </c>
      <c r="B2426" t="s">
        <v>613</v>
      </c>
      <c r="C2426" t="s">
        <v>63</v>
      </c>
      <c r="D2426" t="s">
        <v>64</v>
      </c>
      <c r="E2426" s="4">
        <v>7988.6599999999989</v>
      </c>
      <c r="F2426" s="4">
        <v>3421.0799999999995</v>
      </c>
      <c r="G2426" s="4">
        <v>2100.06</v>
      </c>
      <c r="H2426" s="4">
        <v>5315.11</v>
      </c>
      <c r="I2426" s="4">
        <v>8281.9399999999987</v>
      </c>
      <c r="J2426" s="4">
        <v>8124.2500000000009</v>
      </c>
      <c r="K2426" s="4">
        <v>4281.5199999999995</v>
      </c>
      <c r="L2426" s="4">
        <v>3297.46</v>
      </c>
      <c r="M2426" s="4">
        <v>6261.98</v>
      </c>
      <c r="N2426" s="4">
        <v>62380.759999999995</v>
      </c>
      <c r="O2426" s="4">
        <v>3716.4900000000002</v>
      </c>
      <c r="P2426" s="4">
        <v>4697.92</v>
      </c>
      <c r="Q2426" s="4">
        <v>29879.48</v>
      </c>
      <c r="R2426" s="4">
        <v>8405.8499999999985</v>
      </c>
      <c r="S2426" s="8">
        <f t="shared" si="111"/>
        <v>18372.348333333332</v>
      </c>
      <c r="T2426" s="8">
        <f t="shared" si="112"/>
        <v>-9966.498333333333</v>
      </c>
      <c r="U2426" s="9">
        <f t="shared" si="113"/>
        <v>-0.54247275048943577</v>
      </c>
    </row>
    <row r="2427" spans="1:22" outlineLevel="2">
      <c r="A2427" t="s">
        <v>612</v>
      </c>
      <c r="B2427" t="s">
        <v>613</v>
      </c>
      <c r="C2427" t="s">
        <v>65</v>
      </c>
      <c r="D2427" t="s">
        <v>66</v>
      </c>
      <c r="E2427" s="4">
        <v>191488.22999999986</v>
      </c>
      <c r="F2427" s="4">
        <v>236097.49999999983</v>
      </c>
      <c r="G2427" s="4">
        <v>224185.7</v>
      </c>
      <c r="H2427" s="4">
        <v>208856.15999999986</v>
      </c>
      <c r="I2427" s="4">
        <v>157477.78999999989</v>
      </c>
      <c r="J2427" s="4">
        <v>203286.05999999988</v>
      </c>
      <c r="K2427" s="4">
        <v>153663.48000000013</v>
      </c>
      <c r="L2427" s="4">
        <v>143056.59000000008</v>
      </c>
      <c r="M2427" s="4">
        <v>255076.6800000002</v>
      </c>
      <c r="N2427" s="4">
        <v>247659.38000000027</v>
      </c>
      <c r="O2427" s="4">
        <v>134355.42000000013</v>
      </c>
      <c r="P2427" s="4">
        <v>173760.90000000005</v>
      </c>
      <c r="Q2427" s="4">
        <v>174182.58000000005</v>
      </c>
      <c r="R2427" s="4">
        <v>158810.47000000015</v>
      </c>
      <c r="S2427" s="8">
        <f t="shared" si="111"/>
        <v>188015.25833333345</v>
      </c>
      <c r="T2427" s="8">
        <f t="shared" si="112"/>
        <v>-29204.788333333301</v>
      </c>
      <c r="U2427" s="9">
        <f t="shared" si="113"/>
        <v>-0.1553320118389325</v>
      </c>
      <c r="V2427" t="s">
        <v>896</v>
      </c>
    </row>
    <row r="2428" spans="1:22" outlineLevel="2">
      <c r="A2428" t="s">
        <v>612</v>
      </c>
      <c r="B2428" t="s">
        <v>613</v>
      </c>
      <c r="C2428" t="s">
        <v>75</v>
      </c>
      <c r="D2428" t="s">
        <v>76</v>
      </c>
      <c r="E2428" s="4">
        <v>0</v>
      </c>
      <c r="F2428" s="4">
        <v>0</v>
      </c>
      <c r="G2428" s="4">
        <v>0</v>
      </c>
      <c r="H2428" s="4">
        <v>0</v>
      </c>
      <c r="I2428" s="4">
        <v>0</v>
      </c>
      <c r="J2428" s="4">
        <v>0</v>
      </c>
      <c r="K2428" s="4">
        <v>1673.7099999999998</v>
      </c>
      <c r="L2428" s="4">
        <v>105</v>
      </c>
      <c r="M2428" s="4">
        <v>0</v>
      </c>
      <c r="N2428" s="4">
        <v>0</v>
      </c>
      <c r="O2428" s="4">
        <v>0</v>
      </c>
      <c r="P2428" s="4">
        <v>1410.1399999999999</v>
      </c>
      <c r="Q2428" s="4">
        <v>0</v>
      </c>
      <c r="R2428" s="4">
        <v>369.8</v>
      </c>
      <c r="S2428" s="8">
        <f t="shared" si="111"/>
        <v>252.52333333333331</v>
      </c>
      <c r="T2428" s="8">
        <f t="shared" si="112"/>
        <v>117.2766666666667</v>
      </c>
      <c r="U2428" s="9">
        <f t="shared" si="113"/>
        <v>0.464419129585385</v>
      </c>
    </row>
    <row r="2429" spans="1:22" outlineLevel="2">
      <c r="A2429" t="s">
        <v>612</v>
      </c>
      <c r="B2429" t="s">
        <v>613</v>
      </c>
      <c r="C2429" t="s">
        <v>77</v>
      </c>
      <c r="D2429" t="s">
        <v>78</v>
      </c>
      <c r="E2429" s="4">
        <v>0</v>
      </c>
      <c r="F2429" s="4">
        <v>9823.69</v>
      </c>
      <c r="G2429" s="4">
        <v>0</v>
      </c>
      <c r="H2429" s="4">
        <v>0</v>
      </c>
      <c r="I2429" s="4">
        <v>0</v>
      </c>
      <c r="J2429" s="4">
        <v>0</v>
      </c>
      <c r="K2429" s="4">
        <v>0</v>
      </c>
      <c r="L2429" s="4">
        <v>258.55</v>
      </c>
      <c r="M2429" s="4">
        <v>16655.830000000002</v>
      </c>
      <c r="N2429" s="4">
        <v>0</v>
      </c>
      <c r="O2429" s="4">
        <v>0</v>
      </c>
      <c r="P2429" s="4">
        <v>0</v>
      </c>
      <c r="Q2429" s="4">
        <v>0</v>
      </c>
      <c r="S2429" s="8">
        <f t="shared" si="111"/>
        <v>2819.0633333333335</v>
      </c>
      <c r="T2429" s="8">
        <f t="shared" si="112"/>
        <v>-2819.0633333333335</v>
      </c>
      <c r="U2429" s="9">
        <f t="shared" si="113"/>
        <v>-1</v>
      </c>
    </row>
    <row r="2430" spans="1:22" outlineLevel="2">
      <c r="A2430" t="s">
        <v>612</v>
      </c>
      <c r="B2430" t="s">
        <v>613</v>
      </c>
      <c r="C2430" t="s">
        <v>591</v>
      </c>
      <c r="D2430" t="s">
        <v>592</v>
      </c>
      <c r="E2430" s="4">
        <v>0</v>
      </c>
      <c r="F2430" s="4">
        <v>0</v>
      </c>
      <c r="G2430" s="4">
        <v>81.949999999999989</v>
      </c>
      <c r="H2430" s="4">
        <v>0</v>
      </c>
      <c r="I2430" s="4">
        <v>0</v>
      </c>
      <c r="J2430" s="4">
        <v>0</v>
      </c>
      <c r="K2430" s="4">
        <v>0</v>
      </c>
      <c r="L2430" s="4">
        <v>0</v>
      </c>
      <c r="M2430" s="4">
        <v>0</v>
      </c>
      <c r="N2430" s="4">
        <v>0</v>
      </c>
      <c r="O2430" s="4">
        <v>0</v>
      </c>
      <c r="P2430" s="4">
        <v>0</v>
      </c>
      <c r="Q2430" s="4">
        <v>0</v>
      </c>
      <c r="S2430" s="8">
        <f t="shared" si="111"/>
        <v>0</v>
      </c>
      <c r="T2430" s="8">
        <f t="shared" si="112"/>
        <v>0</v>
      </c>
      <c r="U2430" s="9" t="e">
        <f t="shared" si="113"/>
        <v>#DIV/0!</v>
      </c>
    </row>
    <row r="2431" spans="1:22" outlineLevel="2">
      <c r="A2431" t="s">
        <v>612</v>
      </c>
      <c r="B2431" t="s">
        <v>613</v>
      </c>
      <c r="C2431" t="s">
        <v>593</v>
      </c>
      <c r="D2431" t="s">
        <v>594</v>
      </c>
      <c r="E2431" s="4">
        <v>0</v>
      </c>
      <c r="F2431" s="4">
        <v>0</v>
      </c>
      <c r="G2431" s="4">
        <v>179.54999999999998</v>
      </c>
      <c r="H2431" s="4">
        <v>0</v>
      </c>
      <c r="I2431" s="4">
        <v>0</v>
      </c>
      <c r="J2431" s="4">
        <v>0</v>
      </c>
      <c r="K2431" s="4">
        <v>0</v>
      </c>
      <c r="L2431" s="4">
        <v>0</v>
      </c>
      <c r="M2431" s="4">
        <v>0</v>
      </c>
      <c r="N2431" s="4">
        <v>0</v>
      </c>
      <c r="O2431" s="4">
        <v>0</v>
      </c>
      <c r="P2431" s="4">
        <v>0</v>
      </c>
      <c r="Q2431" s="4">
        <v>0</v>
      </c>
      <c r="S2431" s="8">
        <f t="shared" si="111"/>
        <v>0</v>
      </c>
      <c r="T2431" s="8">
        <f t="shared" si="112"/>
        <v>0</v>
      </c>
      <c r="U2431" s="9" t="e">
        <f t="shared" si="113"/>
        <v>#DIV/0!</v>
      </c>
    </row>
    <row r="2432" spans="1:22" outlineLevel="2">
      <c r="A2432" t="s">
        <v>612</v>
      </c>
      <c r="B2432" t="s">
        <v>613</v>
      </c>
      <c r="C2432" t="s">
        <v>595</v>
      </c>
      <c r="D2432" t="s">
        <v>596</v>
      </c>
      <c r="E2432" s="4">
        <v>2550</v>
      </c>
      <c r="F2432" s="4">
        <v>1575</v>
      </c>
      <c r="G2432" s="4">
        <v>0</v>
      </c>
      <c r="H2432" s="4">
        <v>0</v>
      </c>
      <c r="I2432" s="4">
        <v>0</v>
      </c>
      <c r="J2432" s="4">
        <v>0</v>
      </c>
      <c r="K2432" s="4">
        <v>500</v>
      </c>
      <c r="L2432" s="4">
        <v>500</v>
      </c>
      <c r="M2432" s="4">
        <v>2968.75</v>
      </c>
      <c r="N2432" s="4">
        <v>0</v>
      </c>
      <c r="O2432" s="4">
        <v>0</v>
      </c>
      <c r="P2432" s="4">
        <v>600</v>
      </c>
      <c r="Q2432" s="4">
        <v>8446</v>
      </c>
      <c r="R2432" s="4">
        <v>400</v>
      </c>
      <c r="S2432" s="8">
        <f t="shared" si="111"/>
        <v>2085.7916666666665</v>
      </c>
      <c r="T2432" s="8">
        <f t="shared" si="112"/>
        <v>-1685.7916666666665</v>
      </c>
      <c r="U2432" s="9">
        <f t="shared" si="113"/>
        <v>-0.80822629297429027</v>
      </c>
    </row>
    <row r="2433" spans="1:21" outlineLevel="2">
      <c r="A2433" t="s">
        <v>612</v>
      </c>
      <c r="B2433" t="s">
        <v>613</v>
      </c>
      <c r="C2433" t="s">
        <v>597</v>
      </c>
      <c r="D2433" t="s">
        <v>598</v>
      </c>
      <c r="E2433" s="4">
        <v>0</v>
      </c>
      <c r="F2433" s="4">
        <v>0</v>
      </c>
      <c r="G2433" s="4">
        <v>0</v>
      </c>
      <c r="H2433" s="4">
        <v>0</v>
      </c>
      <c r="I2433" s="4">
        <v>153.65</v>
      </c>
      <c r="J2433" s="4">
        <v>0</v>
      </c>
      <c r="K2433" s="4">
        <v>0</v>
      </c>
      <c r="L2433" s="4">
        <v>0</v>
      </c>
      <c r="M2433" s="4">
        <v>0</v>
      </c>
      <c r="N2433" s="4">
        <v>499.9</v>
      </c>
      <c r="O2433" s="4">
        <v>0</v>
      </c>
      <c r="P2433" s="4">
        <v>0</v>
      </c>
      <c r="Q2433" s="4">
        <v>0</v>
      </c>
      <c r="S2433" s="8">
        <f t="shared" si="111"/>
        <v>83.316666666666663</v>
      </c>
      <c r="T2433" s="8">
        <f t="shared" si="112"/>
        <v>-83.316666666666663</v>
      </c>
      <c r="U2433" s="9">
        <f t="shared" si="113"/>
        <v>-1</v>
      </c>
    </row>
    <row r="2434" spans="1:21" outlineLevel="2">
      <c r="A2434" t="s">
        <v>612</v>
      </c>
      <c r="B2434" t="s">
        <v>613</v>
      </c>
      <c r="C2434" t="s">
        <v>81</v>
      </c>
      <c r="D2434" t="s">
        <v>82</v>
      </c>
      <c r="E2434" s="4">
        <v>17942.73</v>
      </c>
      <c r="F2434" s="4">
        <v>0</v>
      </c>
      <c r="G2434" s="4">
        <v>0</v>
      </c>
      <c r="H2434" s="4">
        <v>0</v>
      </c>
      <c r="I2434" s="4">
        <v>0</v>
      </c>
      <c r="J2434" s="4">
        <v>182353.13</v>
      </c>
      <c r="K2434" s="4">
        <v>0</v>
      </c>
      <c r="L2434" s="4">
        <v>0</v>
      </c>
      <c r="M2434" s="4">
        <v>0</v>
      </c>
      <c r="N2434" s="4">
        <v>0</v>
      </c>
      <c r="O2434" s="4">
        <v>0</v>
      </c>
      <c r="P2434" s="4">
        <v>0</v>
      </c>
      <c r="Q2434" s="4">
        <v>0</v>
      </c>
      <c r="S2434" s="8">
        <f t="shared" si="111"/>
        <v>0</v>
      </c>
      <c r="T2434" s="8">
        <f t="shared" si="112"/>
        <v>0</v>
      </c>
      <c r="U2434" s="9" t="e">
        <f t="shared" si="113"/>
        <v>#DIV/0!</v>
      </c>
    </row>
    <row r="2435" spans="1:21" outlineLevel="2">
      <c r="A2435" t="s">
        <v>612</v>
      </c>
      <c r="B2435" t="s">
        <v>613</v>
      </c>
      <c r="C2435" t="s">
        <v>83</v>
      </c>
      <c r="D2435" t="s">
        <v>84</v>
      </c>
      <c r="E2435" s="4">
        <v>393.43</v>
      </c>
      <c r="F2435" s="4">
        <v>799.31</v>
      </c>
      <c r="G2435" s="4">
        <v>822</v>
      </c>
      <c r="H2435" s="4">
        <v>-534.65</v>
      </c>
      <c r="I2435" s="4">
        <v>-501.4</v>
      </c>
      <c r="J2435" s="4">
        <v>125.9</v>
      </c>
      <c r="K2435" s="4">
        <v>0</v>
      </c>
      <c r="L2435" s="4">
        <v>-2824.56</v>
      </c>
      <c r="M2435" s="4">
        <v>-24.67</v>
      </c>
      <c r="N2435" s="4">
        <v>678.49</v>
      </c>
      <c r="O2435" s="4">
        <v>170.12</v>
      </c>
      <c r="P2435" s="4">
        <v>0</v>
      </c>
      <c r="Q2435" s="4">
        <v>317.38999999999993</v>
      </c>
      <c r="R2435" s="4">
        <v>951.3</v>
      </c>
      <c r="S2435" s="8">
        <f t="shared" ref="S2435:S2498" si="114">AVERAGE(L2435:Q2435)</f>
        <v>-280.53833333333336</v>
      </c>
      <c r="T2435" s="8">
        <f t="shared" ref="T2435:T2498" si="115">R2435-S2435</f>
        <v>1231.8383333333334</v>
      </c>
      <c r="U2435" s="9">
        <f t="shared" ref="U2435:U2498" si="116">(R2435-S2435)/S2435</f>
        <v>-4.3909804364228293</v>
      </c>
    </row>
    <row r="2436" spans="1:21" outlineLevel="2">
      <c r="A2436" t="s">
        <v>612</v>
      </c>
      <c r="B2436" t="s">
        <v>613</v>
      </c>
      <c r="C2436" t="s">
        <v>85</v>
      </c>
      <c r="D2436" t="s">
        <v>86</v>
      </c>
      <c r="E2436" s="4">
        <v>0</v>
      </c>
      <c r="F2436" s="4">
        <v>0</v>
      </c>
      <c r="G2436" s="4">
        <v>0</v>
      </c>
      <c r="H2436" s="4">
        <v>0</v>
      </c>
      <c r="I2436" s="4">
        <v>403.92</v>
      </c>
      <c r="J2436" s="4">
        <v>1608.55</v>
      </c>
      <c r="K2436" s="4">
        <v>0</v>
      </c>
      <c r="L2436" s="4">
        <v>0</v>
      </c>
      <c r="M2436" s="4">
        <v>0</v>
      </c>
      <c r="N2436" s="4">
        <v>0</v>
      </c>
      <c r="O2436" s="4">
        <v>0</v>
      </c>
      <c r="P2436" s="4">
        <v>0</v>
      </c>
      <c r="Q2436" s="4">
        <v>0</v>
      </c>
      <c r="S2436" s="8">
        <f t="shared" si="114"/>
        <v>0</v>
      </c>
      <c r="T2436" s="8">
        <f t="shared" si="115"/>
        <v>0</v>
      </c>
      <c r="U2436" s="9" t="e">
        <f t="shared" si="116"/>
        <v>#DIV/0!</v>
      </c>
    </row>
    <row r="2437" spans="1:21" outlineLevel="2">
      <c r="A2437" t="s">
        <v>612</v>
      </c>
      <c r="B2437" t="s">
        <v>613</v>
      </c>
      <c r="C2437" t="s">
        <v>599</v>
      </c>
      <c r="D2437" t="s">
        <v>311</v>
      </c>
      <c r="E2437" s="4">
        <v>0</v>
      </c>
      <c r="F2437" s="4">
        <v>0</v>
      </c>
      <c r="G2437" s="4">
        <v>0</v>
      </c>
      <c r="H2437" s="4">
        <v>0</v>
      </c>
      <c r="I2437" s="4">
        <v>0</v>
      </c>
      <c r="J2437" s="4">
        <v>0</v>
      </c>
      <c r="K2437" s="4">
        <v>0</v>
      </c>
      <c r="L2437" s="4">
        <v>1339.2600000000002</v>
      </c>
      <c r="M2437" s="4">
        <v>0</v>
      </c>
      <c r="N2437" s="4">
        <v>0</v>
      </c>
      <c r="O2437" s="4">
        <v>0</v>
      </c>
      <c r="P2437" s="4">
        <v>0</v>
      </c>
      <c r="Q2437" s="4">
        <v>0</v>
      </c>
      <c r="S2437" s="8">
        <f t="shared" si="114"/>
        <v>223.21000000000004</v>
      </c>
      <c r="T2437" s="8">
        <f t="shared" si="115"/>
        <v>-223.21000000000004</v>
      </c>
      <c r="U2437" s="9">
        <f t="shared" si="116"/>
        <v>-1</v>
      </c>
    </row>
    <row r="2438" spans="1:21" outlineLevel="2">
      <c r="A2438" t="s">
        <v>612</v>
      </c>
      <c r="B2438" t="s">
        <v>613</v>
      </c>
      <c r="C2438" t="s">
        <v>310</v>
      </c>
      <c r="D2438" t="s">
        <v>311</v>
      </c>
      <c r="E2438" s="4">
        <v>0</v>
      </c>
      <c r="F2438" s="4">
        <v>0</v>
      </c>
      <c r="G2438" s="4">
        <v>0</v>
      </c>
      <c r="H2438" s="4">
        <v>0</v>
      </c>
      <c r="I2438" s="4">
        <v>2770.62</v>
      </c>
      <c r="J2438" s="4">
        <v>880.56</v>
      </c>
      <c r="K2438" s="4">
        <v>0</v>
      </c>
      <c r="L2438" s="4">
        <v>0</v>
      </c>
      <c r="M2438" s="4">
        <v>0</v>
      </c>
      <c r="N2438" s="4">
        <v>2795.41</v>
      </c>
      <c r="O2438" s="4">
        <v>410.12000000000006</v>
      </c>
      <c r="P2438" s="4">
        <v>2250.6999999999998</v>
      </c>
      <c r="Q2438" s="4">
        <v>0</v>
      </c>
      <c r="S2438" s="8">
        <f t="shared" si="114"/>
        <v>909.37166666666656</v>
      </c>
      <c r="T2438" s="8">
        <f t="shared" si="115"/>
        <v>-909.37166666666656</v>
      </c>
      <c r="U2438" s="9">
        <f t="shared" si="116"/>
        <v>-1</v>
      </c>
    </row>
    <row r="2439" spans="1:21" outlineLevel="2">
      <c r="A2439" t="s">
        <v>612</v>
      </c>
      <c r="B2439" t="s">
        <v>613</v>
      </c>
      <c r="C2439" t="s">
        <v>87</v>
      </c>
      <c r="D2439" t="s">
        <v>88</v>
      </c>
      <c r="E2439" s="4">
        <v>339.23</v>
      </c>
      <c r="F2439" s="4">
        <v>0</v>
      </c>
      <c r="G2439" s="4">
        <v>81.98</v>
      </c>
      <c r="H2439" s="4">
        <v>30.04</v>
      </c>
      <c r="I2439" s="4">
        <v>216.67</v>
      </c>
      <c r="J2439" s="4">
        <v>16.77</v>
      </c>
      <c r="K2439" s="4">
        <v>10.82</v>
      </c>
      <c r="L2439" s="4">
        <v>-475.14</v>
      </c>
      <c r="M2439" s="4">
        <v>347.83</v>
      </c>
      <c r="N2439" s="4">
        <v>21.44</v>
      </c>
      <c r="O2439" s="4">
        <v>536.23</v>
      </c>
      <c r="P2439" s="4">
        <v>0</v>
      </c>
      <c r="Q2439" s="4">
        <v>39.83</v>
      </c>
      <c r="S2439" s="8">
        <f t="shared" si="114"/>
        <v>78.364999999999995</v>
      </c>
      <c r="T2439" s="8">
        <f t="shared" si="115"/>
        <v>-78.364999999999995</v>
      </c>
      <c r="U2439" s="9">
        <f t="shared" si="116"/>
        <v>-1</v>
      </c>
    </row>
    <row r="2440" spans="1:21" outlineLevel="2">
      <c r="A2440" t="s">
        <v>612</v>
      </c>
      <c r="B2440" t="s">
        <v>613</v>
      </c>
      <c r="C2440" t="s">
        <v>166</v>
      </c>
      <c r="D2440" t="s">
        <v>167</v>
      </c>
      <c r="E2440" s="4">
        <v>0</v>
      </c>
      <c r="F2440" s="4">
        <v>0</v>
      </c>
      <c r="G2440" s="4">
        <v>87</v>
      </c>
      <c r="H2440" s="4">
        <v>107</v>
      </c>
      <c r="I2440" s="4">
        <v>0</v>
      </c>
      <c r="J2440" s="4">
        <v>0</v>
      </c>
      <c r="K2440" s="4">
        <v>0</v>
      </c>
      <c r="L2440" s="4">
        <v>0</v>
      </c>
      <c r="M2440" s="4">
        <v>0</v>
      </c>
      <c r="N2440" s="4">
        <v>0</v>
      </c>
      <c r="O2440" s="4">
        <v>0</v>
      </c>
      <c r="P2440" s="4">
        <v>0</v>
      </c>
      <c r="Q2440" s="4">
        <v>0</v>
      </c>
      <c r="S2440" s="8">
        <f t="shared" si="114"/>
        <v>0</v>
      </c>
      <c r="T2440" s="8">
        <f t="shared" si="115"/>
        <v>0</v>
      </c>
      <c r="U2440" s="9" t="e">
        <f t="shared" si="116"/>
        <v>#DIV/0!</v>
      </c>
    </row>
    <row r="2441" spans="1:21" outlineLevel="2">
      <c r="A2441" t="s">
        <v>612</v>
      </c>
      <c r="B2441" t="s">
        <v>613</v>
      </c>
      <c r="C2441" t="s">
        <v>182</v>
      </c>
      <c r="D2441" t="s">
        <v>183</v>
      </c>
      <c r="E2441" s="4">
        <v>0</v>
      </c>
      <c r="F2441" s="4">
        <v>0</v>
      </c>
      <c r="G2441" s="4">
        <v>0</v>
      </c>
      <c r="H2441" s="4">
        <v>0</v>
      </c>
      <c r="I2441" s="4">
        <v>0</v>
      </c>
      <c r="J2441" s="4">
        <v>0</v>
      </c>
      <c r="K2441" s="4">
        <v>0</v>
      </c>
      <c r="L2441" s="4">
        <v>0</v>
      </c>
      <c r="M2441" s="4">
        <v>0</v>
      </c>
      <c r="N2441" s="4">
        <v>111.19</v>
      </c>
      <c r="O2441" s="4">
        <v>0</v>
      </c>
      <c r="P2441" s="4">
        <v>296.18</v>
      </c>
      <c r="Q2441" s="4">
        <v>0</v>
      </c>
      <c r="S2441" s="8">
        <f t="shared" si="114"/>
        <v>67.894999999999996</v>
      </c>
      <c r="T2441" s="8">
        <f t="shared" si="115"/>
        <v>-67.894999999999996</v>
      </c>
      <c r="U2441" s="9">
        <f t="shared" si="116"/>
        <v>-1</v>
      </c>
    </row>
    <row r="2442" spans="1:21" outlineLevel="2">
      <c r="A2442" t="s">
        <v>612</v>
      </c>
      <c r="B2442" t="s">
        <v>613</v>
      </c>
      <c r="C2442" t="s">
        <v>93</v>
      </c>
      <c r="D2442" t="s">
        <v>94</v>
      </c>
      <c r="E2442" s="4">
        <v>0</v>
      </c>
      <c r="F2442" s="4">
        <v>0</v>
      </c>
      <c r="G2442" s="4">
        <v>0</v>
      </c>
      <c r="H2442" s="4">
        <v>52.68</v>
      </c>
      <c r="I2442" s="4">
        <v>2168.64</v>
      </c>
      <c r="J2442" s="4">
        <v>43.89</v>
      </c>
      <c r="K2442" s="4">
        <v>0</v>
      </c>
      <c r="L2442" s="4">
        <v>-181.03</v>
      </c>
      <c r="M2442" s="4">
        <v>6998.3899999999994</v>
      </c>
      <c r="N2442" s="4">
        <v>356.69</v>
      </c>
      <c r="O2442" s="4">
        <v>155.22</v>
      </c>
      <c r="P2442" s="4">
        <v>21.4</v>
      </c>
      <c r="Q2442" s="4">
        <v>306.37</v>
      </c>
      <c r="S2442" s="8">
        <f t="shared" si="114"/>
        <v>1276.1733333333332</v>
      </c>
      <c r="T2442" s="8">
        <f t="shared" si="115"/>
        <v>-1276.1733333333332</v>
      </c>
      <c r="U2442" s="9">
        <f t="shared" si="116"/>
        <v>-1</v>
      </c>
    </row>
    <row r="2443" spans="1:21" outlineLevel="2">
      <c r="A2443" t="s">
        <v>612</v>
      </c>
      <c r="B2443" t="s">
        <v>613</v>
      </c>
      <c r="C2443" t="s">
        <v>97</v>
      </c>
      <c r="D2443" t="s">
        <v>98</v>
      </c>
      <c r="E2443" s="4">
        <v>6334.03</v>
      </c>
      <c r="F2443" s="4">
        <v>4964.3499999999995</v>
      </c>
      <c r="G2443" s="4">
        <v>5024.0600000000004</v>
      </c>
      <c r="H2443" s="4">
        <v>5644.6900000000014</v>
      </c>
      <c r="I2443" s="4">
        <v>7021.8599999999988</v>
      </c>
      <c r="J2443" s="4">
        <v>15694.41</v>
      </c>
      <c r="K2443" s="4">
        <v>7258.5199999999995</v>
      </c>
      <c r="L2443" s="4">
        <v>4056.31</v>
      </c>
      <c r="M2443" s="4">
        <v>14773.52</v>
      </c>
      <c r="N2443" s="4">
        <v>17831.189999999999</v>
      </c>
      <c r="O2443" s="4">
        <v>18685.009999999998</v>
      </c>
      <c r="P2443" s="4">
        <v>15878.039999999999</v>
      </c>
      <c r="Q2443" s="4">
        <v>5431.2199999999993</v>
      </c>
      <c r="R2443" s="4">
        <v>17014.480000000003</v>
      </c>
      <c r="S2443" s="8">
        <f t="shared" si="114"/>
        <v>12775.881666666666</v>
      </c>
      <c r="T2443" s="8">
        <f t="shared" si="115"/>
        <v>4238.598333333337</v>
      </c>
      <c r="U2443" s="9">
        <f t="shared" si="116"/>
        <v>0.33176562243779945</v>
      </c>
    </row>
    <row r="2444" spans="1:21" outlineLevel="2">
      <c r="A2444" t="s">
        <v>612</v>
      </c>
      <c r="B2444" t="s">
        <v>613</v>
      </c>
      <c r="C2444" t="s">
        <v>184</v>
      </c>
      <c r="D2444" t="s">
        <v>185</v>
      </c>
      <c r="E2444" s="4">
        <v>0</v>
      </c>
      <c r="F2444" s="4">
        <v>0</v>
      </c>
      <c r="G2444" s="4">
        <v>0</v>
      </c>
      <c r="H2444" s="4">
        <v>181.86</v>
      </c>
      <c r="I2444" s="4">
        <v>0</v>
      </c>
      <c r="J2444" s="4">
        <v>0</v>
      </c>
      <c r="K2444" s="4">
        <v>0</v>
      </c>
      <c r="L2444" s="4">
        <v>0</v>
      </c>
      <c r="M2444" s="4">
        <v>0</v>
      </c>
      <c r="N2444" s="4">
        <v>0</v>
      </c>
      <c r="O2444" s="4">
        <v>0</v>
      </c>
      <c r="P2444" s="4">
        <v>0</v>
      </c>
      <c r="Q2444" s="4">
        <v>0</v>
      </c>
      <c r="S2444" s="8">
        <f t="shared" si="114"/>
        <v>0</v>
      </c>
      <c r="T2444" s="8">
        <f t="shared" si="115"/>
        <v>0</v>
      </c>
      <c r="U2444" s="9" t="e">
        <f t="shared" si="116"/>
        <v>#DIV/0!</v>
      </c>
    </row>
    <row r="2445" spans="1:21" outlineLevel="2">
      <c r="A2445" t="s">
        <v>612</v>
      </c>
      <c r="B2445" t="s">
        <v>613</v>
      </c>
      <c r="C2445" t="s">
        <v>101</v>
      </c>
      <c r="D2445" t="s">
        <v>102</v>
      </c>
      <c r="E2445" s="4">
        <v>405.61</v>
      </c>
      <c r="F2445" s="4">
        <v>309.91000000000003</v>
      </c>
      <c r="G2445" s="4">
        <v>3213.83</v>
      </c>
      <c r="H2445" s="4">
        <v>369.21</v>
      </c>
      <c r="I2445" s="4">
        <v>730.28</v>
      </c>
      <c r="J2445" s="4">
        <v>1676.47</v>
      </c>
      <c r="K2445" s="4">
        <v>234.95</v>
      </c>
      <c r="L2445" s="4">
        <v>265.77</v>
      </c>
      <c r="M2445" s="4">
        <v>357</v>
      </c>
      <c r="N2445" s="4">
        <v>4356.67</v>
      </c>
      <c r="O2445" s="4">
        <v>5323.08</v>
      </c>
      <c r="P2445" s="4">
        <v>1066.24</v>
      </c>
      <c r="Q2445" s="4">
        <v>441.94</v>
      </c>
      <c r="S2445" s="8">
        <f t="shared" si="114"/>
        <v>1968.45</v>
      </c>
      <c r="T2445" s="8">
        <f t="shared" si="115"/>
        <v>-1968.45</v>
      </c>
      <c r="U2445" s="9">
        <f t="shared" si="116"/>
        <v>-1</v>
      </c>
    </row>
    <row r="2446" spans="1:21" outlineLevel="2">
      <c r="A2446" t="s">
        <v>612</v>
      </c>
      <c r="B2446" t="s">
        <v>613</v>
      </c>
      <c r="C2446" t="s">
        <v>198</v>
      </c>
      <c r="D2446" t="s">
        <v>199</v>
      </c>
      <c r="E2446" s="4">
        <v>0</v>
      </c>
      <c r="F2446" s="4">
        <v>0</v>
      </c>
      <c r="G2446" s="4">
        <v>0</v>
      </c>
      <c r="H2446" s="4">
        <v>0</v>
      </c>
      <c r="I2446" s="4">
        <v>0</v>
      </c>
      <c r="J2446" s="4">
        <v>2927.88</v>
      </c>
      <c r="K2446" s="4">
        <v>0</v>
      </c>
      <c r="L2446" s="4">
        <v>0</v>
      </c>
      <c r="M2446" s="4">
        <v>0</v>
      </c>
      <c r="N2446" s="4">
        <v>0</v>
      </c>
      <c r="O2446" s="4">
        <v>0</v>
      </c>
      <c r="P2446" s="4">
        <v>0</v>
      </c>
      <c r="Q2446" s="4">
        <v>0</v>
      </c>
      <c r="S2446" s="8">
        <f t="shared" si="114"/>
        <v>0</v>
      </c>
      <c r="T2446" s="8">
        <f t="shared" si="115"/>
        <v>0</v>
      </c>
      <c r="U2446" s="9" t="e">
        <f t="shared" si="116"/>
        <v>#DIV/0!</v>
      </c>
    </row>
    <row r="2447" spans="1:21" outlineLevel="2">
      <c r="A2447" t="s">
        <v>612</v>
      </c>
      <c r="B2447" t="s">
        <v>613</v>
      </c>
      <c r="C2447" t="s">
        <v>312</v>
      </c>
      <c r="D2447" t="s">
        <v>313</v>
      </c>
      <c r="E2447" s="4">
        <v>3049.24</v>
      </c>
      <c r="F2447" s="4">
        <v>588.88</v>
      </c>
      <c r="G2447" s="4">
        <v>2046.55</v>
      </c>
      <c r="H2447" s="4">
        <v>2438.44</v>
      </c>
      <c r="I2447" s="4">
        <v>1512.9700000000003</v>
      </c>
      <c r="J2447" s="4">
        <v>1015</v>
      </c>
      <c r="K2447" s="4">
        <v>1382.6599999999999</v>
      </c>
      <c r="L2447" s="4">
        <v>2980.9399999999991</v>
      </c>
      <c r="M2447" s="4">
        <v>2041</v>
      </c>
      <c r="N2447" s="4">
        <v>1000</v>
      </c>
      <c r="O2447" s="4">
        <v>435</v>
      </c>
      <c r="P2447" s="4">
        <v>2286.0299999999997</v>
      </c>
      <c r="Q2447" s="4">
        <v>1849</v>
      </c>
      <c r="R2447" s="4">
        <v>691.25</v>
      </c>
      <c r="S2447" s="8">
        <f t="shared" si="114"/>
        <v>1765.3283333333329</v>
      </c>
      <c r="T2447" s="8">
        <f t="shared" si="115"/>
        <v>-1074.0783333333329</v>
      </c>
      <c r="U2447" s="9">
        <f t="shared" si="116"/>
        <v>-0.60842978218405064</v>
      </c>
    </row>
    <row r="2448" spans="1:21" outlineLevel="2">
      <c r="A2448" t="s">
        <v>612</v>
      </c>
      <c r="B2448" t="s">
        <v>613</v>
      </c>
      <c r="C2448" t="s">
        <v>111</v>
      </c>
      <c r="D2448" t="s">
        <v>112</v>
      </c>
      <c r="E2448" s="4">
        <v>0</v>
      </c>
      <c r="F2448" s="4">
        <v>0</v>
      </c>
      <c r="G2448" s="4">
        <v>0</v>
      </c>
      <c r="H2448" s="4">
        <v>7389.6</v>
      </c>
      <c r="I2448" s="4">
        <v>0</v>
      </c>
      <c r="J2448" s="4">
        <v>-7389.6</v>
      </c>
      <c r="K2448" s="4">
        <v>0</v>
      </c>
      <c r="L2448" s="4">
        <v>0</v>
      </c>
      <c r="M2448" s="4">
        <v>0</v>
      </c>
      <c r="N2448" s="4">
        <v>0</v>
      </c>
      <c r="O2448" s="4">
        <v>0</v>
      </c>
      <c r="P2448" s="4">
        <v>0</v>
      </c>
      <c r="Q2448" s="4">
        <v>0</v>
      </c>
      <c r="S2448" s="8">
        <f t="shared" si="114"/>
        <v>0</v>
      </c>
      <c r="T2448" s="8">
        <f t="shared" si="115"/>
        <v>0</v>
      </c>
      <c r="U2448" s="9" t="e">
        <f t="shared" si="116"/>
        <v>#DIV/0!</v>
      </c>
    </row>
    <row r="2449" spans="1:22" outlineLevel="2">
      <c r="A2449" t="s">
        <v>612</v>
      </c>
      <c r="B2449" t="s">
        <v>613</v>
      </c>
      <c r="C2449" t="s">
        <v>170</v>
      </c>
      <c r="D2449" t="s">
        <v>171</v>
      </c>
      <c r="E2449" s="4">
        <v>2362.5</v>
      </c>
      <c r="F2449" s="4">
        <v>1575</v>
      </c>
      <c r="G2449" s="4">
        <v>1575</v>
      </c>
      <c r="H2449" s="4">
        <v>1512</v>
      </c>
      <c r="I2449" s="4">
        <v>1494</v>
      </c>
      <c r="J2449" s="4">
        <v>1539</v>
      </c>
      <c r="K2449" s="4">
        <v>1350</v>
      </c>
      <c r="L2449" s="4">
        <v>1872</v>
      </c>
      <c r="M2449" s="4">
        <v>1197</v>
      </c>
      <c r="N2449" s="4">
        <v>1197</v>
      </c>
      <c r="O2449" s="4">
        <v>1197</v>
      </c>
      <c r="P2449" s="4">
        <v>1197</v>
      </c>
      <c r="Q2449" s="4">
        <v>598.5</v>
      </c>
      <c r="S2449" s="8">
        <f t="shared" si="114"/>
        <v>1209.75</v>
      </c>
      <c r="T2449" s="8">
        <f t="shared" si="115"/>
        <v>-1209.75</v>
      </c>
      <c r="U2449" s="9">
        <f t="shared" si="116"/>
        <v>-1</v>
      </c>
    </row>
    <row r="2450" spans="1:22" outlineLevel="2">
      <c r="A2450" t="s">
        <v>612</v>
      </c>
      <c r="B2450" t="s">
        <v>613</v>
      </c>
      <c r="C2450" t="s">
        <v>119</v>
      </c>
      <c r="D2450" t="s">
        <v>120</v>
      </c>
      <c r="E2450" s="4">
        <v>14062.329999999996</v>
      </c>
      <c r="F2450" s="4">
        <v>13507.17</v>
      </c>
      <c r="G2450" s="4">
        <v>11332.88</v>
      </c>
      <c r="H2450" s="4">
        <v>16074.7</v>
      </c>
      <c r="I2450" s="4">
        <v>14876.3</v>
      </c>
      <c r="J2450" s="4">
        <v>13485.62</v>
      </c>
      <c r="K2450" s="4">
        <v>12897.400000000001</v>
      </c>
      <c r="L2450" s="4">
        <v>11674.150000000001</v>
      </c>
      <c r="M2450" s="4">
        <v>12616.210000000001</v>
      </c>
      <c r="N2450" s="4">
        <v>14172.200000000003</v>
      </c>
      <c r="O2450" s="4">
        <v>8323.1099999999988</v>
      </c>
      <c r="P2450" s="4">
        <v>11734.69</v>
      </c>
      <c r="Q2450" s="4">
        <v>13601.08</v>
      </c>
      <c r="R2450" s="4">
        <v>14592.730000000001</v>
      </c>
      <c r="S2450" s="8">
        <f t="shared" si="114"/>
        <v>12020.24</v>
      </c>
      <c r="T2450" s="8">
        <f t="shared" si="115"/>
        <v>2572.4900000000016</v>
      </c>
      <c r="U2450" s="9">
        <f t="shared" si="116"/>
        <v>0.21401319773981231</v>
      </c>
    </row>
    <row r="2451" spans="1:22" outlineLevel="2">
      <c r="A2451" t="s">
        <v>612</v>
      </c>
      <c r="B2451" t="s">
        <v>613</v>
      </c>
      <c r="C2451" t="s">
        <v>121</v>
      </c>
      <c r="D2451" t="s">
        <v>122</v>
      </c>
      <c r="E2451" s="4">
        <v>85499.400000000009</v>
      </c>
      <c r="F2451" s="4">
        <v>151661.34</v>
      </c>
      <c r="G2451" s="4">
        <v>128516.04000000001</v>
      </c>
      <c r="H2451" s="4">
        <v>135333.76000000001</v>
      </c>
      <c r="I2451" s="4">
        <v>127322.28</v>
      </c>
      <c r="J2451" s="4">
        <v>132103.16000000003</v>
      </c>
      <c r="K2451" s="4">
        <v>133363.5</v>
      </c>
      <c r="L2451" s="4">
        <v>138852.24</v>
      </c>
      <c r="M2451" s="4">
        <v>145288.68</v>
      </c>
      <c r="N2451" s="4">
        <v>118264.17000000001</v>
      </c>
      <c r="O2451" s="4">
        <v>90889.78</v>
      </c>
      <c r="P2451" s="4">
        <v>116807.62</v>
      </c>
      <c r="Q2451" s="4">
        <v>98937.78</v>
      </c>
      <c r="R2451" s="4">
        <v>119610.4</v>
      </c>
      <c r="S2451" s="8">
        <f t="shared" si="114"/>
        <v>118173.37833333334</v>
      </c>
      <c r="T2451" s="8">
        <f t="shared" si="115"/>
        <v>1437.0216666666529</v>
      </c>
      <c r="U2451" s="9">
        <f t="shared" si="116"/>
        <v>1.2160282518226951E-2</v>
      </c>
    </row>
    <row r="2452" spans="1:22" outlineLevel="2">
      <c r="A2452" t="s">
        <v>612</v>
      </c>
      <c r="B2452" t="s">
        <v>613</v>
      </c>
      <c r="C2452" t="s">
        <v>127</v>
      </c>
      <c r="D2452" t="s">
        <v>120</v>
      </c>
      <c r="E2452" s="4">
        <v>386.76</v>
      </c>
      <c r="F2452" s="4">
        <v>591.99</v>
      </c>
      <c r="G2452" s="4">
        <v>151.9</v>
      </c>
      <c r="H2452" s="4">
        <v>15.4</v>
      </c>
      <c r="I2452" s="4">
        <v>489.25</v>
      </c>
      <c r="J2452" s="4">
        <v>228.45</v>
      </c>
      <c r="K2452" s="4">
        <v>413.57000000000005</v>
      </c>
      <c r="L2452" s="4">
        <v>74.75</v>
      </c>
      <c r="M2452" s="4">
        <v>241.95</v>
      </c>
      <c r="N2452" s="4">
        <v>543.21</v>
      </c>
      <c r="O2452" s="4">
        <v>5758.79</v>
      </c>
      <c r="P2452" s="4">
        <v>574.48</v>
      </c>
      <c r="Q2452" s="4">
        <v>210.51</v>
      </c>
      <c r="S2452" s="8">
        <f t="shared" si="114"/>
        <v>1233.9483333333335</v>
      </c>
      <c r="T2452" s="8">
        <f t="shared" si="115"/>
        <v>-1233.9483333333335</v>
      </c>
      <c r="U2452" s="9">
        <f t="shared" si="116"/>
        <v>-1</v>
      </c>
    </row>
    <row r="2453" spans="1:22" outlineLevel="2">
      <c r="A2453" t="s">
        <v>612</v>
      </c>
      <c r="B2453" t="s">
        <v>613</v>
      </c>
      <c r="C2453" t="s">
        <v>616</v>
      </c>
      <c r="D2453" t="s">
        <v>617</v>
      </c>
      <c r="E2453" s="4">
        <v>0</v>
      </c>
      <c r="F2453" s="4">
        <v>0</v>
      </c>
      <c r="G2453" s="4">
        <v>0</v>
      </c>
      <c r="H2453" s="4">
        <v>0</v>
      </c>
      <c r="I2453" s="4">
        <v>0</v>
      </c>
      <c r="J2453" s="4">
        <v>0</v>
      </c>
      <c r="K2453" s="4">
        <v>0</v>
      </c>
      <c r="L2453" s="4">
        <v>0</v>
      </c>
      <c r="M2453" s="4">
        <v>0</v>
      </c>
      <c r="N2453" s="4">
        <v>-46605.760000000002</v>
      </c>
      <c r="O2453" s="4">
        <v>0</v>
      </c>
      <c r="P2453" s="4">
        <v>0</v>
      </c>
      <c r="Q2453" s="4">
        <v>0</v>
      </c>
      <c r="S2453" s="8">
        <f t="shared" si="114"/>
        <v>-7767.626666666667</v>
      </c>
      <c r="T2453" s="8">
        <f t="shared" si="115"/>
        <v>7767.626666666667</v>
      </c>
      <c r="U2453" s="9">
        <f t="shared" si="116"/>
        <v>-1</v>
      </c>
    </row>
    <row r="2454" spans="1:22" outlineLevel="2">
      <c r="A2454" t="s">
        <v>612</v>
      </c>
      <c r="B2454" t="s">
        <v>613</v>
      </c>
      <c r="C2454" t="s">
        <v>600</v>
      </c>
      <c r="D2454" t="s">
        <v>601</v>
      </c>
      <c r="E2454" s="4">
        <v>1758531.36</v>
      </c>
      <c r="F2454" s="4">
        <v>1701589.9300000002</v>
      </c>
      <c r="G2454" s="4">
        <v>1819406.3499999999</v>
      </c>
      <c r="H2454" s="4">
        <v>1797914.78</v>
      </c>
      <c r="I2454" s="4">
        <v>1606995.59</v>
      </c>
      <c r="J2454" s="4">
        <v>1985261.14</v>
      </c>
      <c r="K2454" s="4">
        <v>1617580.8800000001</v>
      </c>
      <c r="L2454" s="4">
        <v>1682594.43</v>
      </c>
      <c r="M2454" s="4">
        <v>1898158.11</v>
      </c>
      <c r="N2454" s="4">
        <v>1710473.7</v>
      </c>
      <c r="O2454" s="4">
        <v>1500839.58</v>
      </c>
      <c r="P2454" s="4">
        <v>1962374.08</v>
      </c>
      <c r="Q2454" s="4">
        <v>1727267.11</v>
      </c>
      <c r="S2454" s="8">
        <f t="shared" si="114"/>
        <v>1746951.1683333332</v>
      </c>
      <c r="T2454" s="8">
        <f t="shared" si="115"/>
        <v>-1746951.1683333332</v>
      </c>
      <c r="U2454" s="9">
        <f t="shared" si="116"/>
        <v>-1</v>
      </c>
    </row>
    <row r="2455" spans="1:22" outlineLevel="2">
      <c r="A2455" t="s">
        <v>612</v>
      </c>
      <c r="B2455" t="s">
        <v>613</v>
      </c>
      <c r="C2455" t="s">
        <v>190</v>
      </c>
      <c r="D2455" t="s">
        <v>191</v>
      </c>
      <c r="E2455" s="4">
        <v>0</v>
      </c>
      <c r="F2455" s="4">
        <v>0</v>
      </c>
      <c r="G2455" s="4">
        <v>0</v>
      </c>
      <c r="H2455" s="4">
        <v>0</v>
      </c>
      <c r="I2455" s="4">
        <v>0</v>
      </c>
      <c r="J2455" s="4">
        <v>0</v>
      </c>
      <c r="K2455" s="4">
        <v>0</v>
      </c>
      <c r="L2455" s="4">
        <v>4717.13</v>
      </c>
      <c r="M2455" s="4">
        <v>0</v>
      </c>
      <c r="N2455" s="4">
        <v>0</v>
      </c>
      <c r="O2455" s="4">
        <v>0</v>
      </c>
      <c r="P2455" s="4">
        <v>0</v>
      </c>
      <c r="Q2455" s="4">
        <v>0</v>
      </c>
      <c r="S2455" s="8">
        <f t="shared" si="114"/>
        <v>786.18833333333339</v>
      </c>
      <c r="T2455" s="8">
        <f t="shared" si="115"/>
        <v>-786.18833333333339</v>
      </c>
      <c r="U2455" s="9">
        <f t="shared" si="116"/>
        <v>-1</v>
      </c>
    </row>
    <row r="2456" spans="1:22" outlineLevel="2">
      <c r="A2456" t="s">
        <v>612</v>
      </c>
      <c r="B2456" t="s">
        <v>613</v>
      </c>
      <c r="C2456" t="s">
        <v>602</v>
      </c>
      <c r="D2456" t="s">
        <v>603</v>
      </c>
      <c r="E2456" s="4">
        <v>0</v>
      </c>
      <c r="F2456" s="4">
        <v>0</v>
      </c>
      <c r="G2456" s="4">
        <v>900.65</v>
      </c>
      <c r="H2456" s="4">
        <v>0</v>
      </c>
      <c r="I2456" s="4">
        <v>0</v>
      </c>
      <c r="J2456" s="4">
        <v>0</v>
      </c>
      <c r="K2456" s="4">
        <v>0</v>
      </c>
      <c r="L2456" s="4">
        <v>0</v>
      </c>
      <c r="M2456" s="4">
        <v>1617.88</v>
      </c>
      <c r="N2456" s="4">
        <v>0</v>
      </c>
      <c r="O2456" s="4">
        <v>0</v>
      </c>
      <c r="P2456" s="4">
        <v>0</v>
      </c>
      <c r="Q2456" s="4">
        <v>0</v>
      </c>
      <c r="S2456" s="8">
        <f t="shared" si="114"/>
        <v>269.6466666666667</v>
      </c>
      <c r="T2456" s="8">
        <f t="shared" si="115"/>
        <v>-269.6466666666667</v>
      </c>
      <c r="U2456" s="9">
        <f t="shared" si="116"/>
        <v>-1</v>
      </c>
    </row>
    <row r="2457" spans="1:22" outlineLevel="1">
      <c r="A2457" s="1" t="s">
        <v>854</v>
      </c>
      <c r="E2457" s="4">
        <f>SUBTOTAL(9,E2388:E2456)</f>
        <v>3517062.7199999997</v>
      </c>
      <c r="F2457" s="4">
        <f>SUBTOTAL(9,F2388:F2456)</f>
        <v>3403179.8600000003</v>
      </c>
      <c r="G2457" s="4">
        <f>SUBTOTAL(9,G2388:G2456)</f>
        <v>3639485.1199999996</v>
      </c>
      <c r="H2457" s="4">
        <f>SUBTOTAL(9,H2388:H2456)</f>
        <v>3595829.5599999996</v>
      </c>
      <c r="I2457" s="4">
        <f>SUBTOTAL(9,I2388:I2456)</f>
        <v>3213991.1799999997</v>
      </c>
      <c r="J2457" s="4">
        <f>SUBTOTAL(9,J2388:J2456)</f>
        <v>3961616.6699999995</v>
      </c>
      <c r="K2457" s="4">
        <f>SUBTOTAL(9,K2388:K2456)</f>
        <v>3243394.95</v>
      </c>
      <c r="L2457" s="4">
        <f>SUBTOTAL(9,L2388:L2456)</f>
        <v>3365188.8600000003</v>
      </c>
      <c r="M2457" s="4">
        <f>SUBTOTAL(9,M2388:M2456)</f>
        <v>3774794.2500000005</v>
      </c>
      <c r="N2457" s="4">
        <f>SUBTOTAL(9,N2388:N2456)</f>
        <v>3374341.64</v>
      </c>
      <c r="O2457" s="4">
        <f>SUBTOTAL(9,O2388:O2456)</f>
        <v>2920192.7200000007</v>
      </c>
      <c r="P2457" s="4">
        <f>SUBTOTAL(9,P2388:P2456)</f>
        <v>3971641.2900000005</v>
      </c>
      <c r="Q2457" s="4">
        <f>SUBTOTAL(9,Q2388:Q2456)</f>
        <v>3417059.95</v>
      </c>
      <c r="R2457" s="4">
        <f>SUBTOTAL(9,R2388:R2456)</f>
        <v>374303.09000000014</v>
      </c>
      <c r="S2457" s="8">
        <f t="shared" si="114"/>
        <v>3470536.4516666667</v>
      </c>
      <c r="T2457" s="8">
        <f t="shared" si="115"/>
        <v>-3096233.3616666663</v>
      </c>
      <c r="U2457" s="9">
        <f t="shared" si="116"/>
        <v>-0.8921483478958282</v>
      </c>
      <c r="V2457" t="s">
        <v>896</v>
      </c>
    </row>
    <row r="2458" spans="1:22" outlineLevel="2">
      <c r="A2458" t="s">
        <v>618</v>
      </c>
      <c r="B2458" t="s">
        <v>619</v>
      </c>
      <c r="C2458" t="s">
        <v>19</v>
      </c>
      <c r="D2458" t="s">
        <v>20</v>
      </c>
      <c r="E2458" s="4">
        <v>54.34</v>
      </c>
      <c r="F2458" s="4">
        <v>0</v>
      </c>
      <c r="G2458" s="4">
        <v>0</v>
      </c>
      <c r="H2458" s="4">
        <v>0</v>
      </c>
      <c r="I2458" s="4">
        <v>0</v>
      </c>
      <c r="J2458" s="4">
        <v>0</v>
      </c>
      <c r="K2458" s="4">
        <v>0</v>
      </c>
      <c r="L2458" s="4">
        <v>0</v>
      </c>
      <c r="M2458" s="4">
        <v>0</v>
      </c>
      <c r="N2458" s="4">
        <v>-156.88</v>
      </c>
      <c r="O2458" s="4">
        <v>0</v>
      </c>
      <c r="P2458" s="4">
        <v>0</v>
      </c>
      <c r="Q2458" s="4">
        <v>0</v>
      </c>
      <c r="S2458" s="8">
        <f t="shared" si="114"/>
        <v>-26.146666666666665</v>
      </c>
      <c r="T2458" s="8">
        <f t="shared" si="115"/>
        <v>26.146666666666665</v>
      </c>
      <c r="U2458" s="9">
        <f t="shared" si="116"/>
        <v>-1</v>
      </c>
    </row>
    <row r="2459" spans="1:22" outlineLevel="2">
      <c r="A2459" t="s">
        <v>618</v>
      </c>
      <c r="B2459" t="s">
        <v>619</v>
      </c>
      <c r="C2459" t="s">
        <v>21</v>
      </c>
      <c r="D2459" t="s">
        <v>22</v>
      </c>
      <c r="E2459" s="4">
        <v>-299.62</v>
      </c>
      <c r="F2459" s="4">
        <v>-325.58000000000004</v>
      </c>
      <c r="G2459" s="4">
        <v>-1754.1599999999999</v>
      </c>
      <c r="H2459" s="4">
        <v>-457.37</v>
      </c>
      <c r="I2459" s="4">
        <v>-511.72</v>
      </c>
      <c r="J2459" s="4">
        <v>-1173.03</v>
      </c>
      <c r="K2459" s="4">
        <v>-1712.84</v>
      </c>
      <c r="L2459" s="4">
        <v>-1084.8599999999999</v>
      </c>
      <c r="M2459" s="4">
        <v>-2705.73</v>
      </c>
      <c r="N2459" s="4">
        <v>-2191.8200000000002</v>
      </c>
      <c r="O2459" s="4">
        <v>-3292.37</v>
      </c>
      <c r="P2459" s="4">
        <v>-668.73</v>
      </c>
      <c r="Q2459" s="4">
        <v>-603.98</v>
      </c>
      <c r="S2459" s="8">
        <f t="shared" si="114"/>
        <v>-1757.9149999999997</v>
      </c>
      <c r="T2459" s="8">
        <f t="shared" si="115"/>
        <v>1757.9149999999997</v>
      </c>
      <c r="U2459" s="9">
        <f t="shared" si="116"/>
        <v>-1</v>
      </c>
    </row>
    <row r="2460" spans="1:22" outlineLevel="2">
      <c r="A2460" t="s">
        <v>618</v>
      </c>
      <c r="B2460" t="s">
        <v>619</v>
      </c>
      <c r="C2460" t="s">
        <v>23</v>
      </c>
      <c r="D2460" t="s">
        <v>24</v>
      </c>
      <c r="E2460" s="4">
        <v>-743.2</v>
      </c>
      <c r="F2460" s="4">
        <v>-1436.0900000000001</v>
      </c>
      <c r="G2460" s="4">
        <v>-1913.97</v>
      </c>
      <c r="H2460" s="4">
        <v>-6828.75</v>
      </c>
      <c r="I2460" s="4">
        <v>-1712.66</v>
      </c>
      <c r="J2460" s="4">
        <v>-986.61</v>
      </c>
      <c r="K2460" s="4">
        <v>-3185.42</v>
      </c>
      <c r="L2460" s="4">
        <v>-1273.74</v>
      </c>
      <c r="M2460" s="4">
        <v>-60</v>
      </c>
      <c r="N2460" s="4">
        <v>-1722.03</v>
      </c>
      <c r="O2460" s="4">
        <v>-52.5</v>
      </c>
      <c r="P2460" s="4">
        <v>0</v>
      </c>
      <c r="Q2460" s="4">
        <v>-94.5</v>
      </c>
      <c r="S2460" s="8">
        <f t="shared" si="114"/>
        <v>-533.79499999999996</v>
      </c>
      <c r="T2460" s="8">
        <f t="shared" si="115"/>
        <v>533.79499999999996</v>
      </c>
      <c r="U2460" s="9">
        <f t="shared" si="116"/>
        <v>-1</v>
      </c>
    </row>
    <row r="2461" spans="1:22" outlineLevel="2">
      <c r="A2461" t="s">
        <v>618</v>
      </c>
      <c r="B2461" t="s">
        <v>619</v>
      </c>
      <c r="C2461" t="s">
        <v>25</v>
      </c>
      <c r="D2461" t="s">
        <v>26</v>
      </c>
      <c r="E2461" s="4">
        <v>0</v>
      </c>
      <c r="F2461" s="4">
        <v>0</v>
      </c>
      <c r="G2461" s="4">
        <v>0</v>
      </c>
      <c r="H2461" s="4">
        <v>0</v>
      </c>
      <c r="I2461" s="4">
        <v>0</v>
      </c>
      <c r="J2461" s="4">
        <v>0</v>
      </c>
      <c r="K2461" s="4">
        <v>0</v>
      </c>
      <c r="L2461" s="4">
        <v>0</v>
      </c>
      <c r="M2461" s="4">
        <v>-1414.63</v>
      </c>
      <c r="N2461" s="4">
        <v>-7529.14</v>
      </c>
      <c r="O2461" s="4">
        <v>-3360.64</v>
      </c>
      <c r="P2461" s="4">
        <v>-499.78</v>
      </c>
      <c r="Q2461" s="4">
        <v>-228.04</v>
      </c>
      <c r="S2461" s="8">
        <f t="shared" si="114"/>
        <v>-2172.0383333333334</v>
      </c>
      <c r="T2461" s="8">
        <f t="shared" si="115"/>
        <v>2172.0383333333334</v>
      </c>
      <c r="U2461" s="9">
        <f t="shared" si="116"/>
        <v>-1</v>
      </c>
    </row>
    <row r="2462" spans="1:22" outlineLevel="2">
      <c r="A2462" t="s">
        <v>618</v>
      </c>
      <c r="B2462" t="s">
        <v>619</v>
      </c>
      <c r="C2462" t="s">
        <v>27</v>
      </c>
      <c r="D2462" t="s">
        <v>28</v>
      </c>
      <c r="E2462" s="4">
        <v>0</v>
      </c>
      <c r="F2462" s="4">
        <v>0</v>
      </c>
      <c r="G2462" s="4">
        <v>0</v>
      </c>
      <c r="H2462" s="4">
        <v>0</v>
      </c>
      <c r="I2462" s="4">
        <v>0</v>
      </c>
      <c r="J2462" s="4">
        <v>0</v>
      </c>
      <c r="K2462" s="4">
        <v>0</v>
      </c>
      <c r="L2462" s="4">
        <v>0</v>
      </c>
      <c r="M2462" s="4">
        <v>-149.28</v>
      </c>
      <c r="N2462" s="4">
        <v>-545.80999999999995</v>
      </c>
      <c r="O2462" s="4">
        <v>-2609.86</v>
      </c>
      <c r="P2462" s="4">
        <v>-683.17</v>
      </c>
      <c r="Q2462" s="4">
        <v>0</v>
      </c>
      <c r="S2462" s="8">
        <f t="shared" si="114"/>
        <v>-664.68666666666661</v>
      </c>
      <c r="T2462" s="8">
        <f t="shared" si="115"/>
        <v>664.68666666666661</v>
      </c>
      <c r="U2462" s="9">
        <f t="shared" si="116"/>
        <v>-1</v>
      </c>
    </row>
    <row r="2463" spans="1:22" outlineLevel="2">
      <c r="A2463" t="s">
        <v>618</v>
      </c>
      <c r="B2463" t="s">
        <v>619</v>
      </c>
      <c r="C2463" t="s">
        <v>194</v>
      </c>
      <c r="D2463" t="s">
        <v>195</v>
      </c>
      <c r="E2463" s="4">
        <v>636.91</v>
      </c>
      <c r="F2463" s="4">
        <v>0</v>
      </c>
      <c r="G2463" s="4">
        <v>0</v>
      </c>
      <c r="H2463" s="4">
        <v>0</v>
      </c>
      <c r="I2463" s="4">
        <v>0</v>
      </c>
      <c r="J2463" s="4">
        <v>0</v>
      </c>
      <c r="K2463" s="4">
        <v>0</v>
      </c>
      <c r="L2463" s="4">
        <v>0</v>
      </c>
      <c r="M2463" s="4">
        <v>0</v>
      </c>
      <c r="N2463" s="4">
        <v>-398.47</v>
      </c>
      <c r="O2463" s="4">
        <v>-113.85</v>
      </c>
      <c r="P2463" s="4">
        <v>0</v>
      </c>
      <c r="Q2463" s="4">
        <v>0</v>
      </c>
      <c r="S2463" s="8">
        <f t="shared" si="114"/>
        <v>-85.38666666666667</v>
      </c>
      <c r="T2463" s="8">
        <f t="shared" si="115"/>
        <v>85.38666666666667</v>
      </c>
      <c r="U2463" s="9">
        <f t="shared" si="116"/>
        <v>-1</v>
      </c>
    </row>
    <row r="2464" spans="1:22" outlineLevel="2">
      <c r="A2464" t="s">
        <v>618</v>
      </c>
      <c r="B2464" t="s">
        <v>619</v>
      </c>
      <c r="C2464" t="s">
        <v>136</v>
      </c>
      <c r="D2464" t="s">
        <v>137</v>
      </c>
      <c r="E2464" s="4">
        <v>-1008374.78</v>
      </c>
      <c r="F2464" s="4">
        <v>-904136.09</v>
      </c>
      <c r="G2464" s="4">
        <v>-970865.8899999999</v>
      </c>
      <c r="H2464" s="4">
        <v>-974477.51</v>
      </c>
      <c r="I2464" s="4">
        <v>-944181.22</v>
      </c>
      <c r="J2464" s="4">
        <v>-992298.16</v>
      </c>
      <c r="K2464" s="4">
        <v>-947993.16</v>
      </c>
      <c r="L2464" s="4">
        <v>-1029251.04</v>
      </c>
      <c r="M2464" s="4">
        <v>-942618</v>
      </c>
      <c r="N2464" s="4">
        <v>-944549.91</v>
      </c>
      <c r="O2464" s="4">
        <v>-870940.59</v>
      </c>
      <c r="P2464" s="4">
        <v>-1072203.52</v>
      </c>
      <c r="Q2464" s="4">
        <v>-1067155.3400000001</v>
      </c>
      <c r="S2464" s="8">
        <f t="shared" si="114"/>
        <v>-987786.4</v>
      </c>
      <c r="T2464" s="8">
        <f t="shared" si="115"/>
        <v>987786.4</v>
      </c>
      <c r="U2464" s="9">
        <f t="shared" si="116"/>
        <v>-1</v>
      </c>
    </row>
    <row r="2465" spans="1:21" outlineLevel="2">
      <c r="A2465" t="s">
        <v>618</v>
      </c>
      <c r="B2465" t="s">
        <v>619</v>
      </c>
      <c r="C2465" t="s">
        <v>138</v>
      </c>
      <c r="D2465" t="s">
        <v>139</v>
      </c>
      <c r="E2465" s="4">
        <v>-89348.17</v>
      </c>
      <c r="F2465" s="4">
        <v>-68697.51999999999</v>
      </c>
      <c r="G2465" s="4">
        <v>-84972.72</v>
      </c>
      <c r="H2465" s="4">
        <v>-83136.25</v>
      </c>
      <c r="I2465" s="4">
        <v>-71335.839999999997</v>
      </c>
      <c r="J2465" s="4">
        <v>-81832.62</v>
      </c>
      <c r="K2465" s="4">
        <v>-77496.13</v>
      </c>
      <c r="L2465" s="4">
        <v>-60248.85</v>
      </c>
      <c r="M2465" s="4">
        <v>-48456.75</v>
      </c>
      <c r="N2465" s="4">
        <v>-54928.88</v>
      </c>
      <c r="O2465" s="4">
        <v>-55459.44</v>
      </c>
      <c r="P2465" s="4">
        <v>-71433.919999999998</v>
      </c>
      <c r="Q2465" s="4">
        <v>-58656.59</v>
      </c>
      <c r="S2465" s="8">
        <f t="shared" si="114"/>
        <v>-58197.405000000006</v>
      </c>
      <c r="T2465" s="8">
        <f t="shared" si="115"/>
        <v>58197.405000000006</v>
      </c>
      <c r="U2465" s="9">
        <f t="shared" si="116"/>
        <v>-1</v>
      </c>
    </row>
    <row r="2466" spans="1:21" outlineLevel="2">
      <c r="A2466" t="s">
        <v>618</v>
      </c>
      <c r="B2466" t="s">
        <v>619</v>
      </c>
      <c r="C2466" t="s">
        <v>29</v>
      </c>
      <c r="D2466" t="s">
        <v>30</v>
      </c>
      <c r="E2466" s="4">
        <v>-36047.11</v>
      </c>
      <c r="F2466" s="4">
        <v>-31909.409999999996</v>
      </c>
      <c r="G2466" s="4">
        <v>-37635.149999999994</v>
      </c>
      <c r="H2466" s="4">
        <v>-27590.98</v>
      </c>
      <c r="I2466" s="4">
        <v>-35035.910000000003</v>
      </c>
      <c r="J2466" s="4">
        <v>-28331.79</v>
      </c>
      <c r="K2466" s="4">
        <v>-23787.93</v>
      </c>
      <c r="L2466" s="4">
        <v>-22045.85</v>
      </c>
      <c r="M2466" s="4">
        <v>-16579.68</v>
      </c>
      <c r="N2466" s="4">
        <v>-19403.09</v>
      </c>
      <c r="O2466" s="4">
        <v>-18368.62</v>
      </c>
      <c r="P2466" s="4">
        <v>-10667.36</v>
      </c>
      <c r="Q2466" s="4">
        <v>-19765.55</v>
      </c>
      <c r="S2466" s="8">
        <f t="shared" si="114"/>
        <v>-17805.024999999998</v>
      </c>
      <c r="T2466" s="8">
        <f t="shared" si="115"/>
        <v>17805.024999999998</v>
      </c>
      <c r="U2466" s="9">
        <f t="shared" si="116"/>
        <v>-1</v>
      </c>
    </row>
    <row r="2467" spans="1:21" outlineLevel="2">
      <c r="A2467" t="s">
        <v>618</v>
      </c>
      <c r="B2467" t="s">
        <v>619</v>
      </c>
      <c r="C2467" t="s">
        <v>142</v>
      </c>
      <c r="D2467" t="s">
        <v>143</v>
      </c>
      <c r="E2467" s="4">
        <v>0</v>
      </c>
      <c r="F2467" s="4">
        <v>0</v>
      </c>
      <c r="G2467" s="4">
        <v>-2250</v>
      </c>
      <c r="H2467" s="4">
        <v>0</v>
      </c>
      <c r="I2467" s="4">
        <v>-2000</v>
      </c>
      <c r="J2467" s="4">
        <v>0</v>
      </c>
      <c r="K2467" s="4">
        <v>0</v>
      </c>
      <c r="L2467" s="4">
        <v>0</v>
      </c>
      <c r="M2467" s="4">
        <v>0</v>
      </c>
      <c r="N2467" s="4">
        <v>-4000</v>
      </c>
      <c r="O2467" s="4">
        <v>0</v>
      </c>
      <c r="P2467" s="4">
        <v>-2000</v>
      </c>
      <c r="Q2467" s="4">
        <v>-5000</v>
      </c>
      <c r="S2467" s="8">
        <f t="shared" si="114"/>
        <v>-1833.3333333333333</v>
      </c>
      <c r="T2467" s="8">
        <f t="shared" si="115"/>
        <v>1833.3333333333333</v>
      </c>
      <c r="U2467" s="9">
        <f t="shared" si="116"/>
        <v>-1</v>
      </c>
    </row>
    <row r="2468" spans="1:21" outlineLevel="2">
      <c r="A2468" t="s">
        <v>618</v>
      </c>
      <c r="B2468" t="s">
        <v>619</v>
      </c>
      <c r="C2468" t="s">
        <v>144</v>
      </c>
      <c r="D2468" t="s">
        <v>145</v>
      </c>
      <c r="E2468" s="4">
        <v>64360.53</v>
      </c>
      <c r="F2468" s="4">
        <v>27220.33</v>
      </c>
      <c r="G2468" s="4">
        <v>23885.16</v>
      </c>
      <c r="H2468" s="4">
        <v>24128.67</v>
      </c>
      <c r="I2468" s="4">
        <v>18940.8</v>
      </c>
      <c r="J2468" s="4">
        <v>30045.03</v>
      </c>
      <c r="K2468" s="4">
        <v>26233.809999999998</v>
      </c>
      <c r="L2468" s="4">
        <v>42981.9</v>
      </c>
      <c r="M2468" s="4">
        <v>21299.360000000001</v>
      </c>
      <c r="N2468" s="4">
        <v>16654.62</v>
      </c>
      <c r="O2468" s="4">
        <v>25370.27</v>
      </c>
      <c r="P2468" s="4">
        <v>12102.91</v>
      </c>
      <c r="Q2468" s="4">
        <v>65086.95</v>
      </c>
      <c r="S2468" s="8">
        <f t="shared" si="114"/>
        <v>30582.668333333335</v>
      </c>
      <c r="T2468" s="8">
        <f t="shared" si="115"/>
        <v>-30582.668333333335</v>
      </c>
      <c r="U2468" s="9">
        <f t="shared" si="116"/>
        <v>-1</v>
      </c>
    </row>
    <row r="2469" spans="1:21" outlineLevel="2">
      <c r="A2469" t="s">
        <v>618</v>
      </c>
      <c r="B2469" t="s">
        <v>619</v>
      </c>
      <c r="C2469" t="s">
        <v>146</v>
      </c>
      <c r="D2469" t="s">
        <v>147</v>
      </c>
      <c r="E2469" s="4">
        <v>-87865.61</v>
      </c>
      <c r="F2469" s="4">
        <v>-79999.73</v>
      </c>
      <c r="G2469" s="4">
        <v>-102848.32000000001</v>
      </c>
      <c r="H2469" s="4">
        <v>-84519.74</v>
      </c>
      <c r="I2469" s="4">
        <v>-81669.289999999994</v>
      </c>
      <c r="J2469" s="4">
        <v>-87962</v>
      </c>
      <c r="K2469" s="4">
        <v>-80339.94</v>
      </c>
      <c r="L2469" s="4">
        <v>-84833.3</v>
      </c>
      <c r="M2469" s="4">
        <v>-82302.75</v>
      </c>
      <c r="N2469" s="4">
        <v>-79772.08</v>
      </c>
      <c r="O2469" s="4">
        <v>-74061.77</v>
      </c>
      <c r="P2469" s="4">
        <v>-95057.59</v>
      </c>
      <c r="Q2469" s="4">
        <v>-90104.27</v>
      </c>
      <c r="S2469" s="8">
        <f t="shared" si="114"/>
        <v>-84355.293333333335</v>
      </c>
      <c r="T2469" s="8">
        <f t="shared" si="115"/>
        <v>84355.293333333335</v>
      </c>
      <c r="U2469" s="9">
        <f t="shared" si="116"/>
        <v>-1</v>
      </c>
    </row>
    <row r="2470" spans="1:21" outlineLevel="2">
      <c r="A2470" t="s">
        <v>618</v>
      </c>
      <c r="B2470" t="s">
        <v>619</v>
      </c>
      <c r="C2470" t="s">
        <v>148</v>
      </c>
      <c r="D2470" t="s">
        <v>149</v>
      </c>
      <c r="E2470" s="4">
        <v>-176.19</v>
      </c>
      <c r="F2470" s="4">
        <v>0</v>
      </c>
      <c r="G2470" s="4">
        <v>0</v>
      </c>
      <c r="H2470" s="4">
        <v>0</v>
      </c>
      <c r="I2470" s="4">
        <v>0</v>
      </c>
      <c r="J2470" s="4">
        <v>0</v>
      </c>
      <c r="K2470" s="4">
        <v>0</v>
      </c>
      <c r="L2470" s="4">
        <v>0</v>
      </c>
      <c r="M2470" s="4">
        <v>0</v>
      </c>
      <c r="N2470" s="4">
        <v>0</v>
      </c>
      <c r="O2470" s="4">
        <v>0</v>
      </c>
      <c r="P2470" s="4">
        <v>0</v>
      </c>
      <c r="Q2470" s="4">
        <v>0</v>
      </c>
      <c r="S2470" s="8">
        <f t="shared" si="114"/>
        <v>0</v>
      </c>
      <c r="T2470" s="8">
        <f t="shared" si="115"/>
        <v>0</v>
      </c>
      <c r="U2470" s="9" t="e">
        <f t="shared" si="116"/>
        <v>#DIV/0!</v>
      </c>
    </row>
    <row r="2471" spans="1:21" outlineLevel="2">
      <c r="A2471" t="s">
        <v>618</v>
      </c>
      <c r="B2471" t="s">
        <v>619</v>
      </c>
      <c r="C2471" t="s">
        <v>152</v>
      </c>
      <c r="D2471" t="s">
        <v>153</v>
      </c>
      <c r="E2471" s="4">
        <v>-82757.990000000005</v>
      </c>
      <c r="F2471" s="4">
        <v>-73647.61</v>
      </c>
      <c r="G2471" s="4">
        <v>-102131.51</v>
      </c>
      <c r="H2471" s="4">
        <v>-79569.05</v>
      </c>
      <c r="I2471" s="4">
        <v>-77340.12</v>
      </c>
      <c r="J2471" s="4">
        <v>-96019</v>
      </c>
      <c r="K2471" s="4">
        <v>-76905.11</v>
      </c>
      <c r="L2471" s="4">
        <v>-82653.3</v>
      </c>
      <c r="M2471" s="4">
        <v>-77542.070000000007</v>
      </c>
      <c r="N2471" s="4">
        <v>-74392.05</v>
      </c>
      <c r="O2471" s="4">
        <v>-69022</v>
      </c>
      <c r="P2471" s="4">
        <v>-123392.18</v>
      </c>
      <c r="Q2471" s="4">
        <v>-84066.06</v>
      </c>
      <c r="S2471" s="8">
        <f t="shared" si="114"/>
        <v>-85177.943333333329</v>
      </c>
      <c r="T2471" s="8">
        <f t="shared" si="115"/>
        <v>85177.943333333329</v>
      </c>
      <c r="U2471" s="9">
        <f t="shared" si="116"/>
        <v>-1</v>
      </c>
    </row>
    <row r="2472" spans="1:21" outlineLevel="2">
      <c r="A2472" t="s">
        <v>618</v>
      </c>
      <c r="B2472" t="s">
        <v>619</v>
      </c>
      <c r="C2472" t="s">
        <v>154</v>
      </c>
      <c r="D2472" t="s">
        <v>155</v>
      </c>
      <c r="E2472" s="4">
        <v>-29849.18</v>
      </c>
      <c r="F2472" s="4">
        <v>-933</v>
      </c>
      <c r="G2472" s="4">
        <v>-767.62</v>
      </c>
      <c r="H2472" s="4">
        <v>-783.65</v>
      </c>
      <c r="I2472" s="4">
        <v>12142.05</v>
      </c>
      <c r="J2472" s="4">
        <v>-392.53</v>
      </c>
      <c r="K2472" s="4">
        <v>-429.52</v>
      </c>
      <c r="L2472" s="4">
        <v>-527.16</v>
      </c>
      <c r="M2472" s="4">
        <v>-412.78</v>
      </c>
      <c r="N2472" s="4">
        <v>-638.12</v>
      </c>
      <c r="O2472" s="4">
        <v>-571.54</v>
      </c>
      <c r="P2472" s="4">
        <v>-217.78</v>
      </c>
      <c r="Q2472" s="4">
        <v>-15700.42</v>
      </c>
      <c r="S2472" s="8">
        <f t="shared" si="114"/>
        <v>-3011.2999999999997</v>
      </c>
      <c r="T2472" s="8">
        <f t="shared" si="115"/>
        <v>3011.2999999999997</v>
      </c>
      <c r="U2472" s="9">
        <f t="shared" si="116"/>
        <v>-1</v>
      </c>
    </row>
    <row r="2473" spans="1:21" outlineLevel="2">
      <c r="A2473" t="s">
        <v>618</v>
      </c>
      <c r="B2473" t="s">
        <v>619</v>
      </c>
      <c r="C2473" t="s">
        <v>33</v>
      </c>
      <c r="D2473" t="s">
        <v>34</v>
      </c>
      <c r="E2473" s="4">
        <v>0</v>
      </c>
      <c r="F2473" s="4">
        <v>0</v>
      </c>
      <c r="G2473" s="4">
        <v>0</v>
      </c>
      <c r="H2473" s="4">
        <v>0</v>
      </c>
      <c r="I2473" s="4">
        <v>0</v>
      </c>
      <c r="J2473" s="4">
        <v>0</v>
      </c>
      <c r="K2473" s="4">
        <v>0</v>
      </c>
      <c r="L2473" s="4">
        <v>0</v>
      </c>
      <c r="M2473" s="4">
        <v>0</v>
      </c>
      <c r="N2473" s="4">
        <v>0</v>
      </c>
      <c r="O2473" s="4">
        <v>0</v>
      </c>
      <c r="P2473" s="4">
        <v>0</v>
      </c>
      <c r="Q2473" s="4">
        <v>-273</v>
      </c>
      <c r="S2473" s="8">
        <f t="shared" si="114"/>
        <v>-45.5</v>
      </c>
      <c r="T2473" s="8">
        <f t="shared" si="115"/>
        <v>45.5</v>
      </c>
      <c r="U2473" s="9">
        <f t="shared" si="116"/>
        <v>-1</v>
      </c>
    </row>
    <row r="2474" spans="1:21" outlineLevel="2">
      <c r="A2474" t="s">
        <v>618</v>
      </c>
      <c r="B2474" t="s">
        <v>619</v>
      </c>
      <c r="C2474" t="s">
        <v>212</v>
      </c>
      <c r="D2474" t="s">
        <v>213</v>
      </c>
      <c r="E2474" s="4">
        <v>0</v>
      </c>
      <c r="F2474" s="4">
        <v>0</v>
      </c>
      <c r="G2474" s="4">
        <v>0</v>
      </c>
      <c r="H2474" s="4">
        <v>0</v>
      </c>
      <c r="I2474" s="4">
        <v>0</v>
      </c>
      <c r="J2474" s="4">
        <v>0</v>
      </c>
      <c r="K2474" s="4">
        <v>0</v>
      </c>
      <c r="L2474" s="4">
        <v>-13.98</v>
      </c>
      <c r="M2474" s="4">
        <v>0</v>
      </c>
      <c r="N2474" s="4">
        <v>0</v>
      </c>
      <c r="O2474" s="4">
        <v>0</v>
      </c>
      <c r="P2474" s="4">
        <v>0</v>
      </c>
      <c r="Q2474" s="4">
        <v>0</v>
      </c>
      <c r="S2474" s="8">
        <f t="shared" si="114"/>
        <v>-2.33</v>
      </c>
      <c r="T2474" s="8">
        <f t="shared" si="115"/>
        <v>2.33</v>
      </c>
      <c r="U2474" s="9">
        <f t="shared" si="116"/>
        <v>-1</v>
      </c>
    </row>
    <row r="2475" spans="1:21" outlineLevel="2">
      <c r="A2475" t="s">
        <v>618</v>
      </c>
      <c r="B2475" t="s">
        <v>619</v>
      </c>
      <c r="C2475" t="s">
        <v>156</v>
      </c>
      <c r="D2475" t="s">
        <v>157</v>
      </c>
      <c r="E2475" s="4">
        <v>-109.35</v>
      </c>
      <c r="F2475" s="4">
        <v>-231.78</v>
      </c>
      <c r="G2475" s="4">
        <v>-47.45</v>
      </c>
      <c r="H2475" s="4">
        <v>0</v>
      </c>
      <c r="I2475" s="4">
        <v>0</v>
      </c>
      <c r="J2475" s="4">
        <v>0</v>
      </c>
      <c r="K2475" s="4">
        <v>0</v>
      </c>
      <c r="L2475" s="4">
        <v>0</v>
      </c>
      <c r="M2475" s="4">
        <v>0</v>
      </c>
      <c r="N2475" s="4">
        <v>0</v>
      </c>
      <c r="O2475" s="4">
        <v>0</v>
      </c>
      <c r="P2475" s="4">
        <v>0</v>
      </c>
      <c r="Q2475" s="4">
        <v>0</v>
      </c>
      <c r="S2475" s="8">
        <f t="shared" si="114"/>
        <v>0</v>
      </c>
      <c r="T2475" s="8">
        <f t="shared" si="115"/>
        <v>0</v>
      </c>
      <c r="U2475" s="9" t="e">
        <f t="shared" si="116"/>
        <v>#DIV/0!</v>
      </c>
    </row>
    <row r="2476" spans="1:21" outlineLevel="2">
      <c r="A2476" t="s">
        <v>618</v>
      </c>
      <c r="B2476" t="s">
        <v>619</v>
      </c>
      <c r="C2476" t="s">
        <v>304</v>
      </c>
      <c r="D2476" t="s">
        <v>305</v>
      </c>
      <c r="E2476" s="4">
        <v>-398.04</v>
      </c>
      <c r="F2476" s="4">
        <v>-570</v>
      </c>
      <c r="G2476" s="4">
        <v>-235</v>
      </c>
      <c r="H2476" s="4">
        <v>-135</v>
      </c>
      <c r="I2476" s="4">
        <v>-126</v>
      </c>
      <c r="J2476" s="4">
        <v>-135</v>
      </c>
      <c r="K2476" s="4">
        <v>-135</v>
      </c>
      <c r="L2476" s="4">
        <v>-100</v>
      </c>
      <c r="M2476" s="4">
        <v>-200</v>
      </c>
      <c r="N2476" s="4">
        <v>-135</v>
      </c>
      <c r="O2476" s="4">
        <v>-200</v>
      </c>
      <c r="P2476" s="4">
        <v>-100</v>
      </c>
      <c r="Q2476" s="4">
        <v>0</v>
      </c>
      <c r="S2476" s="8">
        <f t="shared" si="114"/>
        <v>-122.5</v>
      </c>
      <c r="T2476" s="8">
        <f t="shared" si="115"/>
        <v>122.5</v>
      </c>
      <c r="U2476" s="9">
        <f t="shared" si="116"/>
        <v>-1</v>
      </c>
    </row>
    <row r="2477" spans="1:21" outlineLevel="2">
      <c r="A2477" t="s">
        <v>618</v>
      </c>
      <c r="B2477" t="s">
        <v>619</v>
      </c>
      <c r="C2477" t="s">
        <v>587</v>
      </c>
      <c r="D2477" t="s">
        <v>588</v>
      </c>
      <c r="E2477" s="4">
        <v>0</v>
      </c>
      <c r="F2477" s="4">
        <v>0</v>
      </c>
      <c r="G2477" s="4">
        <v>0</v>
      </c>
      <c r="H2477" s="4">
        <v>0</v>
      </c>
      <c r="I2477" s="4">
        <v>0</v>
      </c>
      <c r="J2477" s="4">
        <v>0</v>
      </c>
      <c r="K2477" s="4">
        <v>0</v>
      </c>
      <c r="L2477" s="4">
        <v>0</v>
      </c>
      <c r="M2477" s="4">
        <v>0</v>
      </c>
      <c r="N2477" s="4">
        <v>0</v>
      </c>
      <c r="O2477" s="4">
        <v>0</v>
      </c>
      <c r="P2477" s="4">
        <v>-167</v>
      </c>
      <c r="Q2477" s="4">
        <v>-35</v>
      </c>
      <c r="S2477" s="8">
        <f t="shared" si="114"/>
        <v>-33.666666666666664</v>
      </c>
      <c r="T2477" s="8">
        <f t="shared" si="115"/>
        <v>33.666666666666664</v>
      </c>
      <c r="U2477" s="9">
        <f t="shared" si="116"/>
        <v>-1</v>
      </c>
    </row>
    <row r="2478" spans="1:21" outlineLevel="2">
      <c r="A2478" t="s">
        <v>618</v>
      </c>
      <c r="B2478" t="s">
        <v>619</v>
      </c>
      <c r="C2478" t="s">
        <v>37</v>
      </c>
      <c r="D2478" t="s">
        <v>38</v>
      </c>
      <c r="E2478" s="4">
        <v>-27451.27</v>
      </c>
      <c r="F2478" s="4">
        <v>-20168.169999999998</v>
      </c>
      <c r="G2478" s="4">
        <v>-22102.09</v>
      </c>
      <c r="H2478" s="4">
        <v>-22288.83</v>
      </c>
      <c r="I2478" s="4">
        <v>-9935.81</v>
      </c>
      <c r="J2478" s="4">
        <v>-4288.5200000000004</v>
      </c>
      <c r="K2478" s="4">
        <v>-613.48</v>
      </c>
      <c r="L2478" s="4">
        <v>-2563.0100000000002</v>
      </c>
      <c r="M2478" s="4">
        <v>-8403.6</v>
      </c>
      <c r="N2478" s="4">
        <v>-5765.73</v>
      </c>
      <c r="O2478" s="4">
        <v>0</v>
      </c>
      <c r="P2478" s="4">
        <v>-5371.88</v>
      </c>
      <c r="Q2478" s="4">
        <v>0</v>
      </c>
      <c r="S2478" s="8">
        <f t="shared" si="114"/>
        <v>-3684.0366666666669</v>
      </c>
      <c r="T2478" s="8">
        <f t="shared" si="115"/>
        <v>3684.0366666666669</v>
      </c>
      <c r="U2478" s="9">
        <f t="shared" si="116"/>
        <v>-1</v>
      </c>
    </row>
    <row r="2479" spans="1:21" outlineLevel="2">
      <c r="A2479" t="s">
        <v>618</v>
      </c>
      <c r="B2479" t="s">
        <v>619</v>
      </c>
      <c r="C2479" t="s">
        <v>180</v>
      </c>
      <c r="D2479" t="s">
        <v>181</v>
      </c>
      <c r="E2479" s="4">
        <v>-3151.4</v>
      </c>
      <c r="F2479" s="4">
        <v>-3659.96</v>
      </c>
      <c r="G2479" s="4">
        <v>-5112.2700000000004</v>
      </c>
      <c r="H2479" s="4">
        <v>-227.55</v>
      </c>
      <c r="I2479" s="4">
        <v>-4903.91</v>
      </c>
      <c r="J2479" s="4">
        <v>-3668.57</v>
      </c>
      <c r="K2479" s="4">
        <v>-5663.51</v>
      </c>
      <c r="L2479" s="4">
        <v>-3692.91</v>
      </c>
      <c r="M2479" s="4">
        <v>-5946.68</v>
      </c>
      <c r="N2479" s="4">
        <v>-8620.82</v>
      </c>
      <c r="O2479" s="4">
        <v>-4464.47</v>
      </c>
      <c r="P2479" s="4">
        <v>-5161.1000000000004</v>
      </c>
      <c r="Q2479" s="4">
        <v>-8319.39</v>
      </c>
      <c r="S2479" s="8">
        <f t="shared" si="114"/>
        <v>-6034.2283333333335</v>
      </c>
      <c r="T2479" s="8">
        <f t="shared" si="115"/>
        <v>6034.2283333333335</v>
      </c>
      <c r="U2479" s="9">
        <f t="shared" si="116"/>
        <v>-1</v>
      </c>
    </row>
    <row r="2480" spans="1:21" outlineLevel="2">
      <c r="A2480" t="s">
        <v>618</v>
      </c>
      <c r="B2480" t="s">
        <v>619</v>
      </c>
      <c r="C2480" t="s">
        <v>160</v>
      </c>
      <c r="D2480" t="s">
        <v>161</v>
      </c>
      <c r="E2480" s="4">
        <v>0</v>
      </c>
      <c r="F2480" s="4">
        <v>0</v>
      </c>
      <c r="G2480" s="4">
        <v>0</v>
      </c>
      <c r="H2480" s="4">
        <v>0</v>
      </c>
      <c r="I2480" s="4">
        <v>0</v>
      </c>
      <c r="J2480" s="4">
        <v>0</v>
      </c>
      <c r="K2480" s="4">
        <v>0</v>
      </c>
      <c r="L2480" s="4">
        <v>0</v>
      </c>
      <c r="M2480" s="4">
        <v>-9831.02</v>
      </c>
      <c r="N2480" s="4">
        <v>0</v>
      </c>
      <c r="O2480" s="4">
        <v>0</v>
      </c>
      <c r="P2480" s="4">
        <v>-2928.5</v>
      </c>
      <c r="Q2480" s="4">
        <v>0</v>
      </c>
      <c r="S2480" s="8">
        <f t="shared" si="114"/>
        <v>-2126.5866666666666</v>
      </c>
      <c r="T2480" s="8">
        <f t="shared" si="115"/>
        <v>2126.5866666666666</v>
      </c>
      <c r="U2480" s="9">
        <f t="shared" si="116"/>
        <v>-1</v>
      </c>
    </row>
    <row r="2481" spans="1:21" outlineLevel="2">
      <c r="A2481" t="s">
        <v>618</v>
      </c>
      <c r="B2481" t="s">
        <v>619</v>
      </c>
      <c r="C2481" t="s">
        <v>39</v>
      </c>
      <c r="D2481" t="s">
        <v>40</v>
      </c>
      <c r="E2481" s="4">
        <v>-412.28</v>
      </c>
      <c r="F2481" s="4">
        <v>-651.23</v>
      </c>
      <c r="G2481" s="4">
        <v>-535.45000000000005</v>
      </c>
      <c r="H2481" s="4">
        <v>-347.93</v>
      </c>
      <c r="I2481" s="4">
        <v>-385.3</v>
      </c>
      <c r="J2481" s="4">
        <v>-349.43</v>
      </c>
      <c r="K2481" s="4">
        <v>-381.05</v>
      </c>
      <c r="L2481" s="4">
        <v>-446.86</v>
      </c>
      <c r="M2481" s="4">
        <v>-437.26</v>
      </c>
      <c r="N2481" s="4">
        <v>-381.46</v>
      </c>
      <c r="O2481" s="4">
        <v>-437.26</v>
      </c>
      <c r="P2481" s="4">
        <v>-429.02</v>
      </c>
      <c r="Q2481" s="4">
        <v>-22.37</v>
      </c>
      <c r="S2481" s="8">
        <f t="shared" si="114"/>
        <v>-359.03833333333324</v>
      </c>
      <c r="T2481" s="8">
        <f t="shared" si="115"/>
        <v>359.03833333333324</v>
      </c>
      <c r="U2481" s="9">
        <f t="shared" si="116"/>
        <v>-1</v>
      </c>
    </row>
    <row r="2482" spans="1:21" outlineLevel="2">
      <c r="A2482" t="s">
        <v>618</v>
      </c>
      <c r="B2482" t="s">
        <v>619</v>
      </c>
      <c r="C2482" t="s">
        <v>614</v>
      </c>
      <c r="D2482" t="s">
        <v>615</v>
      </c>
      <c r="E2482" s="4">
        <v>-24535.84</v>
      </c>
      <c r="F2482" s="4">
        <v>-21932.82</v>
      </c>
      <c r="G2482" s="4">
        <v>-28256.11</v>
      </c>
      <c r="H2482" s="4">
        <v>-31440.2</v>
      </c>
      <c r="I2482" s="4">
        <v>-25212.6</v>
      </c>
      <c r="J2482" s="4">
        <v>-26538.49</v>
      </c>
      <c r="K2482" s="4">
        <v>-32921.800000000003</v>
      </c>
      <c r="L2482" s="4">
        <v>-40727.21</v>
      </c>
      <c r="M2482" s="4">
        <v>-41565.15</v>
      </c>
      <c r="N2482" s="4">
        <v>-37239.72</v>
      </c>
      <c r="O2482" s="4">
        <v>-32345.88</v>
      </c>
      <c r="P2482" s="4">
        <v>-34169.83</v>
      </c>
      <c r="Q2482" s="4">
        <v>-24549.95</v>
      </c>
      <c r="S2482" s="8">
        <f t="shared" si="114"/>
        <v>-35099.623333333329</v>
      </c>
      <c r="T2482" s="8">
        <f t="shared" si="115"/>
        <v>35099.623333333329</v>
      </c>
      <c r="U2482" s="9">
        <f t="shared" si="116"/>
        <v>-1</v>
      </c>
    </row>
    <row r="2483" spans="1:21" outlineLevel="2">
      <c r="A2483" t="s">
        <v>618</v>
      </c>
      <c r="B2483" t="s">
        <v>619</v>
      </c>
      <c r="C2483" t="s">
        <v>41</v>
      </c>
      <c r="D2483" t="s">
        <v>42</v>
      </c>
      <c r="E2483" s="4">
        <v>-180.59</v>
      </c>
      <c r="F2483" s="4">
        <v>-45.82</v>
      </c>
      <c r="G2483" s="4">
        <v>-15.26</v>
      </c>
      <c r="H2483" s="4">
        <v>-48.33</v>
      </c>
      <c r="I2483" s="4">
        <v>-361.45</v>
      </c>
      <c r="J2483" s="4">
        <v>-15.53</v>
      </c>
      <c r="K2483" s="4">
        <v>-19.72</v>
      </c>
      <c r="L2483" s="4">
        <v>-93.08</v>
      </c>
      <c r="M2483" s="4">
        <v>-15.62</v>
      </c>
      <c r="N2483" s="4">
        <v>-54.1</v>
      </c>
      <c r="O2483" s="4">
        <v>-15.62</v>
      </c>
      <c r="P2483" s="4">
        <v>-34.6</v>
      </c>
      <c r="Q2483" s="4">
        <v>-34.6</v>
      </c>
      <c r="S2483" s="8">
        <f t="shared" si="114"/>
        <v>-41.27</v>
      </c>
      <c r="T2483" s="8">
        <f t="shared" si="115"/>
        <v>41.27</v>
      </c>
      <c r="U2483" s="9">
        <f t="shared" si="116"/>
        <v>-1</v>
      </c>
    </row>
    <row r="2484" spans="1:21" outlineLevel="2">
      <c r="A2484" t="s">
        <v>618</v>
      </c>
      <c r="B2484" t="s">
        <v>619</v>
      </c>
      <c r="C2484" t="s">
        <v>43</v>
      </c>
      <c r="D2484" t="s">
        <v>44</v>
      </c>
      <c r="E2484" s="4">
        <v>0</v>
      </c>
      <c r="F2484" s="4">
        <v>0</v>
      </c>
      <c r="G2484" s="4">
        <v>0</v>
      </c>
      <c r="H2484" s="4">
        <v>0</v>
      </c>
      <c r="I2484" s="4">
        <v>0</v>
      </c>
      <c r="J2484" s="4">
        <v>0</v>
      </c>
      <c r="K2484" s="4">
        <v>0</v>
      </c>
      <c r="L2484" s="4">
        <v>0</v>
      </c>
      <c r="M2484" s="4">
        <v>0</v>
      </c>
      <c r="N2484" s="4">
        <v>-263.67</v>
      </c>
      <c r="O2484" s="4">
        <v>0</v>
      </c>
      <c r="P2484" s="4">
        <v>0</v>
      </c>
      <c r="Q2484" s="4">
        <v>-27.1</v>
      </c>
      <c r="S2484" s="8">
        <f t="shared" si="114"/>
        <v>-48.461666666666673</v>
      </c>
      <c r="T2484" s="8">
        <f t="shared" si="115"/>
        <v>48.461666666666673</v>
      </c>
      <c r="U2484" s="9">
        <f t="shared" si="116"/>
        <v>-1</v>
      </c>
    </row>
    <row r="2485" spans="1:21" outlineLevel="2">
      <c r="A2485" t="s">
        <v>618</v>
      </c>
      <c r="B2485" t="s">
        <v>619</v>
      </c>
      <c r="C2485" t="s">
        <v>490</v>
      </c>
      <c r="D2485" t="s">
        <v>491</v>
      </c>
      <c r="E2485" s="4">
        <v>36176.870000000003</v>
      </c>
      <c r="F2485" s="4">
        <v>18370.48</v>
      </c>
      <c r="G2485" s="4">
        <v>-6088.02</v>
      </c>
      <c r="H2485" s="4">
        <v>-14863.78</v>
      </c>
      <c r="I2485" s="4">
        <v>11637.06</v>
      </c>
      <c r="J2485" s="4">
        <v>-10050.25</v>
      </c>
      <c r="K2485" s="4">
        <v>35168.86</v>
      </c>
      <c r="L2485" s="4">
        <v>23651.46</v>
      </c>
      <c r="M2485" s="4">
        <v>-56397.73</v>
      </c>
      <c r="N2485" s="4">
        <v>95246.48</v>
      </c>
      <c r="O2485" s="4">
        <v>61798.12</v>
      </c>
      <c r="P2485" s="4">
        <v>-79722.320000000007</v>
      </c>
      <c r="Q2485" s="4">
        <v>66052.039999999994</v>
      </c>
      <c r="S2485" s="8">
        <f t="shared" si="114"/>
        <v>18438.008333333328</v>
      </c>
      <c r="T2485" s="8">
        <f t="shared" si="115"/>
        <v>-18438.008333333328</v>
      </c>
      <c r="U2485" s="9">
        <f t="shared" si="116"/>
        <v>-1</v>
      </c>
    </row>
    <row r="2486" spans="1:21" outlineLevel="2">
      <c r="A2486" t="s">
        <v>618</v>
      </c>
      <c r="B2486" t="s">
        <v>619</v>
      </c>
      <c r="C2486" t="s">
        <v>230</v>
      </c>
      <c r="D2486" t="s">
        <v>231</v>
      </c>
      <c r="E2486" s="4">
        <v>-65990.17</v>
      </c>
      <c r="F2486" s="4">
        <v>-66538.47</v>
      </c>
      <c r="G2486" s="4">
        <v>-74855.78</v>
      </c>
      <c r="H2486" s="4">
        <v>-67425.649999999994</v>
      </c>
      <c r="I2486" s="4">
        <v>-67425.649999999994</v>
      </c>
      <c r="J2486" s="4">
        <v>-18259.91</v>
      </c>
      <c r="K2486" s="4">
        <v>-69410.58</v>
      </c>
      <c r="L2486" s="4">
        <v>-93229.8</v>
      </c>
      <c r="M2486" s="4">
        <v>-69410.58</v>
      </c>
      <c r="N2486" s="4">
        <v>-69410.58</v>
      </c>
      <c r="O2486" s="4">
        <v>-69410.58</v>
      </c>
      <c r="P2486" s="4">
        <v>-69410.58</v>
      </c>
      <c r="Q2486" s="4">
        <v>-79648.77</v>
      </c>
      <c r="S2486" s="8">
        <f t="shared" si="114"/>
        <v>-75086.815000000017</v>
      </c>
      <c r="T2486" s="8">
        <f t="shared" si="115"/>
        <v>75086.815000000017</v>
      </c>
      <c r="U2486" s="9">
        <f t="shared" si="116"/>
        <v>-1</v>
      </c>
    </row>
    <row r="2487" spans="1:21" outlineLevel="2">
      <c r="A2487" t="s">
        <v>618</v>
      </c>
      <c r="B2487" t="s">
        <v>619</v>
      </c>
      <c r="C2487" t="s">
        <v>47</v>
      </c>
      <c r="D2487" t="s">
        <v>48</v>
      </c>
      <c r="E2487" s="4">
        <v>-18388.41</v>
      </c>
      <c r="F2487" s="4">
        <v>-18674.759999999998</v>
      </c>
      <c r="G2487" s="4">
        <v>-9276.9</v>
      </c>
      <c r="H2487" s="4">
        <v>-9142.24</v>
      </c>
      <c r="I2487" s="4">
        <v>-528.54</v>
      </c>
      <c r="J2487" s="4">
        <v>-18169.759999999998</v>
      </c>
      <c r="K2487" s="4">
        <v>-9424.64</v>
      </c>
      <c r="L2487" s="4">
        <v>-9156.07</v>
      </c>
      <c r="M2487" s="4">
        <v>-1283.26</v>
      </c>
      <c r="N2487" s="4">
        <v>-9156.06</v>
      </c>
      <c r="O2487" s="4">
        <v>-8558.06</v>
      </c>
      <c r="P2487" s="4">
        <v>-9107.07</v>
      </c>
      <c r="Q2487" s="4">
        <v>-17080.72</v>
      </c>
      <c r="S2487" s="8">
        <f t="shared" si="114"/>
        <v>-9056.873333333333</v>
      </c>
      <c r="T2487" s="8">
        <f t="shared" si="115"/>
        <v>9056.873333333333</v>
      </c>
      <c r="U2487" s="9">
        <f t="shared" si="116"/>
        <v>-1</v>
      </c>
    </row>
    <row r="2488" spans="1:21" outlineLevel="2">
      <c r="A2488" t="s">
        <v>618</v>
      </c>
      <c r="B2488" t="s">
        <v>619</v>
      </c>
      <c r="C2488" t="s">
        <v>49</v>
      </c>
      <c r="D2488" t="s">
        <v>50</v>
      </c>
      <c r="E2488" s="4">
        <v>-127.19</v>
      </c>
      <c r="F2488" s="4">
        <v>-253.38</v>
      </c>
      <c r="G2488" s="4">
        <v>-9139.1299999999992</v>
      </c>
      <c r="H2488" s="4">
        <v>-6288.41</v>
      </c>
      <c r="I2488" s="4">
        <v>-287.87</v>
      </c>
      <c r="J2488" s="4">
        <v>-160.68</v>
      </c>
      <c r="K2488" s="4">
        <v>-544.71</v>
      </c>
      <c r="L2488" s="4">
        <v>-2287.87</v>
      </c>
      <c r="M2488" s="4">
        <v>0</v>
      </c>
      <c r="N2488" s="4">
        <v>-1451.01</v>
      </c>
      <c r="O2488" s="4">
        <v>-787.99</v>
      </c>
      <c r="P2488" s="4">
        <v>-779.48</v>
      </c>
      <c r="Q2488" s="4">
        <v>-317.45</v>
      </c>
      <c r="S2488" s="8">
        <f t="shared" si="114"/>
        <v>-937.30000000000007</v>
      </c>
      <c r="T2488" s="8">
        <f t="shared" si="115"/>
        <v>937.30000000000007</v>
      </c>
      <c r="U2488" s="9">
        <f t="shared" si="116"/>
        <v>-1</v>
      </c>
    </row>
    <row r="2489" spans="1:21" outlineLevel="2">
      <c r="A2489" t="s">
        <v>618</v>
      </c>
      <c r="B2489" t="s">
        <v>619</v>
      </c>
      <c r="C2489" t="s">
        <v>51</v>
      </c>
      <c r="D2489" t="s">
        <v>52</v>
      </c>
      <c r="E2489" s="4">
        <v>-31174</v>
      </c>
      <c r="F2489" s="4">
        <v>-26342.01</v>
      </c>
      <c r="G2489" s="4">
        <v>-646.15</v>
      </c>
      <c r="H2489" s="4">
        <v>-27354.69</v>
      </c>
      <c r="I2489" s="4">
        <v>-446.3</v>
      </c>
      <c r="J2489" s="4">
        <v>-26476.99</v>
      </c>
      <c r="K2489" s="4">
        <v>-28709.919999999998</v>
      </c>
      <c r="L2489" s="4">
        <v>-1985.54</v>
      </c>
      <c r="M2489" s="4">
        <v>-26293.26</v>
      </c>
      <c r="N2489" s="4">
        <v>-25267.86</v>
      </c>
      <c r="O2489" s="4">
        <v>-755.72</v>
      </c>
      <c r="P2489" s="4">
        <v>-29099.09</v>
      </c>
      <c r="Q2489" s="4">
        <v>-10085.700000000001</v>
      </c>
      <c r="S2489" s="8">
        <f t="shared" si="114"/>
        <v>-15581.195</v>
      </c>
      <c r="T2489" s="8">
        <f t="shared" si="115"/>
        <v>15581.195</v>
      </c>
      <c r="U2489" s="9">
        <f t="shared" si="116"/>
        <v>-1</v>
      </c>
    </row>
    <row r="2490" spans="1:21" outlineLevel="2">
      <c r="A2490" t="s">
        <v>618</v>
      </c>
      <c r="B2490" t="s">
        <v>619</v>
      </c>
      <c r="C2490" t="s">
        <v>164</v>
      </c>
      <c r="D2490" t="s">
        <v>165</v>
      </c>
      <c r="E2490" s="4">
        <v>-535.5</v>
      </c>
      <c r="F2490" s="4">
        <v>-357</v>
      </c>
      <c r="G2490" s="4">
        <v>-381.5</v>
      </c>
      <c r="H2490" s="4">
        <v>-357</v>
      </c>
      <c r="I2490" s="4">
        <v>-357</v>
      </c>
      <c r="J2490" s="4">
        <v>-357</v>
      </c>
      <c r="K2490" s="4">
        <v>-357</v>
      </c>
      <c r="L2490" s="4">
        <v>-1375.5</v>
      </c>
      <c r="M2490" s="4">
        <v>-427</v>
      </c>
      <c r="N2490" s="4">
        <v>-427</v>
      </c>
      <c r="O2490" s="4">
        <v>-427</v>
      </c>
      <c r="P2490" s="4">
        <v>-427</v>
      </c>
      <c r="Q2490" s="4">
        <v>-1522.5</v>
      </c>
      <c r="S2490" s="8">
        <f t="shared" si="114"/>
        <v>-767.66666666666663</v>
      </c>
      <c r="T2490" s="8">
        <f t="shared" si="115"/>
        <v>767.66666666666663</v>
      </c>
      <c r="U2490" s="9">
        <f t="shared" si="116"/>
        <v>-1</v>
      </c>
    </row>
    <row r="2491" spans="1:21" outlineLevel="2">
      <c r="A2491" t="s">
        <v>618</v>
      </c>
      <c r="B2491" t="s">
        <v>619</v>
      </c>
      <c r="C2491" t="s">
        <v>53</v>
      </c>
      <c r="D2491" t="s">
        <v>54</v>
      </c>
      <c r="E2491" s="4">
        <v>0</v>
      </c>
      <c r="F2491" s="4">
        <v>0</v>
      </c>
      <c r="G2491" s="4">
        <v>-5</v>
      </c>
      <c r="H2491" s="4">
        <v>0</v>
      </c>
      <c r="I2491" s="4">
        <v>0</v>
      </c>
      <c r="J2491" s="4">
        <v>0</v>
      </c>
      <c r="K2491" s="4">
        <v>0</v>
      </c>
      <c r="L2491" s="4">
        <v>0</v>
      </c>
      <c r="M2491" s="4">
        <v>0</v>
      </c>
      <c r="N2491" s="4">
        <v>0</v>
      </c>
      <c r="O2491" s="4">
        <v>0</v>
      </c>
      <c r="P2491" s="4">
        <v>0</v>
      </c>
      <c r="Q2491" s="4">
        <v>0</v>
      </c>
      <c r="S2491" s="8">
        <f t="shared" si="114"/>
        <v>0</v>
      </c>
      <c r="T2491" s="8">
        <f t="shared" si="115"/>
        <v>0</v>
      </c>
      <c r="U2491" s="9" t="e">
        <f t="shared" si="116"/>
        <v>#DIV/0!</v>
      </c>
    </row>
    <row r="2492" spans="1:21" outlineLevel="2">
      <c r="A2492" t="s">
        <v>618</v>
      </c>
      <c r="B2492" t="s">
        <v>619</v>
      </c>
      <c r="C2492" t="s">
        <v>55</v>
      </c>
      <c r="D2492" t="s">
        <v>56</v>
      </c>
      <c r="E2492" s="4">
        <v>0</v>
      </c>
      <c r="F2492" s="4">
        <v>0</v>
      </c>
      <c r="G2492" s="4">
        <v>0</v>
      </c>
      <c r="H2492" s="4">
        <v>-216.15</v>
      </c>
      <c r="I2492" s="4">
        <v>0</v>
      </c>
      <c r="J2492" s="4">
        <v>0</v>
      </c>
      <c r="K2492" s="4">
        <v>0</v>
      </c>
      <c r="L2492" s="4">
        <v>-100.92</v>
      </c>
      <c r="M2492" s="4">
        <v>0</v>
      </c>
      <c r="N2492" s="4">
        <v>-39.520000000000003</v>
      </c>
      <c r="O2492" s="4">
        <v>-33.08</v>
      </c>
      <c r="P2492" s="4">
        <v>-60.82</v>
      </c>
      <c r="Q2492" s="4">
        <v>0</v>
      </c>
      <c r="S2492" s="8">
        <f t="shared" si="114"/>
        <v>-39.056666666666665</v>
      </c>
      <c r="T2492" s="8">
        <f t="shared" si="115"/>
        <v>39.056666666666665</v>
      </c>
      <c r="U2492" s="9">
        <f t="shared" si="116"/>
        <v>-1</v>
      </c>
    </row>
    <row r="2493" spans="1:21" outlineLevel="2">
      <c r="A2493" t="s">
        <v>618</v>
      </c>
      <c r="B2493" t="s">
        <v>619</v>
      </c>
      <c r="C2493" t="s">
        <v>59</v>
      </c>
      <c r="D2493" t="s">
        <v>60</v>
      </c>
      <c r="E2493" s="4">
        <v>0</v>
      </c>
      <c r="F2493" s="4">
        <v>-530.82000000000005</v>
      </c>
      <c r="G2493" s="4">
        <v>-23.07</v>
      </c>
      <c r="H2493" s="4">
        <v>-237</v>
      </c>
      <c r="I2493" s="4">
        <v>-72.13</v>
      </c>
      <c r="J2493" s="4">
        <v>-550.20000000000005</v>
      </c>
      <c r="K2493" s="4">
        <v>-462.77</v>
      </c>
      <c r="L2493" s="4">
        <v>-341.52</v>
      </c>
      <c r="M2493" s="4">
        <v>-575.57000000000005</v>
      </c>
      <c r="N2493" s="4">
        <v>-539.16999999999996</v>
      </c>
      <c r="O2493" s="4">
        <v>-276.27</v>
      </c>
      <c r="P2493" s="4">
        <v>-838.74</v>
      </c>
      <c r="Q2493" s="4">
        <v>0</v>
      </c>
      <c r="S2493" s="8">
        <f t="shared" si="114"/>
        <v>-428.54500000000002</v>
      </c>
      <c r="T2493" s="8">
        <f t="shared" si="115"/>
        <v>428.54500000000002</v>
      </c>
      <c r="U2493" s="9">
        <f t="shared" si="116"/>
        <v>-1</v>
      </c>
    </row>
    <row r="2494" spans="1:21" outlineLevel="2">
      <c r="A2494" t="s">
        <v>618</v>
      </c>
      <c r="B2494" t="s">
        <v>619</v>
      </c>
      <c r="C2494" t="s">
        <v>61</v>
      </c>
      <c r="D2494" t="s">
        <v>62</v>
      </c>
      <c r="E2494" s="4">
        <v>-19041.97</v>
      </c>
      <c r="F2494" s="4">
        <v>-1224.27</v>
      </c>
      <c r="G2494" s="4">
        <v>-1133.8399999999999</v>
      </c>
      <c r="H2494" s="4">
        <v>-1521.39</v>
      </c>
      <c r="I2494" s="4">
        <v>-1467.41</v>
      </c>
      <c r="J2494" s="4">
        <v>-59570.6</v>
      </c>
      <c r="K2494" s="4">
        <v>-1459.19</v>
      </c>
      <c r="L2494" s="4">
        <v>-1626</v>
      </c>
      <c r="M2494" s="4">
        <v>-13158.34</v>
      </c>
      <c r="N2494" s="4">
        <v>-1527.12</v>
      </c>
      <c r="O2494" s="4">
        <v>-21048.9</v>
      </c>
      <c r="P2494" s="4">
        <v>-18252.07</v>
      </c>
      <c r="Q2494" s="4">
        <v>-1486.33</v>
      </c>
      <c r="S2494" s="8">
        <f t="shared" si="114"/>
        <v>-9516.4600000000009</v>
      </c>
      <c r="T2494" s="8">
        <f t="shared" si="115"/>
        <v>9516.4600000000009</v>
      </c>
      <c r="U2494" s="9">
        <f t="shared" si="116"/>
        <v>-1</v>
      </c>
    </row>
    <row r="2495" spans="1:21" outlineLevel="2">
      <c r="A2495" t="s">
        <v>618</v>
      </c>
      <c r="B2495" t="s">
        <v>619</v>
      </c>
      <c r="C2495" t="s">
        <v>196</v>
      </c>
      <c r="D2495" t="s">
        <v>197</v>
      </c>
      <c r="E2495" s="4">
        <v>0</v>
      </c>
      <c r="F2495" s="4">
        <v>0</v>
      </c>
      <c r="G2495" s="4">
        <v>0</v>
      </c>
      <c r="H2495" s="4">
        <v>0</v>
      </c>
      <c r="I2495" s="4">
        <v>0</v>
      </c>
      <c r="J2495" s="4">
        <v>0</v>
      </c>
      <c r="K2495" s="4">
        <v>0</v>
      </c>
      <c r="L2495" s="4">
        <v>0</v>
      </c>
      <c r="M2495" s="4">
        <v>-246.94</v>
      </c>
      <c r="N2495" s="4">
        <v>0</v>
      </c>
      <c r="O2495" s="4">
        <v>0</v>
      </c>
      <c r="P2495" s="4">
        <v>0</v>
      </c>
      <c r="Q2495" s="4">
        <v>-1912.52</v>
      </c>
      <c r="S2495" s="8">
        <f t="shared" si="114"/>
        <v>-359.91</v>
      </c>
      <c r="T2495" s="8">
        <f t="shared" si="115"/>
        <v>359.91</v>
      </c>
      <c r="U2495" s="9">
        <f t="shared" si="116"/>
        <v>-1</v>
      </c>
    </row>
    <row r="2496" spans="1:21" outlineLevel="2">
      <c r="A2496" t="s">
        <v>618</v>
      </c>
      <c r="B2496" t="s">
        <v>619</v>
      </c>
      <c r="C2496" t="s">
        <v>63</v>
      </c>
      <c r="D2496" t="s">
        <v>64</v>
      </c>
      <c r="E2496" s="4">
        <v>-7988.66</v>
      </c>
      <c r="F2496" s="4">
        <v>-3421.08</v>
      </c>
      <c r="G2496" s="4">
        <v>-2100.06</v>
      </c>
      <c r="H2496" s="4">
        <v>-5315.11</v>
      </c>
      <c r="I2496" s="4">
        <v>-8281.94</v>
      </c>
      <c r="J2496" s="4">
        <v>-8124.25</v>
      </c>
      <c r="K2496" s="4">
        <v>-4281.5200000000004</v>
      </c>
      <c r="L2496" s="4">
        <v>-3297.46</v>
      </c>
      <c r="M2496" s="4">
        <v>-6261.98</v>
      </c>
      <c r="N2496" s="4">
        <v>-62380.76</v>
      </c>
      <c r="O2496" s="4">
        <v>-3716.49</v>
      </c>
      <c r="P2496" s="4">
        <v>-4697.92</v>
      </c>
      <c r="Q2496" s="4">
        <v>-29879.48</v>
      </c>
      <c r="S2496" s="8">
        <f t="shared" si="114"/>
        <v>-18372.348333333332</v>
      </c>
      <c r="T2496" s="8">
        <f t="shared" si="115"/>
        <v>18372.348333333332</v>
      </c>
      <c r="U2496" s="9">
        <f t="shared" si="116"/>
        <v>-1</v>
      </c>
    </row>
    <row r="2497" spans="1:21" outlineLevel="2">
      <c r="A2497" t="s">
        <v>618</v>
      </c>
      <c r="B2497" t="s">
        <v>619</v>
      </c>
      <c r="C2497" t="s">
        <v>65</v>
      </c>
      <c r="D2497" t="s">
        <v>66</v>
      </c>
      <c r="E2497" s="4">
        <v>-191488.23</v>
      </c>
      <c r="F2497" s="4">
        <v>-236097.5</v>
      </c>
      <c r="G2497" s="4">
        <v>-224185.69999999998</v>
      </c>
      <c r="H2497" s="4">
        <v>-208856.16</v>
      </c>
      <c r="I2497" s="4">
        <v>-157477.79</v>
      </c>
      <c r="J2497" s="4">
        <v>-203286.06</v>
      </c>
      <c r="K2497" s="4">
        <v>-153663.48000000001</v>
      </c>
      <c r="L2497" s="4">
        <v>-143056.59</v>
      </c>
      <c r="M2497" s="4">
        <v>-255076.68</v>
      </c>
      <c r="N2497" s="4">
        <v>-247659.38</v>
      </c>
      <c r="O2497" s="4">
        <v>-115670.41000000002</v>
      </c>
      <c r="P2497" s="4">
        <v>-176011.6</v>
      </c>
      <c r="Q2497" s="4">
        <v>-174182.58</v>
      </c>
      <c r="S2497" s="8">
        <f t="shared" si="114"/>
        <v>-185276.20666666667</v>
      </c>
      <c r="T2497" s="8">
        <f t="shared" si="115"/>
        <v>185276.20666666667</v>
      </c>
      <c r="U2497" s="9">
        <f t="shared" si="116"/>
        <v>-1</v>
      </c>
    </row>
    <row r="2498" spans="1:21" outlineLevel="2">
      <c r="A2498" t="s">
        <v>618</v>
      </c>
      <c r="B2498" t="s">
        <v>619</v>
      </c>
      <c r="C2498" t="s">
        <v>75</v>
      </c>
      <c r="D2498" t="s">
        <v>76</v>
      </c>
      <c r="E2498" s="4">
        <v>0</v>
      </c>
      <c r="F2498" s="4">
        <v>0</v>
      </c>
      <c r="G2498" s="4">
        <v>0</v>
      </c>
      <c r="H2498" s="4">
        <v>0</v>
      </c>
      <c r="I2498" s="4">
        <v>0</v>
      </c>
      <c r="J2498" s="4">
        <v>0</v>
      </c>
      <c r="K2498" s="4">
        <v>-1673.71</v>
      </c>
      <c r="L2498" s="4">
        <v>-105</v>
      </c>
      <c r="M2498" s="4">
        <v>0</v>
      </c>
      <c r="N2498" s="4">
        <v>0</v>
      </c>
      <c r="O2498" s="4">
        <v>0</v>
      </c>
      <c r="P2498" s="4">
        <v>-1410.14</v>
      </c>
      <c r="Q2498" s="4">
        <v>0</v>
      </c>
      <c r="S2498" s="8">
        <f t="shared" si="114"/>
        <v>-252.52333333333334</v>
      </c>
      <c r="T2498" s="8">
        <f t="shared" si="115"/>
        <v>252.52333333333334</v>
      </c>
      <c r="U2498" s="9">
        <f t="shared" si="116"/>
        <v>-1</v>
      </c>
    </row>
    <row r="2499" spans="1:21" outlineLevel="2">
      <c r="A2499" t="s">
        <v>618</v>
      </c>
      <c r="B2499" t="s">
        <v>619</v>
      </c>
      <c r="C2499" t="s">
        <v>77</v>
      </c>
      <c r="D2499" t="s">
        <v>78</v>
      </c>
      <c r="E2499" s="4">
        <v>0</v>
      </c>
      <c r="F2499" s="4">
        <v>-9823.69</v>
      </c>
      <c r="G2499" s="4">
        <v>0</v>
      </c>
      <c r="H2499" s="4">
        <v>0</v>
      </c>
      <c r="I2499" s="4">
        <v>0</v>
      </c>
      <c r="J2499" s="4">
        <v>0</v>
      </c>
      <c r="K2499" s="4">
        <v>0</v>
      </c>
      <c r="L2499" s="4">
        <v>-258.55</v>
      </c>
      <c r="M2499" s="4">
        <v>-16655.830000000002</v>
      </c>
      <c r="N2499" s="4">
        <v>0</v>
      </c>
      <c r="O2499" s="4">
        <v>0</v>
      </c>
      <c r="P2499" s="4">
        <v>0</v>
      </c>
      <c r="Q2499" s="4">
        <v>0</v>
      </c>
      <c r="S2499" s="8">
        <f t="shared" ref="S2499:S2562" si="117">AVERAGE(L2499:Q2499)</f>
        <v>-2819.0633333333335</v>
      </c>
      <c r="T2499" s="8">
        <f t="shared" ref="T2499:T2562" si="118">R2499-S2499</f>
        <v>2819.0633333333335</v>
      </c>
      <c r="U2499" s="9">
        <f t="shared" ref="U2499:U2562" si="119">(R2499-S2499)/S2499</f>
        <v>-1</v>
      </c>
    </row>
    <row r="2500" spans="1:21" outlineLevel="2">
      <c r="A2500" t="s">
        <v>618</v>
      </c>
      <c r="B2500" t="s">
        <v>619</v>
      </c>
      <c r="C2500" t="s">
        <v>591</v>
      </c>
      <c r="D2500" t="s">
        <v>592</v>
      </c>
      <c r="E2500" s="4">
        <v>0</v>
      </c>
      <c r="F2500" s="4">
        <v>0</v>
      </c>
      <c r="G2500" s="4">
        <v>-81.95</v>
      </c>
      <c r="H2500" s="4">
        <v>0</v>
      </c>
      <c r="I2500" s="4">
        <v>0</v>
      </c>
      <c r="J2500" s="4">
        <v>0</v>
      </c>
      <c r="K2500" s="4">
        <v>0</v>
      </c>
      <c r="L2500" s="4">
        <v>0</v>
      </c>
      <c r="M2500" s="4">
        <v>0</v>
      </c>
      <c r="N2500" s="4">
        <v>0</v>
      </c>
      <c r="O2500" s="4">
        <v>0</v>
      </c>
      <c r="P2500" s="4">
        <v>0</v>
      </c>
      <c r="Q2500" s="4">
        <v>0</v>
      </c>
      <c r="S2500" s="8">
        <f t="shared" si="117"/>
        <v>0</v>
      </c>
      <c r="T2500" s="8">
        <f t="shared" si="118"/>
        <v>0</v>
      </c>
      <c r="U2500" s="9" t="e">
        <f t="shared" si="119"/>
        <v>#DIV/0!</v>
      </c>
    </row>
    <row r="2501" spans="1:21" outlineLevel="2">
      <c r="A2501" t="s">
        <v>618</v>
      </c>
      <c r="B2501" t="s">
        <v>619</v>
      </c>
      <c r="C2501" t="s">
        <v>593</v>
      </c>
      <c r="D2501" t="s">
        <v>594</v>
      </c>
      <c r="E2501" s="4">
        <v>0</v>
      </c>
      <c r="F2501" s="4">
        <v>0</v>
      </c>
      <c r="G2501" s="4">
        <v>-179.55</v>
      </c>
      <c r="H2501" s="4">
        <v>0</v>
      </c>
      <c r="I2501" s="4">
        <v>0</v>
      </c>
      <c r="J2501" s="4">
        <v>0</v>
      </c>
      <c r="K2501" s="4">
        <v>0</v>
      </c>
      <c r="L2501" s="4">
        <v>0</v>
      </c>
      <c r="M2501" s="4">
        <v>0</v>
      </c>
      <c r="N2501" s="4">
        <v>0</v>
      </c>
      <c r="O2501" s="4">
        <v>0</v>
      </c>
      <c r="P2501" s="4">
        <v>0</v>
      </c>
      <c r="Q2501" s="4">
        <v>0</v>
      </c>
      <c r="S2501" s="8">
        <f t="shared" si="117"/>
        <v>0</v>
      </c>
      <c r="T2501" s="8">
        <f t="shared" si="118"/>
        <v>0</v>
      </c>
      <c r="U2501" s="9" t="e">
        <f t="shared" si="119"/>
        <v>#DIV/0!</v>
      </c>
    </row>
    <row r="2502" spans="1:21" outlineLevel="2">
      <c r="A2502" t="s">
        <v>618</v>
      </c>
      <c r="B2502" t="s">
        <v>619</v>
      </c>
      <c r="C2502" t="s">
        <v>595</v>
      </c>
      <c r="D2502" t="s">
        <v>596</v>
      </c>
      <c r="E2502" s="4">
        <v>-2550</v>
      </c>
      <c r="F2502" s="4">
        <v>-1575</v>
      </c>
      <c r="G2502" s="4">
        <v>0</v>
      </c>
      <c r="H2502" s="4">
        <v>0</v>
      </c>
      <c r="I2502" s="4">
        <v>0</v>
      </c>
      <c r="J2502" s="4">
        <v>0</v>
      </c>
      <c r="K2502" s="4">
        <v>-500</v>
      </c>
      <c r="L2502" s="4">
        <v>-500</v>
      </c>
      <c r="M2502" s="4">
        <v>-2968.75</v>
      </c>
      <c r="N2502" s="4">
        <v>0</v>
      </c>
      <c r="O2502" s="4">
        <v>0</v>
      </c>
      <c r="P2502" s="4">
        <v>-600</v>
      </c>
      <c r="Q2502" s="4">
        <v>-8446</v>
      </c>
      <c r="S2502" s="8">
        <f t="shared" si="117"/>
        <v>-2085.7916666666665</v>
      </c>
      <c r="T2502" s="8">
        <f t="shared" si="118"/>
        <v>2085.7916666666665</v>
      </c>
      <c r="U2502" s="9">
        <f t="shared" si="119"/>
        <v>-1</v>
      </c>
    </row>
    <row r="2503" spans="1:21" outlineLevel="2">
      <c r="A2503" t="s">
        <v>618</v>
      </c>
      <c r="B2503" t="s">
        <v>619</v>
      </c>
      <c r="C2503" t="s">
        <v>597</v>
      </c>
      <c r="D2503" t="s">
        <v>598</v>
      </c>
      <c r="E2503" s="4">
        <v>0</v>
      </c>
      <c r="F2503" s="4">
        <v>0</v>
      </c>
      <c r="G2503" s="4">
        <v>0</v>
      </c>
      <c r="H2503" s="4">
        <v>0</v>
      </c>
      <c r="I2503" s="4">
        <v>-153.65</v>
      </c>
      <c r="J2503" s="4">
        <v>0</v>
      </c>
      <c r="K2503" s="4">
        <v>0</v>
      </c>
      <c r="L2503" s="4">
        <v>0</v>
      </c>
      <c r="M2503" s="4">
        <v>0</v>
      </c>
      <c r="N2503" s="4">
        <v>-499.9</v>
      </c>
      <c r="O2503" s="4">
        <v>0</v>
      </c>
      <c r="P2503" s="4">
        <v>0</v>
      </c>
      <c r="Q2503" s="4">
        <v>0</v>
      </c>
      <c r="S2503" s="8">
        <f t="shared" si="117"/>
        <v>-83.316666666666663</v>
      </c>
      <c r="T2503" s="8">
        <f t="shared" si="118"/>
        <v>83.316666666666663</v>
      </c>
      <c r="U2503" s="9">
        <f t="shared" si="119"/>
        <v>-1</v>
      </c>
    </row>
    <row r="2504" spans="1:21" outlineLevel="2">
      <c r="A2504" t="s">
        <v>618</v>
      </c>
      <c r="B2504" t="s">
        <v>619</v>
      </c>
      <c r="C2504" t="s">
        <v>81</v>
      </c>
      <c r="D2504" t="s">
        <v>82</v>
      </c>
      <c r="E2504" s="4">
        <v>-17942.73</v>
      </c>
      <c r="F2504" s="4">
        <v>0</v>
      </c>
      <c r="G2504" s="4">
        <v>0</v>
      </c>
      <c r="H2504" s="4">
        <v>0</v>
      </c>
      <c r="I2504" s="4">
        <v>0</v>
      </c>
      <c r="J2504" s="4">
        <v>-182353.13</v>
      </c>
      <c r="K2504" s="4">
        <v>0</v>
      </c>
      <c r="L2504" s="4">
        <v>0</v>
      </c>
      <c r="M2504" s="4">
        <v>0</v>
      </c>
      <c r="N2504" s="4">
        <v>0</v>
      </c>
      <c r="O2504" s="4">
        <v>0</v>
      </c>
      <c r="P2504" s="4">
        <v>0</v>
      </c>
      <c r="Q2504" s="4">
        <v>0</v>
      </c>
      <c r="S2504" s="8">
        <f t="shared" si="117"/>
        <v>0</v>
      </c>
      <c r="T2504" s="8">
        <f t="shared" si="118"/>
        <v>0</v>
      </c>
      <c r="U2504" s="9" t="e">
        <f t="shared" si="119"/>
        <v>#DIV/0!</v>
      </c>
    </row>
    <row r="2505" spans="1:21" outlineLevel="2">
      <c r="A2505" t="s">
        <v>618</v>
      </c>
      <c r="B2505" t="s">
        <v>619</v>
      </c>
      <c r="C2505" t="s">
        <v>83</v>
      </c>
      <c r="D2505" t="s">
        <v>84</v>
      </c>
      <c r="E2505" s="4">
        <v>-393.43</v>
      </c>
      <c r="F2505" s="4">
        <v>-799.31</v>
      </c>
      <c r="G2505" s="4">
        <v>-822</v>
      </c>
      <c r="H2505" s="4">
        <v>534.65</v>
      </c>
      <c r="I2505" s="4">
        <v>501.4</v>
      </c>
      <c r="J2505" s="4">
        <v>-125.9</v>
      </c>
      <c r="K2505" s="4">
        <v>0</v>
      </c>
      <c r="L2505" s="4">
        <v>2824.56</v>
      </c>
      <c r="M2505" s="4">
        <v>24.67</v>
      </c>
      <c r="N2505" s="4">
        <v>-678.49</v>
      </c>
      <c r="O2505" s="4">
        <v>-170.12</v>
      </c>
      <c r="P2505" s="4">
        <v>0</v>
      </c>
      <c r="Q2505" s="4">
        <v>-317.39</v>
      </c>
      <c r="S2505" s="8">
        <f t="shared" si="117"/>
        <v>280.53833333333336</v>
      </c>
      <c r="T2505" s="8">
        <f t="shared" si="118"/>
        <v>-280.53833333333336</v>
      </c>
      <c r="U2505" s="9">
        <f t="shared" si="119"/>
        <v>-1</v>
      </c>
    </row>
    <row r="2506" spans="1:21" outlineLevel="2">
      <c r="A2506" t="s">
        <v>618</v>
      </c>
      <c r="B2506" t="s">
        <v>619</v>
      </c>
      <c r="C2506" t="s">
        <v>85</v>
      </c>
      <c r="D2506" t="s">
        <v>86</v>
      </c>
      <c r="E2506" s="4">
        <v>0</v>
      </c>
      <c r="F2506" s="4">
        <v>0</v>
      </c>
      <c r="G2506" s="4">
        <v>0</v>
      </c>
      <c r="H2506" s="4">
        <v>0</v>
      </c>
      <c r="I2506" s="4">
        <v>-403.92</v>
      </c>
      <c r="J2506" s="4">
        <v>-1608.55</v>
      </c>
      <c r="K2506" s="4">
        <v>0</v>
      </c>
      <c r="L2506" s="4">
        <v>0</v>
      </c>
      <c r="M2506" s="4">
        <v>0</v>
      </c>
      <c r="N2506" s="4">
        <v>0</v>
      </c>
      <c r="O2506" s="4">
        <v>0</v>
      </c>
      <c r="P2506" s="4">
        <v>0</v>
      </c>
      <c r="Q2506" s="4">
        <v>0</v>
      </c>
      <c r="S2506" s="8">
        <f t="shared" si="117"/>
        <v>0</v>
      </c>
      <c r="T2506" s="8">
        <f t="shared" si="118"/>
        <v>0</v>
      </c>
      <c r="U2506" s="9" t="e">
        <f t="shared" si="119"/>
        <v>#DIV/0!</v>
      </c>
    </row>
    <row r="2507" spans="1:21" outlineLevel="2">
      <c r="A2507" t="s">
        <v>618</v>
      </c>
      <c r="B2507" t="s">
        <v>619</v>
      </c>
      <c r="C2507" t="s">
        <v>599</v>
      </c>
      <c r="D2507" t="s">
        <v>311</v>
      </c>
      <c r="E2507" s="4">
        <v>0</v>
      </c>
      <c r="F2507" s="4">
        <v>0</v>
      </c>
      <c r="G2507" s="4">
        <v>0</v>
      </c>
      <c r="H2507" s="4">
        <v>0</v>
      </c>
      <c r="I2507" s="4">
        <v>0</v>
      </c>
      <c r="J2507" s="4">
        <v>0</v>
      </c>
      <c r="K2507" s="4">
        <v>0</v>
      </c>
      <c r="L2507" s="4">
        <v>-1339.26</v>
      </c>
      <c r="M2507" s="4">
        <v>0</v>
      </c>
      <c r="N2507" s="4">
        <v>0</v>
      </c>
      <c r="O2507" s="4">
        <v>0</v>
      </c>
      <c r="P2507" s="4">
        <v>0</v>
      </c>
      <c r="Q2507" s="4">
        <v>0</v>
      </c>
      <c r="S2507" s="8">
        <f t="shared" si="117"/>
        <v>-223.21</v>
      </c>
      <c r="T2507" s="8">
        <f t="shared" si="118"/>
        <v>223.21</v>
      </c>
      <c r="U2507" s="9">
        <f t="shared" si="119"/>
        <v>-1</v>
      </c>
    </row>
    <row r="2508" spans="1:21" outlineLevel="2">
      <c r="A2508" t="s">
        <v>618</v>
      </c>
      <c r="B2508" t="s">
        <v>619</v>
      </c>
      <c r="C2508" t="s">
        <v>310</v>
      </c>
      <c r="D2508" t="s">
        <v>311</v>
      </c>
      <c r="E2508" s="4">
        <v>0</v>
      </c>
      <c r="F2508" s="4">
        <v>0</v>
      </c>
      <c r="G2508" s="4">
        <v>0</v>
      </c>
      <c r="H2508" s="4">
        <v>0</v>
      </c>
      <c r="I2508" s="4">
        <v>-2770.62</v>
      </c>
      <c r="J2508" s="4">
        <v>-880.56</v>
      </c>
      <c r="K2508" s="4">
        <v>0</v>
      </c>
      <c r="L2508" s="4">
        <v>0</v>
      </c>
      <c r="M2508" s="4">
        <v>0</v>
      </c>
      <c r="N2508" s="4">
        <v>-2795.41</v>
      </c>
      <c r="O2508" s="4">
        <v>-410.12</v>
      </c>
      <c r="P2508" s="4">
        <v>0</v>
      </c>
      <c r="Q2508" s="4">
        <v>0</v>
      </c>
      <c r="S2508" s="8">
        <f t="shared" si="117"/>
        <v>-534.255</v>
      </c>
      <c r="T2508" s="8">
        <f t="shared" si="118"/>
        <v>534.255</v>
      </c>
      <c r="U2508" s="9">
        <f t="shared" si="119"/>
        <v>-1</v>
      </c>
    </row>
    <row r="2509" spans="1:21" outlineLevel="2">
      <c r="A2509" t="s">
        <v>618</v>
      </c>
      <c r="B2509" t="s">
        <v>619</v>
      </c>
      <c r="C2509" t="s">
        <v>87</v>
      </c>
      <c r="D2509" t="s">
        <v>88</v>
      </c>
      <c r="E2509" s="4">
        <v>-339.23</v>
      </c>
      <c r="F2509" s="4">
        <v>0</v>
      </c>
      <c r="G2509" s="4">
        <v>-81.98</v>
      </c>
      <c r="H2509" s="4">
        <v>-30.04</v>
      </c>
      <c r="I2509" s="4">
        <v>-216.67</v>
      </c>
      <c r="J2509" s="4">
        <v>-16.77</v>
      </c>
      <c r="K2509" s="4">
        <v>-10.82</v>
      </c>
      <c r="L2509" s="4">
        <v>475.14</v>
      </c>
      <c r="M2509" s="4">
        <v>-347.83</v>
      </c>
      <c r="N2509" s="4">
        <v>-21.44</v>
      </c>
      <c r="O2509" s="4">
        <v>-536.23</v>
      </c>
      <c r="P2509" s="4">
        <v>0</v>
      </c>
      <c r="Q2509" s="4">
        <v>-39.83</v>
      </c>
      <c r="S2509" s="8">
        <f t="shared" si="117"/>
        <v>-78.364999999999995</v>
      </c>
      <c r="T2509" s="8">
        <f t="shared" si="118"/>
        <v>78.364999999999995</v>
      </c>
      <c r="U2509" s="9">
        <f t="shared" si="119"/>
        <v>-1</v>
      </c>
    </row>
    <row r="2510" spans="1:21" outlineLevel="2">
      <c r="A2510" t="s">
        <v>618</v>
      </c>
      <c r="B2510" t="s">
        <v>619</v>
      </c>
      <c r="C2510" t="s">
        <v>166</v>
      </c>
      <c r="D2510" t="s">
        <v>167</v>
      </c>
      <c r="E2510" s="4">
        <v>0</v>
      </c>
      <c r="F2510" s="4">
        <v>0</v>
      </c>
      <c r="G2510" s="4">
        <v>-87</v>
      </c>
      <c r="H2510" s="4">
        <v>-107</v>
      </c>
      <c r="I2510" s="4">
        <v>0</v>
      </c>
      <c r="J2510" s="4">
        <v>0</v>
      </c>
      <c r="K2510" s="4">
        <v>0</v>
      </c>
      <c r="L2510" s="4">
        <v>0</v>
      </c>
      <c r="M2510" s="4">
        <v>0</v>
      </c>
      <c r="N2510" s="4">
        <v>0</v>
      </c>
      <c r="O2510" s="4">
        <v>0</v>
      </c>
      <c r="P2510" s="4">
        <v>0</v>
      </c>
      <c r="Q2510" s="4">
        <v>0</v>
      </c>
      <c r="S2510" s="8">
        <f t="shared" si="117"/>
        <v>0</v>
      </c>
      <c r="T2510" s="8">
        <f t="shared" si="118"/>
        <v>0</v>
      </c>
      <c r="U2510" s="9" t="e">
        <f t="shared" si="119"/>
        <v>#DIV/0!</v>
      </c>
    </row>
    <row r="2511" spans="1:21" outlineLevel="2">
      <c r="A2511" t="s">
        <v>618</v>
      </c>
      <c r="B2511" t="s">
        <v>619</v>
      </c>
      <c r="C2511" t="s">
        <v>182</v>
      </c>
      <c r="D2511" t="s">
        <v>183</v>
      </c>
      <c r="E2511" s="4">
        <v>0</v>
      </c>
      <c r="F2511" s="4">
        <v>0</v>
      </c>
      <c r="G2511" s="4">
        <v>0</v>
      </c>
      <c r="H2511" s="4">
        <v>0</v>
      </c>
      <c r="I2511" s="4">
        <v>0</v>
      </c>
      <c r="J2511" s="4">
        <v>0</v>
      </c>
      <c r="K2511" s="4">
        <v>0</v>
      </c>
      <c r="L2511" s="4">
        <v>0</v>
      </c>
      <c r="M2511" s="4">
        <v>0</v>
      </c>
      <c r="N2511" s="4">
        <v>-111.19</v>
      </c>
      <c r="O2511" s="4">
        <v>0</v>
      </c>
      <c r="P2511" s="4">
        <v>-296.18</v>
      </c>
      <c r="Q2511" s="4">
        <v>0</v>
      </c>
      <c r="S2511" s="8">
        <f t="shared" si="117"/>
        <v>-67.894999999999996</v>
      </c>
      <c r="T2511" s="8">
        <f t="shared" si="118"/>
        <v>67.894999999999996</v>
      </c>
      <c r="U2511" s="9">
        <f t="shared" si="119"/>
        <v>-1</v>
      </c>
    </row>
    <row r="2512" spans="1:21" outlineLevel="2">
      <c r="A2512" t="s">
        <v>618</v>
      </c>
      <c r="B2512" t="s">
        <v>619</v>
      </c>
      <c r="C2512" t="s">
        <v>93</v>
      </c>
      <c r="D2512" t="s">
        <v>94</v>
      </c>
      <c r="E2512" s="4">
        <v>0</v>
      </c>
      <c r="F2512" s="4">
        <v>0</v>
      </c>
      <c r="G2512" s="4">
        <v>0</v>
      </c>
      <c r="H2512" s="4">
        <v>-52.68</v>
      </c>
      <c r="I2512" s="4">
        <v>-2168.64</v>
      </c>
      <c r="J2512" s="4">
        <v>-43.89</v>
      </c>
      <c r="K2512" s="4">
        <v>0</v>
      </c>
      <c r="L2512" s="4">
        <v>181.03</v>
      </c>
      <c r="M2512" s="4">
        <v>-6998.39</v>
      </c>
      <c r="N2512" s="4">
        <v>-356.69</v>
      </c>
      <c r="O2512" s="4">
        <v>-155.22</v>
      </c>
      <c r="P2512" s="4">
        <v>-21.4</v>
      </c>
      <c r="Q2512" s="4">
        <v>-306.37</v>
      </c>
      <c r="S2512" s="8">
        <f t="shared" si="117"/>
        <v>-1276.1733333333334</v>
      </c>
      <c r="T2512" s="8">
        <f t="shared" si="118"/>
        <v>1276.1733333333334</v>
      </c>
      <c r="U2512" s="9">
        <f t="shared" si="119"/>
        <v>-1</v>
      </c>
    </row>
    <row r="2513" spans="1:22" outlineLevel="2">
      <c r="A2513" t="s">
        <v>618</v>
      </c>
      <c r="B2513" t="s">
        <v>619</v>
      </c>
      <c r="C2513" t="s">
        <v>97</v>
      </c>
      <c r="D2513" t="s">
        <v>98</v>
      </c>
      <c r="E2513" s="4">
        <v>-6334.03</v>
      </c>
      <c r="F2513" s="4">
        <v>-4964.3500000000004</v>
      </c>
      <c r="G2513" s="4">
        <v>-5024.0600000000004</v>
      </c>
      <c r="H2513" s="4">
        <v>-5644.69</v>
      </c>
      <c r="I2513" s="4">
        <v>-7021.86</v>
      </c>
      <c r="J2513" s="4">
        <v>-15694.41</v>
      </c>
      <c r="K2513" s="4">
        <v>-7258.52</v>
      </c>
      <c r="L2513" s="4">
        <v>-4056.31</v>
      </c>
      <c r="M2513" s="4">
        <v>-14773.52</v>
      </c>
      <c r="N2513" s="4">
        <v>-17831.189999999999</v>
      </c>
      <c r="O2513" s="4">
        <v>0</v>
      </c>
      <c r="P2513" s="4">
        <v>-15878.04</v>
      </c>
      <c r="Q2513" s="4">
        <v>-5431.22</v>
      </c>
      <c r="S2513" s="8">
        <f t="shared" si="117"/>
        <v>-9661.713333333335</v>
      </c>
      <c r="T2513" s="8">
        <f t="shared" si="118"/>
        <v>9661.713333333335</v>
      </c>
      <c r="U2513" s="9">
        <f t="shared" si="119"/>
        <v>-1</v>
      </c>
    </row>
    <row r="2514" spans="1:22" outlineLevel="2">
      <c r="A2514" t="s">
        <v>618</v>
      </c>
      <c r="B2514" t="s">
        <v>619</v>
      </c>
      <c r="C2514" t="s">
        <v>184</v>
      </c>
      <c r="D2514" t="s">
        <v>185</v>
      </c>
      <c r="E2514" s="4">
        <v>0</v>
      </c>
      <c r="F2514" s="4">
        <v>0</v>
      </c>
      <c r="G2514" s="4">
        <v>0</v>
      </c>
      <c r="H2514" s="4">
        <v>-181.86</v>
      </c>
      <c r="I2514" s="4">
        <v>0</v>
      </c>
      <c r="J2514" s="4">
        <v>0</v>
      </c>
      <c r="K2514" s="4">
        <v>0</v>
      </c>
      <c r="L2514" s="4">
        <v>0</v>
      </c>
      <c r="M2514" s="4">
        <v>0</v>
      </c>
      <c r="N2514" s="4">
        <v>0</v>
      </c>
      <c r="O2514" s="4">
        <v>0</v>
      </c>
      <c r="P2514" s="4">
        <v>0</v>
      </c>
      <c r="Q2514" s="4">
        <v>0</v>
      </c>
      <c r="S2514" s="8">
        <f t="shared" si="117"/>
        <v>0</v>
      </c>
      <c r="T2514" s="8">
        <f t="shared" si="118"/>
        <v>0</v>
      </c>
      <c r="U2514" s="9" t="e">
        <f t="shared" si="119"/>
        <v>#DIV/0!</v>
      </c>
    </row>
    <row r="2515" spans="1:22" outlineLevel="2">
      <c r="A2515" t="s">
        <v>618</v>
      </c>
      <c r="B2515" t="s">
        <v>619</v>
      </c>
      <c r="C2515" t="s">
        <v>101</v>
      </c>
      <c r="D2515" t="s">
        <v>102</v>
      </c>
      <c r="E2515" s="4">
        <v>-405.61</v>
      </c>
      <c r="F2515" s="4">
        <v>-309.91000000000003</v>
      </c>
      <c r="G2515" s="4">
        <v>-3213.83</v>
      </c>
      <c r="H2515" s="4">
        <v>-369.21</v>
      </c>
      <c r="I2515" s="4">
        <v>-730.28</v>
      </c>
      <c r="J2515" s="4">
        <v>-1676.47</v>
      </c>
      <c r="K2515" s="4">
        <v>-234.95</v>
      </c>
      <c r="L2515" s="4">
        <v>-265.77</v>
      </c>
      <c r="M2515" s="4">
        <v>-357</v>
      </c>
      <c r="N2515" s="4">
        <v>-4356.67</v>
      </c>
      <c r="O2515" s="4">
        <v>-5323.0800000000017</v>
      </c>
      <c r="P2515" s="4">
        <v>-1066.2399999999998</v>
      </c>
      <c r="Q2515" s="4">
        <v>-441.94000000000233</v>
      </c>
      <c r="R2515" s="4">
        <v>30387.53000000001</v>
      </c>
      <c r="S2515" s="8">
        <f t="shared" si="117"/>
        <v>-1968.4500000000007</v>
      </c>
      <c r="T2515" s="8">
        <f t="shared" si="118"/>
        <v>32355.98000000001</v>
      </c>
      <c r="U2515" s="9">
        <f t="shared" si="119"/>
        <v>-16.437288221697273</v>
      </c>
      <c r="V2515" t="s">
        <v>896</v>
      </c>
    </row>
    <row r="2516" spans="1:22" outlineLevel="2">
      <c r="A2516" t="s">
        <v>618</v>
      </c>
      <c r="B2516" t="s">
        <v>619</v>
      </c>
      <c r="C2516" t="s">
        <v>198</v>
      </c>
      <c r="D2516" t="s">
        <v>199</v>
      </c>
      <c r="E2516" s="4">
        <v>0</v>
      </c>
      <c r="F2516" s="4">
        <v>0</v>
      </c>
      <c r="G2516" s="4">
        <v>0</v>
      </c>
      <c r="H2516" s="4">
        <v>0</v>
      </c>
      <c r="I2516" s="4">
        <v>0</v>
      </c>
      <c r="J2516" s="4">
        <v>-2927.88</v>
      </c>
      <c r="K2516" s="4">
        <v>0</v>
      </c>
      <c r="L2516" s="4">
        <v>0</v>
      </c>
      <c r="M2516" s="4">
        <v>0</v>
      </c>
      <c r="N2516" s="4">
        <v>0</v>
      </c>
      <c r="O2516" s="4">
        <v>0</v>
      </c>
      <c r="P2516" s="4">
        <v>0</v>
      </c>
      <c r="Q2516" s="4">
        <v>0</v>
      </c>
      <c r="S2516" s="8">
        <f t="shared" si="117"/>
        <v>0</v>
      </c>
      <c r="T2516" s="8">
        <f t="shared" si="118"/>
        <v>0</v>
      </c>
      <c r="U2516" s="9" t="e">
        <f t="shared" si="119"/>
        <v>#DIV/0!</v>
      </c>
    </row>
    <row r="2517" spans="1:22" outlineLevel="2">
      <c r="A2517" t="s">
        <v>618</v>
      </c>
      <c r="B2517" t="s">
        <v>619</v>
      </c>
      <c r="C2517" t="s">
        <v>312</v>
      </c>
      <c r="D2517" t="s">
        <v>313</v>
      </c>
      <c r="E2517" s="4">
        <v>-3049.24</v>
      </c>
      <c r="F2517" s="4">
        <v>-588.88</v>
      </c>
      <c r="G2517" s="4">
        <v>-2046.55</v>
      </c>
      <c r="H2517" s="4">
        <v>-2438.44</v>
      </c>
      <c r="I2517" s="4">
        <v>-1512.97</v>
      </c>
      <c r="J2517" s="4">
        <v>-1015</v>
      </c>
      <c r="K2517" s="4">
        <v>-1382.66</v>
      </c>
      <c r="L2517" s="4">
        <v>-2980.94</v>
      </c>
      <c r="M2517" s="4">
        <v>-2041</v>
      </c>
      <c r="N2517" s="4">
        <v>-1000</v>
      </c>
      <c r="O2517" s="4">
        <v>-435</v>
      </c>
      <c r="P2517" s="4">
        <v>-2286.0300000000002</v>
      </c>
      <c r="Q2517" s="4">
        <v>-1849</v>
      </c>
      <c r="S2517" s="8">
        <f t="shared" si="117"/>
        <v>-1765.3283333333336</v>
      </c>
      <c r="T2517" s="8">
        <f t="shared" si="118"/>
        <v>1765.3283333333336</v>
      </c>
      <c r="U2517" s="9">
        <f t="shared" si="119"/>
        <v>-1</v>
      </c>
    </row>
    <row r="2518" spans="1:22" outlineLevel="2">
      <c r="A2518" t="s">
        <v>618</v>
      </c>
      <c r="B2518" t="s">
        <v>619</v>
      </c>
      <c r="C2518" t="s">
        <v>111</v>
      </c>
      <c r="D2518" t="s">
        <v>112</v>
      </c>
      <c r="E2518" s="4">
        <v>0</v>
      </c>
      <c r="F2518" s="4">
        <v>0</v>
      </c>
      <c r="G2518" s="4">
        <v>0</v>
      </c>
      <c r="H2518" s="4">
        <v>-7389.6</v>
      </c>
      <c r="I2518" s="4">
        <v>0</v>
      </c>
      <c r="J2518" s="4">
        <v>7389.6</v>
      </c>
      <c r="K2518" s="4">
        <v>0</v>
      </c>
      <c r="L2518" s="4">
        <v>0</v>
      </c>
      <c r="M2518" s="4">
        <v>0</v>
      </c>
      <c r="N2518" s="4">
        <v>0</v>
      </c>
      <c r="O2518" s="4">
        <v>0</v>
      </c>
      <c r="P2518" s="4">
        <v>0</v>
      </c>
      <c r="Q2518" s="4">
        <v>0</v>
      </c>
      <c r="S2518" s="8">
        <f t="shared" si="117"/>
        <v>0</v>
      </c>
      <c r="T2518" s="8">
        <f t="shared" si="118"/>
        <v>0</v>
      </c>
      <c r="U2518" s="9" t="e">
        <f t="shared" si="119"/>
        <v>#DIV/0!</v>
      </c>
    </row>
    <row r="2519" spans="1:22" outlineLevel="2">
      <c r="A2519" t="s">
        <v>618</v>
      </c>
      <c r="B2519" t="s">
        <v>619</v>
      </c>
      <c r="C2519" t="s">
        <v>170</v>
      </c>
      <c r="D2519" t="s">
        <v>171</v>
      </c>
      <c r="E2519" s="4">
        <v>-2362.5</v>
      </c>
      <c r="F2519" s="4">
        <v>-1575</v>
      </c>
      <c r="G2519" s="4">
        <v>-1575</v>
      </c>
      <c r="H2519" s="4">
        <v>-1512</v>
      </c>
      <c r="I2519" s="4">
        <v>-1494</v>
      </c>
      <c r="J2519" s="4">
        <v>-1539</v>
      </c>
      <c r="K2519" s="4">
        <v>-1350</v>
      </c>
      <c r="L2519" s="4">
        <v>-1872</v>
      </c>
      <c r="M2519" s="4">
        <v>-1197</v>
      </c>
      <c r="N2519" s="4">
        <v>-1197</v>
      </c>
      <c r="O2519" s="4">
        <v>-1197</v>
      </c>
      <c r="P2519" s="4">
        <v>-1197</v>
      </c>
      <c r="Q2519" s="4">
        <v>-598.5</v>
      </c>
      <c r="S2519" s="8">
        <f t="shared" si="117"/>
        <v>-1209.75</v>
      </c>
      <c r="T2519" s="8">
        <f t="shared" si="118"/>
        <v>1209.75</v>
      </c>
      <c r="U2519" s="9">
        <f t="shared" si="119"/>
        <v>-1</v>
      </c>
    </row>
    <row r="2520" spans="1:22" outlineLevel="2">
      <c r="A2520" t="s">
        <v>618</v>
      </c>
      <c r="B2520" t="s">
        <v>619</v>
      </c>
      <c r="C2520" t="s">
        <v>119</v>
      </c>
      <c r="D2520" t="s">
        <v>120</v>
      </c>
      <c r="E2520" s="4">
        <v>-14062.33</v>
      </c>
      <c r="F2520" s="4">
        <v>-13507.17</v>
      </c>
      <c r="G2520" s="4">
        <v>-11332.88</v>
      </c>
      <c r="H2520" s="4">
        <v>-16074.7</v>
      </c>
      <c r="I2520" s="4">
        <v>-14876.3</v>
      </c>
      <c r="J2520" s="4">
        <v>-13485.62</v>
      </c>
      <c r="K2520" s="4">
        <v>-12897.4</v>
      </c>
      <c r="L2520" s="4">
        <v>-11674.15</v>
      </c>
      <c r="M2520" s="4">
        <v>-12616.21</v>
      </c>
      <c r="N2520" s="4">
        <v>-14172.2</v>
      </c>
      <c r="O2520" s="4">
        <v>-8323.11</v>
      </c>
      <c r="P2520" s="4">
        <v>-11734.69</v>
      </c>
      <c r="Q2520" s="4">
        <v>-13601.08</v>
      </c>
      <c r="S2520" s="8">
        <f t="shared" si="117"/>
        <v>-12020.24</v>
      </c>
      <c r="T2520" s="8">
        <f t="shared" si="118"/>
        <v>12020.24</v>
      </c>
      <c r="U2520" s="9">
        <f t="shared" si="119"/>
        <v>-1</v>
      </c>
    </row>
    <row r="2521" spans="1:22" outlineLevel="2">
      <c r="A2521" t="s">
        <v>618</v>
      </c>
      <c r="B2521" t="s">
        <v>619</v>
      </c>
      <c r="C2521" t="s">
        <v>121</v>
      </c>
      <c r="D2521" t="s">
        <v>122</v>
      </c>
      <c r="E2521" s="4">
        <v>-85499.4</v>
      </c>
      <c r="F2521" s="4">
        <v>-151661.34</v>
      </c>
      <c r="G2521" s="4">
        <v>-128516.04</v>
      </c>
      <c r="H2521" s="4">
        <v>-135333.76000000001</v>
      </c>
      <c r="I2521" s="4">
        <v>-127322.28</v>
      </c>
      <c r="J2521" s="4">
        <v>-132103.16</v>
      </c>
      <c r="K2521" s="4">
        <v>-133363.5</v>
      </c>
      <c r="L2521" s="4">
        <v>-138852.24</v>
      </c>
      <c r="M2521" s="4">
        <v>-145288.68</v>
      </c>
      <c r="N2521" s="4">
        <v>-118264.17</v>
      </c>
      <c r="O2521" s="4">
        <v>-90889.78</v>
      </c>
      <c r="P2521" s="4">
        <v>-116807.62</v>
      </c>
      <c r="Q2521" s="4">
        <v>-98937.78</v>
      </c>
      <c r="S2521" s="8">
        <f t="shared" si="117"/>
        <v>-118173.37833333334</v>
      </c>
      <c r="T2521" s="8">
        <f t="shared" si="118"/>
        <v>118173.37833333334</v>
      </c>
      <c r="U2521" s="9">
        <f t="shared" si="119"/>
        <v>-1</v>
      </c>
    </row>
    <row r="2522" spans="1:22" outlineLevel="2">
      <c r="A2522" t="s">
        <v>618</v>
      </c>
      <c r="B2522" t="s">
        <v>619</v>
      </c>
      <c r="C2522" t="s">
        <v>127</v>
      </c>
      <c r="D2522" t="s">
        <v>120</v>
      </c>
      <c r="E2522" s="4">
        <v>-386.76</v>
      </c>
      <c r="F2522" s="4">
        <v>-591.99</v>
      </c>
      <c r="G2522" s="4">
        <v>-151.9</v>
      </c>
      <c r="H2522" s="4">
        <v>-15.4</v>
      </c>
      <c r="I2522" s="4">
        <v>-489.25</v>
      </c>
      <c r="J2522" s="4">
        <v>-228.45</v>
      </c>
      <c r="K2522" s="4">
        <v>-413.57</v>
      </c>
      <c r="L2522" s="4">
        <v>-74.75</v>
      </c>
      <c r="M2522" s="4">
        <v>-241.95</v>
      </c>
      <c r="N2522" s="4">
        <v>-543.21</v>
      </c>
      <c r="O2522" s="4">
        <v>-5758.79</v>
      </c>
      <c r="P2522" s="4">
        <v>-574.48</v>
      </c>
      <c r="Q2522" s="4">
        <v>-210.51</v>
      </c>
      <c r="S2522" s="8">
        <f t="shared" si="117"/>
        <v>-1233.9483333333335</v>
      </c>
      <c r="T2522" s="8">
        <f t="shared" si="118"/>
        <v>1233.9483333333335</v>
      </c>
      <c r="U2522" s="9">
        <f t="shared" si="119"/>
        <v>-1</v>
      </c>
    </row>
    <row r="2523" spans="1:22" outlineLevel="2">
      <c r="A2523" t="s">
        <v>618</v>
      </c>
      <c r="B2523" t="s">
        <v>619</v>
      </c>
      <c r="C2523" t="s">
        <v>616</v>
      </c>
      <c r="D2523" t="s">
        <v>617</v>
      </c>
      <c r="E2523" s="4">
        <v>0</v>
      </c>
      <c r="F2523" s="4">
        <v>0</v>
      </c>
      <c r="G2523" s="4">
        <v>0</v>
      </c>
      <c r="H2523" s="4">
        <v>0</v>
      </c>
      <c r="I2523" s="4">
        <v>0</v>
      </c>
      <c r="J2523" s="4">
        <v>0</v>
      </c>
      <c r="K2523" s="4">
        <v>0</v>
      </c>
      <c r="L2523" s="4">
        <v>0</v>
      </c>
      <c r="M2523" s="4">
        <v>0</v>
      </c>
      <c r="N2523" s="4">
        <v>46605.760000000002</v>
      </c>
      <c r="O2523" s="4">
        <v>0</v>
      </c>
      <c r="P2523" s="4">
        <v>0</v>
      </c>
      <c r="Q2523" s="4">
        <v>0</v>
      </c>
      <c r="S2523" s="8">
        <f t="shared" si="117"/>
        <v>7767.626666666667</v>
      </c>
      <c r="T2523" s="8">
        <f t="shared" si="118"/>
        <v>-7767.626666666667</v>
      </c>
      <c r="U2523" s="9">
        <f t="shared" si="119"/>
        <v>-1</v>
      </c>
    </row>
    <row r="2524" spans="1:22" outlineLevel="2">
      <c r="A2524" t="s">
        <v>618</v>
      </c>
      <c r="B2524" t="s">
        <v>619</v>
      </c>
      <c r="C2524" t="s">
        <v>600</v>
      </c>
      <c r="D2524" t="s">
        <v>601</v>
      </c>
      <c r="E2524" s="4">
        <v>-1758531.36</v>
      </c>
      <c r="F2524" s="4">
        <v>-1701589.9300000002</v>
      </c>
      <c r="G2524" s="4">
        <v>-1819406.3499999999</v>
      </c>
      <c r="H2524" s="4">
        <v>-1797914.78</v>
      </c>
      <c r="I2524" s="4">
        <v>-1606995.59</v>
      </c>
      <c r="J2524" s="4">
        <v>-1985261.14</v>
      </c>
      <c r="K2524" s="4">
        <v>-1617580.8800000001</v>
      </c>
      <c r="L2524" s="4">
        <v>-1682594.43</v>
      </c>
      <c r="M2524" s="4">
        <v>-1898158.11</v>
      </c>
      <c r="N2524" s="4">
        <v>-1710473.7</v>
      </c>
      <c r="O2524" s="4">
        <v>-1500839.58</v>
      </c>
      <c r="P2524" s="4">
        <v>-1962374.08</v>
      </c>
      <c r="Q2524" s="4">
        <v>-1727267.11</v>
      </c>
      <c r="S2524" s="8">
        <f t="shared" si="117"/>
        <v>-1746951.1683333332</v>
      </c>
      <c r="T2524" s="8">
        <f t="shared" si="118"/>
        <v>1746951.1683333332</v>
      </c>
      <c r="U2524" s="9">
        <f t="shared" si="119"/>
        <v>-1</v>
      </c>
    </row>
    <row r="2525" spans="1:22" outlineLevel="2">
      <c r="A2525" t="s">
        <v>618</v>
      </c>
      <c r="B2525" t="s">
        <v>619</v>
      </c>
      <c r="C2525" t="s">
        <v>190</v>
      </c>
      <c r="D2525" t="s">
        <v>191</v>
      </c>
      <c r="E2525" s="4">
        <v>0</v>
      </c>
      <c r="F2525" s="4">
        <v>0</v>
      </c>
      <c r="G2525" s="4">
        <v>0</v>
      </c>
      <c r="H2525" s="4">
        <v>0</v>
      </c>
      <c r="I2525" s="4">
        <v>0</v>
      </c>
      <c r="J2525" s="4">
        <v>0</v>
      </c>
      <c r="K2525" s="4">
        <v>0</v>
      </c>
      <c r="L2525" s="4">
        <v>-4717.13</v>
      </c>
      <c r="M2525" s="4">
        <v>0</v>
      </c>
      <c r="N2525" s="4">
        <v>0</v>
      </c>
      <c r="O2525" s="4">
        <v>0</v>
      </c>
      <c r="P2525" s="4">
        <v>0</v>
      </c>
      <c r="Q2525" s="4">
        <v>0</v>
      </c>
      <c r="S2525" s="8">
        <f t="shared" si="117"/>
        <v>-786.18833333333339</v>
      </c>
      <c r="T2525" s="8">
        <f t="shared" si="118"/>
        <v>786.18833333333339</v>
      </c>
      <c r="U2525" s="9">
        <f t="shared" si="119"/>
        <v>-1</v>
      </c>
    </row>
    <row r="2526" spans="1:22" outlineLevel="2">
      <c r="A2526" t="s">
        <v>618</v>
      </c>
      <c r="B2526" t="s">
        <v>619</v>
      </c>
      <c r="C2526" t="s">
        <v>602</v>
      </c>
      <c r="D2526" t="s">
        <v>603</v>
      </c>
      <c r="E2526" s="4">
        <v>0</v>
      </c>
      <c r="F2526" s="4">
        <v>0</v>
      </c>
      <c r="G2526" s="4">
        <v>-900.65</v>
      </c>
      <c r="H2526" s="4">
        <v>0</v>
      </c>
      <c r="I2526" s="4">
        <v>0</v>
      </c>
      <c r="J2526" s="4">
        <v>0</v>
      </c>
      <c r="K2526" s="4">
        <v>0</v>
      </c>
      <c r="L2526" s="4">
        <v>0</v>
      </c>
      <c r="M2526" s="4">
        <v>-1617.88</v>
      </c>
      <c r="N2526" s="4">
        <v>0</v>
      </c>
      <c r="O2526" s="4">
        <v>0</v>
      </c>
      <c r="P2526" s="4">
        <v>0</v>
      </c>
      <c r="Q2526" s="4">
        <v>0</v>
      </c>
      <c r="S2526" s="8">
        <f t="shared" si="117"/>
        <v>-269.6466666666667</v>
      </c>
      <c r="T2526" s="8">
        <f t="shared" si="118"/>
        <v>269.6466666666667</v>
      </c>
      <c r="U2526" s="9">
        <f t="shared" si="119"/>
        <v>-1</v>
      </c>
    </row>
    <row r="2527" spans="1:22" outlineLevel="1">
      <c r="A2527" s="1" t="s">
        <v>855</v>
      </c>
      <c r="E2527" s="4">
        <f>SUBTOTAL(9,E2458:E2526)</f>
        <v>-3517062.7199999997</v>
      </c>
      <c r="F2527" s="4">
        <f>SUBTOTAL(9,F2458:F2526)</f>
        <v>-3403179.8600000003</v>
      </c>
      <c r="G2527" s="4">
        <f>SUBTOTAL(9,G2458:G2526)</f>
        <v>-3638812.6999999997</v>
      </c>
      <c r="H2527" s="4">
        <f>SUBTOTAL(9,H2458:H2526)</f>
        <v>-3595829.5599999996</v>
      </c>
      <c r="I2527" s="4">
        <f>SUBTOTAL(9,I2458:I2526)</f>
        <v>-3213991.1799999997</v>
      </c>
      <c r="J2527" s="4">
        <f>SUBTOTAL(9,J2458:J2526)</f>
        <v>-3970522.2799999993</v>
      </c>
      <c r="K2527" s="4">
        <f>SUBTOTAL(9,K2458:K2526)</f>
        <v>-3235161.76</v>
      </c>
      <c r="L2527" s="4">
        <f>SUBTOTAL(9,L2458:L2526)</f>
        <v>-3365188.8600000003</v>
      </c>
      <c r="M2527" s="4">
        <f>SUBTOTAL(9,M2458:M2526)</f>
        <v>-3749710.46</v>
      </c>
      <c r="N2527" s="4">
        <f>SUBTOTAL(9,N2458:N2526)</f>
        <v>-3374341.6399999997</v>
      </c>
      <c r="O2527" s="4">
        <f>SUBTOTAL(9,O2458:O2526)</f>
        <v>-2882870.5500000007</v>
      </c>
      <c r="P2527" s="4">
        <f>SUBTOTAL(9,P2458:P2526)</f>
        <v>-3915735.6400000006</v>
      </c>
      <c r="Q2527" s="4">
        <f>SUBTOTAL(9,Q2458:Q2526)</f>
        <v>-3417059.9500000007</v>
      </c>
      <c r="R2527" s="4">
        <f>SUBTOTAL(9,R2458:R2526)</f>
        <v>30387.53000000001</v>
      </c>
      <c r="S2527" s="8">
        <f t="shared" si="117"/>
        <v>-3450817.85</v>
      </c>
      <c r="T2527" s="8">
        <f t="shared" si="118"/>
        <v>3481205.38</v>
      </c>
      <c r="U2527" s="9">
        <f t="shared" si="119"/>
        <v>-1.0088058922032062</v>
      </c>
    </row>
    <row r="2528" spans="1:22" outlineLevel="2">
      <c r="A2528" t="s">
        <v>620</v>
      </c>
      <c r="B2528" t="s">
        <v>621</v>
      </c>
      <c r="C2528" t="s">
        <v>101</v>
      </c>
      <c r="D2528" t="s">
        <v>102</v>
      </c>
      <c r="E2528" s="4">
        <v>0</v>
      </c>
      <c r="F2528" s="4">
        <v>0</v>
      </c>
      <c r="G2528" s="4">
        <v>0</v>
      </c>
      <c r="H2528" s="4">
        <v>0</v>
      </c>
      <c r="I2528" s="4">
        <v>0</v>
      </c>
      <c r="J2528" s="4">
        <v>0</v>
      </c>
      <c r="K2528" s="4">
        <v>0</v>
      </c>
      <c r="L2528" s="4">
        <v>0</v>
      </c>
      <c r="M2528" s="4">
        <v>0</v>
      </c>
      <c r="N2528" s="4">
        <v>0</v>
      </c>
      <c r="O2528" s="4">
        <v>0</v>
      </c>
      <c r="P2528" s="4">
        <v>777966.09999999986</v>
      </c>
      <c r="Q2528" s="4">
        <v>0</v>
      </c>
      <c r="S2528" s="8">
        <f t="shared" si="117"/>
        <v>129661.01666666665</v>
      </c>
      <c r="T2528" s="8">
        <f t="shared" si="118"/>
        <v>-129661.01666666665</v>
      </c>
      <c r="U2528" s="9">
        <f t="shared" si="119"/>
        <v>-1</v>
      </c>
    </row>
    <row r="2529" spans="1:22" outlineLevel="1">
      <c r="A2529" s="1" t="s">
        <v>856</v>
      </c>
      <c r="E2529" s="4">
        <f>SUBTOTAL(9,E2528:E2528)</f>
        <v>0</v>
      </c>
      <c r="F2529" s="4">
        <f>SUBTOTAL(9,F2528:F2528)</f>
        <v>0</v>
      </c>
      <c r="G2529" s="4">
        <f>SUBTOTAL(9,G2528:G2528)</f>
        <v>0</v>
      </c>
      <c r="H2529" s="4">
        <f>SUBTOTAL(9,H2528:H2528)</f>
        <v>0</v>
      </c>
      <c r="I2529" s="4">
        <f>SUBTOTAL(9,I2528:I2528)</f>
        <v>0</v>
      </c>
      <c r="J2529" s="4">
        <f>SUBTOTAL(9,J2528:J2528)</f>
        <v>0</v>
      </c>
      <c r="K2529" s="4">
        <f>SUBTOTAL(9,K2528:K2528)</f>
        <v>0</v>
      </c>
      <c r="L2529" s="4">
        <f>SUBTOTAL(9,L2528:L2528)</f>
        <v>0</v>
      </c>
      <c r="M2529" s="4">
        <f>SUBTOTAL(9,M2528:M2528)</f>
        <v>0</v>
      </c>
      <c r="N2529" s="4">
        <f>SUBTOTAL(9,N2528:N2528)</f>
        <v>0</v>
      </c>
      <c r="O2529" s="4">
        <f>SUBTOTAL(9,O2528:O2528)</f>
        <v>0</v>
      </c>
      <c r="P2529" s="4">
        <f>SUBTOTAL(9,P2528:P2528)</f>
        <v>777966.09999999986</v>
      </c>
      <c r="Q2529" s="4">
        <f>SUBTOTAL(9,Q2528:Q2528)</f>
        <v>0</v>
      </c>
      <c r="R2529" s="4">
        <f>SUBTOTAL(9,R2528:R2528)</f>
        <v>0</v>
      </c>
      <c r="S2529" s="8">
        <f t="shared" si="117"/>
        <v>129661.01666666665</v>
      </c>
      <c r="T2529" s="8">
        <f t="shared" si="118"/>
        <v>-129661.01666666665</v>
      </c>
      <c r="U2529" s="9">
        <f t="shared" si="119"/>
        <v>-1</v>
      </c>
    </row>
    <row r="2530" spans="1:22" outlineLevel="2">
      <c r="A2530" t="s">
        <v>622</v>
      </c>
      <c r="B2530" t="s">
        <v>623</v>
      </c>
      <c r="C2530" t="s">
        <v>101</v>
      </c>
      <c r="D2530" t="s">
        <v>102</v>
      </c>
      <c r="E2530" s="4">
        <v>0</v>
      </c>
      <c r="F2530" s="4">
        <v>0</v>
      </c>
      <c r="G2530" s="4">
        <v>0</v>
      </c>
      <c r="H2530" s="4">
        <v>0</v>
      </c>
      <c r="I2530" s="4">
        <v>0</v>
      </c>
      <c r="J2530" s="4">
        <v>0</v>
      </c>
      <c r="K2530" s="4">
        <v>0</v>
      </c>
      <c r="L2530" s="4">
        <v>-5.2386894822120667E-10</v>
      </c>
      <c r="M2530" s="4">
        <v>0</v>
      </c>
      <c r="N2530" s="4">
        <v>0</v>
      </c>
      <c r="O2530" s="4">
        <v>0</v>
      </c>
      <c r="P2530" s="4">
        <v>0</v>
      </c>
      <c r="Q2530" s="4">
        <v>0</v>
      </c>
      <c r="R2530" s="4">
        <v>0</v>
      </c>
      <c r="S2530" s="8">
        <f t="shared" si="117"/>
        <v>-8.7311491370201111E-11</v>
      </c>
      <c r="T2530" s="8">
        <f t="shared" si="118"/>
        <v>8.7311491370201111E-11</v>
      </c>
      <c r="U2530" s="9">
        <f t="shared" si="119"/>
        <v>-1</v>
      </c>
    </row>
    <row r="2531" spans="1:22" outlineLevel="2">
      <c r="A2531" t="s">
        <v>622</v>
      </c>
      <c r="B2531" t="s">
        <v>623</v>
      </c>
      <c r="C2531" t="s">
        <v>111</v>
      </c>
      <c r="D2531" t="s">
        <v>112</v>
      </c>
      <c r="E2531" s="4">
        <v>-208962.46</v>
      </c>
      <c r="F2531" s="4">
        <v>0</v>
      </c>
      <c r="G2531" s="4">
        <v>0</v>
      </c>
      <c r="H2531" s="4">
        <v>0</v>
      </c>
      <c r="I2531" s="4">
        <v>0</v>
      </c>
      <c r="J2531" s="4">
        <v>0</v>
      </c>
      <c r="K2531" s="4">
        <v>0</v>
      </c>
      <c r="L2531" s="4">
        <v>0</v>
      </c>
      <c r="M2531" s="4">
        <v>0</v>
      </c>
      <c r="N2531" s="4">
        <v>0</v>
      </c>
      <c r="O2531" s="4">
        <v>0</v>
      </c>
      <c r="P2531" s="4">
        <v>0</v>
      </c>
      <c r="Q2531" s="4">
        <v>0</v>
      </c>
      <c r="R2531" s="4">
        <v>0</v>
      </c>
      <c r="S2531" s="8">
        <f t="shared" si="117"/>
        <v>0</v>
      </c>
      <c r="T2531" s="8">
        <f t="shared" si="118"/>
        <v>0</v>
      </c>
      <c r="U2531" s="9" t="e">
        <f t="shared" si="119"/>
        <v>#DIV/0!</v>
      </c>
    </row>
    <row r="2532" spans="1:22" outlineLevel="1">
      <c r="A2532" s="1" t="s">
        <v>857</v>
      </c>
      <c r="E2532" s="4">
        <f>SUBTOTAL(9,E2530:E2531)</f>
        <v>-208962.46</v>
      </c>
      <c r="F2532" s="4">
        <f>SUBTOTAL(9,F2530:F2531)</f>
        <v>0</v>
      </c>
      <c r="G2532" s="4">
        <f>SUBTOTAL(9,G2530:G2531)</f>
        <v>0</v>
      </c>
      <c r="H2532" s="4">
        <f>SUBTOTAL(9,H2530:H2531)</f>
        <v>0</v>
      </c>
      <c r="I2532" s="4">
        <f>SUBTOTAL(9,I2530:I2531)</f>
        <v>0</v>
      </c>
      <c r="J2532" s="4">
        <f>SUBTOTAL(9,J2530:J2531)</f>
        <v>0</v>
      </c>
      <c r="K2532" s="4">
        <f>SUBTOTAL(9,K2530:K2531)</f>
        <v>0</v>
      </c>
      <c r="L2532" s="4">
        <f>SUBTOTAL(9,L2530:L2531)</f>
        <v>-5.2386894822120667E-10</v>
      </c>
      <c r="M2532" s="4">
        <f>SUBTOTAL(9,M2530:M2531)</f>
        <v>0</v>
      </c>
      <c r="N2532" s="4">
        <f>SUBTOTAL(9,N2530:N2531)</f>
        <v>0</v>
      </c>
      <c r="O2532" s="4">
        <f>SUBTOTAL(9,O2530:O2531)</f>
        <v>0</v>
      </c>
      <c r="P2532" s="4">
        <f>SUBTOTAL(9,P2530:P2531)</f>
        <v>0</v>
      </c>
      <c r="Q2532" s="4">
        <f>SUBTOTAL(9,Q2530:Q2531)</f>
        <v>0</v>
      </c>
      <c r="R2532" s="4">
        <f>SUBTOTAL(9,R2530:R2531)</f>
        <v>0</v>
      </c>
      <c r="S2532" s="8">
        <f t="shared" si="117"/>
        <v>-8.7311491370201111E-11</v>
      </c>
      <c r="T2532" s="8">
        <f t="shared" si="118"/>
        <v>8.7311491370201111E-11</v>
      </c>
      <c r="U2532" s="9">
        <f t="shared" si="119"/>
        <v>-1</v>
      </c>
    </row>
    <row r="2533" spans="1:22" outlineLevel="2">
      <c r="A2533" t="s">
        <v>624</v>
      </c>
      <c r="B2533" t="s">
        <v>625</v>
      </c>
      <c r="C2533" t="s">
        <v>21</v>
      </c>
      <c r="D2533" t="s">
        <v>22</v>
      </c>
      <c r="E2533" s="4">
        <v>414.38</v>
      </c>
      <c r="F2533" s="4">
        <v>944.54000000000008</v>
      </c>
      <c r="G2533" s="4">
        <v>1168.1500000000001</v>
      </c>
      <c r="H2533" s="4">
        <v>0</v>
      </c>
      <c r="I2533" s="4">
        <v>4722.2800000000007</v>
      </c>
      <c r="J2533" s="4">
        <v>157.71</v>
      </c>
      <c r="K2533" s="4">
        <v>960</v>
      </c>
      <c r="L2533" s="4">
        <v>0</v>
      </c>
      <c r="M2533" s="4">
        <v>0</v>
      </c>
      <c r="N2533" s="4">
        <v>2261.14</v>
      </c>
      <c r="O2533" s="4">
        <v>1402.19</v>
      </c>
      <c r="P2533" s="4">
        <v>0</v>
      </c>
      <c r="Q2533" s="4">
        <v>12967.25</v>
      </c>
      <c r="R2533" s="4">
        <v>384.12</v>
      </c>
      <c r="S2533" s="8">
        <f t="shared" si="117"/>
        <v>2771.7633333333338</v>
      </c>
      <c r="T2533" s="8">
        <f t="shared" si="118"/>
        <v>-2387.6433333333339</v>
      </c>
      <c r="U2533" s="9">
        <f t="shared" si="119"/>
        <v>-0.86141673952441833</v>
      </c>
    </row>
    <row r="2534" spans="1:22" outlineLevel="2">
      <c r="A2534" t="s">
        <v>624</v>
      </c>
      <c r="B2534" t="s">
        <v>625</v>
      </c>
      <c r="C2534" t="s">
        <v>23</v>
      </c>
      <c r="D2534" t="s">
        <v>24</v>
      </c>
      <c r="E2534" s="4">
        <v>1949.6000000000004</v>
      </c>
      <c r="F2534" s="4">
        <v>2078.7800000000002</v>
      </c>
      <c r="G2534" s="4">
        <v>2464.5699999999997</v>
      </c>
      <c r="H2534" s="4">
        <v>0</v>
      </c>
      <c r="I2534" s="4">
        <v>3060.2599999999998</v>
      </c>
      <c r="J2534" s="4">
        <v>0</v>
      </c>
      <c r="K2534" s="4">
        <v>0</v>
      </c>
      <c r="L2534" s="4">
        <v>0</v>
      </c>
      <c r="M2534" s="4">
        <v>462.44</v>
      </c>
      <c r="N2534" s="4">
        <v>115.92000000000002</v>
      </c>
      <c r="O2534" s="4">
        <v>0</v>
      </c>
      <c r="P2534" s="4">
        <v>0</v>
      </c>
      <c r="Q2534" s="4">
        <v>0</v>
      </c>
      <c r="S2534" s="8">
        <f t="shared" si="117"/>
        <v>96.393333333333331</v>
      </c>
      <c r="T2534" s="8">
        <f t="shared" si="118"/>
        <v>-96.393333333333331</v>
      </c>
      <c r="U2534" s="9">
        <f t="shared" si="119"/>
        <v>-1</v>
      </c>
    </row>
    <row r="2535" spans="1:22" outlineLevel="2">
      <c r="A2535" t="s">
        <v>624</v>
      </c>
      <c r="B2535" t="s">
        <v>625</v>
      </c>
      <c r="C2535" t="s">
        <v>25</v>
      </c>
      <c r="D2535" t="s">
        <v>26</v>
      </c>
      <c r="E2535" s="4">
        <v>0</v>
      </c>
      <c r="F2535" s="4">
        <v>0</v>
      </c>
      <c r="G2535" s="4">
        <v>0</v>
      </c>
      <c r="H2535" s="4">
        <v>0</v>
      </c>
      <c r="I2535" s="4">
        <v>0</v>
      </c>
      <c r="J2535" s="4">
        <v>0</v>
      </c>
      <c r="K2535" s="4">
        <v>0</v>
      </c>
      <c r="L2535" s="4">
        <v>0</v>
      </c>
      <c r="M2535" s="4">
        <v>0</v>
      </c>
      <c r="N2535" s="4">
        <v>0</v>
      </c>
      <c r="O2535" s="4">
        <v>0</v>
      </c>
      <c r="P2535" s="4">
        <v>0</v>
      </c>
      <c r="Q2535" s="4">
        <v>0</v>
      </c>
      <c r="R2535" s="4">
        <v>2098.2200000000003</v>
      </c>
      <c r="S2535" s="8">
        <f t="shared" si="117"/>
        <v>0</v>
      </c>
      <c r="T2535" s="8">
        <f t="shared" si="118"/>
        <v>2098.2200000000003</v>
      </c>
      <c r="U2535" s="9" t="e">
        <f t="shared" si="119"/>
        <v>#DIV/0!</v>
      </c>
      <c r="V2535" t="s">
        <v>895</v>
      </c>
    </row>
    <row r="2536" spans="1:22" outlineLevel="2">
      <c r="A2536" t="s">
        <v>624</v>
      </c>
      <c r="B2536" t="s">
        <v>625</v>
      </c>
      <c r="C2536" t="s">
        <v>47</v>
      </c>
      <c r="D2536" t="s">
        <v>48</v>
      </c>
      <c r="E2536" s="4">
        <v>14120.59</v>
      </c>
      <c r="F2536" s="4">
        <v>14120.59</v>
      </c>
      <c r="G2536" s="4">
        <v>14120.6</v>
      </c>
      <c r="H2536" s="4">
        <v>14120.59</v>
      </c>
      <c r="I2536" s="4">
        <v>14120.6</v>
      </c>
      <c r="J2536" s="4">
        <v>14120.59</v>
      </c>
      <c r="K2536" s="4">
        <v>14120.59</v>
      </c>
      <c r="L2536" s="4">
        <v>14120.59</v>
      </c>
      <c r="M2536" s="4">
        <v>14120.59</v>
      </c>
      <c r="N2536" s="4">
        <v>14120.59</v>
      </c>
      <c r="O2536" s="4">
        <v>14120.59</v>
      </c>
      <c r="P2536" s="4">
        <v>14120.59</v>
      </c>
      <c r="Q2536" s="4">
        <v>14120.6</v>
      </c>
      <c r="R2536" s="4">
        <v>14120.59</v>
      </c>
      <c r="S2536" s="8">
        <f t="shared" si="117"/>
        <v>14120.591666666667</v>
      </c>
      <c r="T2536" s="8">
        <f t="shared" si="118"/>
        <v>-1.6666666670062114E-3</v>
      </c>
      <c r="U2536" s="9">
        <f t="shared" si="119"/>
        <v>-1.1803093711296644E-7</v>
      </c>
    </row>
    <row r="2537" spans="1:22" outlineLevel="2">
      <c r="A2537" t="s">
        <v>624</v>
      </c>
      <c r="B2537" t="s">
        <v>625</v>
      </c>
      <c r="C2537" t="s">
        <v>49</v>
      </c>
      <c r="D2537" t="s">
        <v>50</v>
      </c>
      <c r="E2537" s="4">
        <v>0</v>
      </c>
      <c r="F2537" s="4">
        <v>0</v>
      </c>
      <c r="G2537" s="4">
        <v>0</v>
      </c>
      <c r="H2537" s="4">
        <v>145.02000000000001</v>
      </c>
      <c r="I2537" s="4">
        <v>152.63</v>
      </c>
      <c r="J2537" s="4">
        <v>0</v>
      </c>
      <c r="K2537" s="4">
        <v>305.26</v>
      </c>
      <c r="L2537" s="4">
        <v>305.26</v>
      </c>
      <c r="M2537" s="4">
        <v>618.96</v>
      </c>
      <c r="N2537" s="4">
        <v>0</v>
      </c>
      <c r="O2537" s="4">
        <v>152.63</v>
      </c>
      <c r="P2537" s="4">
        <v>152.63</v>
      </c>
      <c r="Q2537" s="4">
        <v>152.63</v>
      </c>
      <c r="R2537" s="4">
        <v>846.41</v>
      </c>
      <c r="S2537" s="8">
        <f t="shared" si="117"/>
        <v>230.35166666666669</v>
      </c>
      <c r="T2537" s="8">
        <f t="shared" si="118"/>
        <v>616.05833333333328</v>
      </c>
      <c r="U2537" s="9">
        <f t="shared" si="119"/>
        <v>2.6744253351759264</v>
      </c>
    </row>
    <row r="2538" spans="1:22" outlineLevel="2">
      <c r="A2538" t="s">
        <v>624</v>
      </c>
      <c r="B2538" t="s">
        <v>625</v>
      </c>
      <c r="C2538" t="s">
        <v>344</v>
      </c>
      <c r="D2538" t="s">
        <v>345</v>
      </c>
      <c r="E2538" s="4">
        <v>10315.74</v>
      </c>
      <c r="F2538" s="4">
        <v>10315.74</v>
      </c>
      <c r="G2538" s="4">
        <v>10315.74</v>
      </c>
      <c r="H2538" s="4">
        <v>10315.74</v>
      </c>
      <c r="I2538" s="4">
        <v>10315.74</v>
      </c>
      <c r="J2538" s="4">
        <v>10315.74</v>
      </c>
      <c r="K2538" s="4">
        <v>10315.74</v>
      </c>
      <c r="L2538" s="4">
        <v>10315.74</v>
      </c>
      <c r="M2538" s="4">
        <v>10315.74</v>
      </c>
      <c r="N2538" s="4">
        <v>10705.63</v>
      </c>
      <c r="O2538" s="4">
        <v>10315.74</v>
      </c>
      <c r="P2538" s="4">
        <v>10315.74</v>
      </c>
      <c r="Q2538" s="4">
        <v>10315.74</v>
      </c>
      <c r="R2538" s="4">
        <v>10315.74</v>
      </c>
      <c r="S2538" s="8">
        <f t="shared" si="117"/>
        <v>10380.721666666666</v>
      </c>
      <c r="T2538" s="8">
        <f t="shared" si="118"/>
        <v>-64.98166666666657</v>
      </c>
      <c r="U2538" s="9">
        <f t="shared" si="119"/>
        <v>-6.2598409583919327E-3</v>
      </c>
    </row>
    <row r="2539" spans="1:22" outlineLevel="2">
      <c r="A2539" t="s">
        <v>624</v>
      </c>
      <c r="B2539" t="s">
        <v>625</v>
      </c>
      <c r="C2539" t="s">
        <v>55</v>
      </c>
      <c r="D2539" t="s">
        <v>56</v>
      </c>
      <c r="E2539" s="4">
        <v>0</v>
      </c>
      <c r="F2539" s="4">
        <v>10.1</v>
      </c>
      <c r="G2539" s="4">
        <v>30.1</v>
      </c>
      <c r="H2539" s="4">
        <v>113.29</v>
      </c>
      <c r="I2539" s="4">
        <v>54.46</v>
      </c>
      <c r="J2539" s="4">
        <v>196.98</v>
      </c>
      <c r="K2539" s="4">
        <v>10.1</v>
      </c>
      <c r="L2539" s="4">
        <v>11</v>
      </c>
      <c r="M2539" s="4">
        <v>0</v>
      </c>
      <c r="N2539" s="4">
        <v>11</v>
      </c>
      <c r="O2539" s="4">
        <v>23.8</v>
      </c>
      <c r="P2539" s="4">
        <v>432.42</v>
      </c>
      <c r="Q2539" s="4">
        <v>0</v>
      </c>
      <c r="S2539" s="8">
        <f t="shared" si="117"/>
        <v>79.703333333333333</v>
      </c>
      <c r="T2539" s="8">
        <f t="shared" si="118"/>
        <v>-79.703333333333333</v>
      </c>
      <c r="U2539" s="9">
        <f t="shared" si="119"/>
        <v>-1</v>
      </c>
    </row>
    <row r="2540" spans="1:22" outlineLevel="2">
      <c r="A2540" t="s">
        <v>624</v>
      </c>
      <c r="B2540" t="s">
        <v>625</v>
      </c>
      <c r="C2540" t="s">
        <v>63</v>
      </c>
      <c r="D2540" t="s">
        <v>64</v>
      </c>
      <c r="E2540" s="4">
        <v>0</v>
      </c>
      <c r="F2540" s="4">
        <v>0</v>
      </c>
      <c r="G2540" s="4">
        <v>0</v>
      </c>
      <c r="H2540" s="4">
        <v>0</v>
      </c>
      <c r="I2540" s="4">
        <v>0</v>
      </c>
      <c r="J2540" s="4">
        <v>0</v>
      </c>
      <c r="K2540" s="4">
        <v>0</v>
      </c>
      <c r="L2540" s="4">
        <v>0</v>
      </c>
      <c r="M2540" s="4">
        <v>0</v>
      </c>
      <c r="N2540" s="4">
        <v>0</v>
      </c>
      <c r="O2540" s="4">
        <v>12</v>
      </c>
      <c r="P2540" s="4">
        <v>0</v>
      </c>
      <c r="Q2540" s="4">
        <v>135.5</v>
      </c>
      <c r="S2540" s="8">
        <f t="shared" si="117"/>
        <v>24.583333333333332</v>
      </c>
      <c r="T2540" s="8">
        <f t="shared" si="118"/>
        <v>-24.583333333333332</v>
      </c>
      <c r="U2540" s="9">
        <f t="shared" si="119"/>
        <v>-1</v>
      </c>
    </row>
    <row r="2541" spans="1:22" outlineLevel="2">
      <c r="A2541" t="s">
        <v>624</v>
      </c>
      <c r="B2541" t="s">
        <v>625</v>
      </c>
      <c r="C2541" t="s">
        <v>65</v>
      </c>
      <c r="D2541" t="s">
        <v>66</v>
      </c>
      <c r="E2541" s="4">
        <v>0</v>
      </c>
      <c r="F2541" s="4">
        <v>0</v>
      </c>
      <c r="G2541" s="4">
        <v>367.24</v>
      </c>
      <c r="H2541" s="4">
        <v>0</v>
      </c>
      <c r="I2541" s="4">
        <v>0</v>
      </c>
      <c r="J2541" s="4">
        <v>0</v>
      </c>
      <c r="K2541" s="4">
        <v>0</v>
      </c>
      <c r="L2541" s="4">
        <v>0</v>
      </c>
      <c r="M2541" s="4">
        <v>0</v>
      </c>
      <c r="N2541" s="4">
        <v>0</v>
      </c>
      <c r="O2541" s="4">
        <v>0</v>
      </c>
      <c r="P2541" s="4">
        <v>0</v>
      </c>
      <c r="Q2541" s="4">
        <v>0</v>
      </c>
      <c r="S2541" s="8">
        <f t="shared" si="117"/>
        <v>0</v>
      </c>
      <c r="T2541" s="8">
        <f t="shared" si="118"/>
        <v>0</v>
      </c>
      <c r="U2541" s="9" t="e">
        <f t="shared" si="119"/>
        <v>#DIV/0!</v>
      </c>
    </row>
    <row r="2542" spans="1:22" outlineLevel="2">
      <c r="A2542" t="s">
        <v>624</v>
      </c>
      <c r="B2542" t="s">
        <v>625</v>
      </c>
      <c r="C2542" t="s">
        <v>83</v>
      </c>
      <c r="D2542" t="s">
        <v>84</v>
      </c>
      <c r="E2542" s="4">
        <v>0</v>
      </c>
      <c r="F2542" s="4">
        <v>51.73</v>
      </c>
      <c r="G2542" s="4">
        <v>303.16000000000003</v>
      </c>
      <c r="H2542" s="4">
        <v>0</v>
      </c>
      <c r="I2542" s="4">
        <v>212.57999999999998</v>
      </c>
      <c r="J2542" s="4">
        <v>265.5</v>
      </c>
      <c r="K2542" s="4">
        <v>155.46</v>
      </c>
      <c r="L2542" s="4">
        <v>368.77</v>
      </c>
      <c r="M2542" s="4">
        <v>335</v>
      </c>
      <c r="N2542" s="4">
        <v>291.73</v>
      </c>
      <c r="O2542" s="4">
        <v>399.47</v>
      </c>
      <c r="P2542" s="4">
        <v>0</v>
      </c>
      <c r="Q2542" s="4">
        <v>304.57</v>
      </c>
      <c r="R2542" s="4">
        <v>339.76</v>
      </c>
      <c r="S2542" s="8">
        <f t="shared" si="117"/>
        <v>283.25666666666666</v>
      </c>
      <c r="T2542" s="8">
        <f t="shared" si="118"/>
        <v>56.50333333333333</v>
      </c>
      <c r="U2542" s="9">
        <f t="shared" si="119"/>
        <v>0.19947750567800698</v>
      </c>
    </row>
    <row r="2543" spans="1:22" outlineLevel="2">
      <c r="A2543" t="s">
        <v>624</v>
      </c>
      <c r="B2543" t="s">
        <v>625</v>
      </c>
      <c r="C2543" t="s">
        <v>87</v>
      </c>
      <c r="D2543" t="s">
        <v>88</v>
      </c>
      <c r="E2543" s="4">
        <v>12150</v>
      </c>
      <c r="F2543" s="4">
        <v>7299.84</v>
      </c>
      <c r="G2543" s="4">
        <v>7299.83</v>
      </c>
      <c r="H2543" s="4">
        <v>3849.3</v>
      </c>
      <c r="I2543" s="4">
        <v>5621.19</v>
      </c>
      <c r="J2543" s="4">
        <v>74.62</v>
      </c>
      <c r="K2543" s="4">
        <v>0</v>
      </c>
      <c r="L2543" s="4">
        <v>132.69999999999999</v>
      </c>
      <c r="M2543" s="4">
        <v>67.87</v>
      </c>
      <c r="N2543" s="4">
        <v>0</v>
      </c>
      <c r="O2543" s="4">
        <v>0</v>
      </c>
      <c r="P2543" s="4">
        <v>0</v>
      </c>
      <c r="Q2543" s="4">
        <v>0</v>
      </c>
      <c r="S2543" s="8">
        <f t="shared" si="117"/>
        <v>33.428333333333335</v>
      </c>
      <c r="T2543" s="8">
        <f t="shared" si="118"/>
        <v>-33.428333333333335</v>
      </c>
      <c r="U2543" s="9">
        <f t="shared" si="119"/>
        <v>-1</v>
      </c>
    </row>
    <row r="2544" spans="1:22" outlineLevel="2">
      <c r="A2544" t="s">
        <v>624</v>
      </c>
      <c r="B2544" t="s">
        <v>625</v>
      </c>
      <c r="C2544" t="s">
        <v>93</v>
      </c>
      <c r="D2544" t="s">
        <v>94</v>
      </c>
      <c r="E2544" s="4">
        <v>0</v>
      </c>
      <c r="F2544" s="4">
        <v>0</v>
      </c>
      <c r="G2544" s="4">
        <v>64.95</v>
      </c>
      <c r="H2544" s="4">
        <v>0</v>
      </c>
      <c r="I2544" s="4">
        <v>0</v>
      </c>
      <c r="J2544" s="4">
        <v>22.28</v>
      </c>
      <c r="K2544" s="4">
        <v>0</v>
      </c>
      <c r="L2544" s="4">
        <v>0</v>
      </c>
      <c r="M2544" s="4">
        <v>0</v>
      </c>
      <c r="N2544" s="4">
        <v>41.11</v>
      </c>
      <c r="O2544" s="4">
        <v>0</v>
      </c>
      <c r="P2544" s="4">
        <v>0</v>
      </c>
      <c r="Q2544" s="4">
        <v>0</v>
      </c>
      <c r="S2544" s="8">
        <f t="shared" si="117"/>
        <v>6.8516666666666666</v>
      </c>
      <c r="T2544" s="8">
        <f t="shared" si="118"/>
        <v>-6.8516666666666666</v>
      </c>
      <c r="U2544" s="9">
        <f t="shared" si="119"/>
        <v>-1</v>
      </c>
    </row>
    <row r="2545" spans="1:22" outlineLevel="2">
      <c r="A2545" t="s">
        <v>624</v>
      </c>
      <c r="B2545" t="s">
        <v>625</v>
      </c>
      <c r="C2545" t="s">
        <v>168</v>
      </c>
      <c r="D2545" t="s">
        <v>169</v>
      </c>
      <c r="E2545" s="4">
        <v>0</v>
      </c>
      <c r="F2545" s="4">
        <v>0</v>
      </c>
      <c r="G2545" s="4">
        <v>0</v>
      </c>
      <c r="H2545" s="4">
        <v>0</v>
      </c>
      <c r="I2545" s="4">
        <v>0</v>
      </c>
      <c r="J2545" s="4">
        <v>0</v>
      </c>
      <c r="K2545" s="4">
        <v>0</v>
      </c>
      <c r="L2545" s="4">
        <v>8982.5</v>
      </c>
      <c r="M2545" s="4">
        <v>0</v>
      </c>
      <c r="N2545" s="4">
        <v>0</v>
      </c>
      <c r="O2545" s="4">
        <v>0</v>
      </c>
      <c r="P2545" s="4">
        <v>0</v>
      </c>
      <c r="Q2545" s="4">
        <v>0</v>
      </c>
      <c r="S2545" s="8">
        <f t="shared" si="117"/>
        <v>1497.0833333333333</v>
      </c>
      <c r="T2545" s="8">
        <f t="shared" si="118"/>
        <v>-1497.0833333333333</v>
      </c>
      <c r="U2545" s="9">
        <f t="shared" si="119"/>
        <v>-1</v>
      </c>
    </row>
    <row r="2546" spans="1:22" outlineLevel="2">
      <c r="A2546" t="s">
        <v>624</v>
      </c>
      <c r="B2546" t="s">
        <v>625</v>
      </c>
      <c r="C2546" t="s">
        <v>101</v>
      </c>
      <c r="D2546" t="s">
        <v>102</v>
      </c>
      <c r="E2546" s="4">
        <v>439.65</v>
      </c>
      <c r="F2546" s="4">
        <v>352.88</v>
      </c>
      <c r="G2546" s="4">
        <v>352.88</v>
      </c>
      <c r="H2546" s="4">
        <v>352.83</v>
      </c>
      <c r="I2546" s="4">
        <v>175.82</v>
      </c>
      <c r="J2546" s="4">
        <v>0</v>
      </c>
      <c r="K2546" s="4">
        <v>0</v>
      </c>
      <c r="L2546" s="4">
        <v>0</v>
      </c>
      <c r="M2546" s="4">
        <v>0</v>
      </c>
      <c r="N2546" s="4">
        <v>0</v>
      </c>
      <c r="O2546" s="4">
        <v>0</v>
      </c>
      <c r="P2546" s="4">
        <v>0</v>
      </c>
      <c r="Q2546" s="4">
        <v>0</v>
      </c>
      <c r="S2546" s="8">
        <f t="shared" si="117"/>
        <v>0</v>
      </c>
      <c r="T2546" s="8">
        <f t="shared" si="118"/>
        <v>0</v>
      </c>
      <c r="U2546" s="9" t="e">
        <f t="shared" si="119"/>
        <v>#DIV/0!</v>
      </c>
    </row>
    <row r="2547" spans="1:22" outlineLevel="2">
      <c r="A2547" t="s">
        <v>624</v>
      </c>
      <c r="B2547" t="s">
        <v>625</v>
      </c>
      <c r="C2547" t="s">
        <v>103</v>
      </c>
      <c r="D2547" t="s">
        <v>104</v>
      </c>
      <c r="E2547" s="4">
        <v>0</v>
      </c>
      <c r="F2547" s="4">
        <v>0</v>
      </c>
      <c r="G2547" s="4">
        <v>0</v>
      </c>
      <c r="H2547" s="4">
        <v>0</v>
      </c>
      <c r="I2547" s="4">
        <v>0</v>
      </c>
      <c r="J2547" s="4">
        <v>0</v>
      </c>
      <c r="K2547" s="4">
        <v>0</v>
      </c>
      <c r="L2547" s="4">
        <v>0</v>
      </c>
      <c r="M2547" s="4">
        <v>0</v>
      </c>
      <c r="N2547" s="4">
        <v>0</v>
      </c>
      <c r="O2547" s="4">
        <v>0</v>
      </c>
      <c r="P2547" s="4">
        <v>0</v>
      </c>
      <c r="Q2547" s="4">
        <v>0</v>
      </c>
      <c r="R2547" s="4">
        <v>1271.94</v>
      </c>
      <c r="S2547" s="8">
        <f t="shared" si="117"/>
        <v>0</v>
      </c>
      <c r="T2547" s="8">
        <f t="shared" si="118"/>
        <v>1271.94</v>
      </c>
      <c r="U2547" s="9" t="e">
        <f t="shared" si="119"/>
        <v>#DIV/0!</v>
      </c>
      <c r="V2547" t="s">
        <v>895</v>
      </c>
    </row>
    <row r="2548" spans="1:22" outlineLevel="2">
      <c r="A2548" t="s">
        <v>624</v>
      </c>
      <c r="B2548" t="s">
        <v>625</v>
      </c>
      <c r="C2548" t="s">
        <v>111</v>
      </c>
      <c r="D2548" t="s">
        <v>112</v>
      </c>
      <c r="E2548" s="4">
        <v>0</v>
      </c>
      <c r="F2548" s="4">
        <v>145.02000000000001</v>
      </c>
      <c r="G2548" s="4">
        <v>0</v>
      </c>
      <c r="H2548" s="4">
        <v>0</v>
      </c>
      <c r="I2548" s="4">
        <v>0</v>
      </c>
      <c r="J2548" s="4">
        <v>0</v>
      </c>
      <c r="K2548" s="4">
        <v>0</v>
      </c>
      <c r="L2548" s="4">
        <v>0</v>
      </c>
      <c r="M2548" s="4">
        <v>0</v>
      </c>
      <c r="N2548" s="4">
        <v>0</v>
      </c>
      <c r="O2548" s="4">
        <v>0</v>
      </c>
      <c r="P2548" s="4">
        <v>1373.1599999999999</v>
      </c>
      <c r="Q2548" s="4">
        <v>1664.1499999999999</v>
      </c>
      <c r="S2548" s="8">
        <f t="shared" si="117"/>
        <v>506.21833333333325</v>
      </c>
      <c r="T2548" s="8">
        <f t="shared" si="118"/>
        <v>-506.21833333333325</v>
      </c>
      <c r="U2548" s="9">
        <f t="shared" si="119"/>
        <v>-1</v>
      </c>
    </row>
    <row r="2549" spans="1:22" outlineLevel="2">
      <c r="A2549" t="s">
        <v>624</v>
      </c>
      <c r="B2549" t="s">
        <v>625</v>
      </c>
      <c r="C2549" t="s">
        <v>127</v>
      </c>
      <c r="D2549" t="s">
        <v>120</v>
      </c>
      <c r="E2549" s="4">
        <v>0</v>
      </c>
      <c r="F2549" s="4">
        <v>839.51</v>
      </c>
      <c r="G2549" s="4">
        <v>7631.77</v>
      </c>
      <c r="H2549" s="4">
        <v>1419.7600000000002</v>
      </c>
      <c r="I2549" s="4">
        <v>3116.8</v>
      </c>
      <c r="J2549" s="4">
        <v>1004.47</v>
      </c>
      <c r="K2549" s="4">
        <v>682.69</v>
      </c>
      <c r="L2549" s="4">
        <v>759.18999999999994</v>
      </c>
      <c r="M2549" s="4">
        <v>0</v>
      </c>
      <c r="N2549" s="4">
        <v>2492.6999999999998</v>
      </c>
      <c r="O2549" s="4">
        <v>1776.14</v>
      </c>
      <c r="P2549" s="4">
        <v>5702.73</v>
      </c>
      <c r="Q2549" s="4">
        <v>1093.43</v>
      </c>
      <c r="R2549" s="4">
        <v>4564.37</v>
      </c>
      <c r="S2549" s="8">
        <f t="shared" si="117"/>
        <v>1970.698333333333</v>
      </c>
      <c r="T2549" s="8">
        <f t="shared" si="118"/>
        <v>2593.6716666666671</v>
      </c>
      <c r="U2549" s="9">
        <f t="shared" si="119"/>
        <v>1.3161180596725868</v>
      </c>
    </row>
    <row r="2550" spans="1:22" outlineLevel="2">
      <c r="A2550" t="s">
        <v>624</v>
      </c>
      <c r="B2550" t="s">
        <v>625</v>
      </c>
      <c r="C2550" t="s">
        <v>238</v>
      </c>
      <c r="D2550" t="s">
        <v>239</v>
      </c>
      <c r="E2550" s="4">
        <v>0</v>
      </c>
      <c r="F2550" s="4">
        <v>4487.33</v>
      </c>
      <c r="G2550" s="4">
        <v>16262.530000000002</v>
      </c>
      <c r="H2550" s="4">
        <v>0</v>
      </c>
      <c r="I2550" s="4">
        <v>0</v>
      </c>
      <c r="J2550" s="4">
        <v>657.69</v>
      </c>
      <c r="K2550" s="4">
        <v>0</v>
      </c>
      <c r="L2550" s="4">
        <v>0</v>
      </c>
      <c r="M2550" s="4">
        <v>0</v>
      </c>
      <c r="N2550" s="4">
        <v>132</v>
      </c>
      <c r="O2550" s="4">
        <v>0</v>
      </c>
      <c r="P2550" s="4">
        <v>14.75</v>
      </c>
      <c r="Q2550" s="4">
        <v>473.66</v>
      </c>
      <c r="R2550" s="4">
        <v>3</v>
      </c>
      <c r="S2550" s="8">
        <f t="shared" si="117"/>
        <v>103.40166666666669</v>
      </c>
      <c r="T2550" s="8">
        <f t="shared" si="118"/>
        <v>-100.40166666666669</v>
      </c>
      <c r="U2550" s="9">
        <f t="shared" si="119"/>
        <v>-0.97098692799922637</v>
      </c>
    </row>
    <row r="2551" spans="1:22" outlineLevel="2">
      <c r="A2551" t="s">
        <v>624</v>
      </c>
      <c r="B2551" t="s">
        <v>625</v>
      </c>
      <c r="C2551" t="s">
        <v>240</v>
      </c>
      <c r="D2551" t="s">
        <v>241</v>
      </c>
      <c r="E2551" s="4">
        <v>0</v>
      </c>
      <c r="F2551" s="4">
        <v>0</v>
      </c>
      <c r="G2551" s="4">
        <v>0</v>
      </c>
      <c r="H2551" s="4">
        <v>0</v>
      </c>
      <c r="I2551" s="4">
        <v>0</v>
      </c>
      <c r="J2551" s="4">
        <v>0</v>
      </c>
      <c r="K2551" s="4">
        <v>0</v>
      </c>
      <c r="L2551" s="4">
        <v>0</v>
      </c>
      <c r="M2551" s="4">
        <v>0</v>
      </c>
      <c r="N2551" s="4">
        <v>0</v>
      </c>
      <c r="O2551" s="4">
        <v>0</v>
      </c>
      <c r="P2551" s="4">
        <v>0</v>
      </c>
      <c r="Q2551" s="4">
        <v>81.94</v>
      </c>
      <c r="R2551" s="4">
        <v>81.94</v>
      </c>
      <c r="S2551" s="8">
        <f t="shared" si="117"/>
        <v>13.656666666666666</v>
      </c>
      <c r="T2551" s="8">
        <f t="shared" si="118"/>
        <v>68.283333333333331</v>
      </c>
      <c r="U2551" s="9">
        <f t="shared" si="119"/>
        <v>5</v>
      </c>
    </row>
    <row r="2552" spans="1:22" outlineLevel="1">
      <c r="A2552" s="1" t="s">
        <v>858</v>
      </c>
      <c r="E2552" s="4">
        <f>SUBTOTAL(9,E2533:E2551)</f>
        <v>39389.96</v>
      </c>
      <c r="F2552" s="4">
        <f>SUBTOTAL(9,F2533:F2551)</f>
        <v>40646.06</v>
      </c>
      <c r="G2552" s="4">
        <f>SUBTOTAL(9,G2533:G2551)</f>
        <v>60381.51999999999</v>
      </c>
      <c r="H2552" s="4">
        <f>SUBTOTAL(9,H2533:H2551)</f>
        <v>30316.53</v>
      </c>
      <c r="I2552" s="4">
        <f>SUBTOTAL(9,I2533:I2551)</f>
        <v>41552.360000000008</v>
      </c>
      <c r="J2552" s="4">
        <f>SUBTOTAL(9,J2533:J2551)</f>
        <v>26815.579999999998</v>
      </c>
      <c r="K2552" s="4">
        <f>SUBTOTAL(9,K2533:K2551)</f>
        <v>26549.839999999997</v>
      </c>
      <c r="L2552" s="4">
        <f>SUBTOTAL(9,L2533:L2551)</f>
        <v>34995.75</v>
      </c>
      <c r="M2552" s="4">
        <f>SUBTOTAL(9,M2533:M2551)</f>
        <v>25920.600000000002</v>
      </c>
      <c r="N2552" s="4">
        <f>SUBTOTAL(9,N2533:N2551)</f>
        <v>30171.82</v>
      </c>
      <c r="O2552" s="4">
        <f>SUBTOTAL(9,O2533:O2551)</f>
        <v>28202.560000000001</v>
      </c>
      <c r="P2552" s="4">
        <f>SUBTOTAL(9,P2533:P2551)</f>
        <v>32112.019999999997</v>
      </c>
      <c r="Q2552" s="4">
        <f>SUBTOTAL(9,Q2533:Q2551)</f>
        <v>41309.470000000008</v>
      </c>
      <c r="R2552" s="4">
        <f>SUBTOTAL(9,R2533:R2551)</f>
        <v>34026.090000000004</v>
      </c>
      <c r="S2552" s="8">
        <f t="shared" si="117"/>
        <v>32118.703333333335</v>
      </c>
      <c r="T2552" s="8">
        <f t="shared" si="118"/>
        <v>1907.386666666669</v>
      </c>
      <c r="U2552" s="9">
        <f t="shared" si="119"/>
        <v>5.9385543895452059E-2</v>
      </c>
    </row>
    <row r="2553" spans="1:22" outlineLevel="2">
      <c r="A2553" t="s">
        <v>626</v>
      </c>
      <c r="B2553" t="s">
        <v>627</v>
      </c>
      <c r="C2553" t="s">
        <v>21</v>
      </c>
      <c r="D2553" t="s">
        <v>22</v>
      </c>
      <c r="E2553" s="4">
        <v>0</v>
      </c>
      <c r="F2553" s="4">
        <v>0</v>
      </c>
      <c r="G2553" s="4">
        <v>0</v>
      </c>
      <c r="H2553" s="4">
        <v>0</v>
      </c>
      <c r="I2553" s="4">
        <v>0</v>
      </c>
      <c r="J2553" s="4">
        <v>0</v>
      </c>
      <c r="K2553" s="4">
        <v>0</v>
      </c>
      <c r="L2553" s="4">
        <v>0</v>
      </c>
      <c r="M2553" s="4">
        <v>0</v>
      </c>
      <c r="N2553" s="4">
        <v>0</v>
      </c>
      <c r="O2553" s="4">
        <v>0</v>
      </c>
      <c r="P2553" s="4">
        <v>0</v>
      </c>
      <c r="Q2553" s="4">
        <v>113.27</v>
      </c>
      <c r="R2553" s="4">
        <v>450</v>
      </c>
      <c r="S2553" s="8">
        <f t="shared" si="117"/>
        <v>18.878333333333334</v>
      </c>
      <c r="T2553" s="8">
        <f t="shared" si="118"/>
        <v>431.12166666666667</v>
      </c>
      <c r="U2553" s="9">
        <f t="shared" si="119"/>
        <v>22.836850004414231</v>
      </c>
    </row>
    <row r="2554" spans="1:22" outlineLevel="2">
      <c r="A2554" t="s">
        <v>626</v>
      </c>
      <c r="B2554" t="s">
        <v>627</v>
      </c>
      <c r="C2554" t="s">
        <v>136</v>
      </c>
      <c r="D2554" t="s">
        <v>137</v>
      </c>
      <c r="E2554" s="4">
        <v>0</v>
      </c>
      <c r="F2554" s="4">
        <v>0</v>
      </c>
      <c r="G2554" s="4">
        <v>0</v>
      </c>
      <c r="H2554" s="4">
        <v>0</v>
      </c>
      <c r="I2554" s="4">
        <v>0</v>
      </c>
      <c r="J2554" s="4">
        <v>0</v>
      </c>
      <c r="K2554" s="4">
        <v>0</v>
      </c>
      <c r="L2554" s="4">
        <v>0</v>
      </c>
      <c r="M2554" s="4">
        <v>0</v>
      </c>
      <c r="N2554" s="4">
        <v>0</v>
      </c>
      <c r="O2554" s="4">
        <v>0</v>
      </c>
      <c r="P2554" s="4">
        <v>0</v>
      </c>
      <c r="Q2554" s="4">
        <v>0</v>
      </c>
      <c r="S2554" s="8">
        <f t="shared" si="117"/>
        <v>0</v>
      </c>
      <c r="T2554" s="8">
        <f t="shared" si="118"/>
        <v>0</v>
      </c>
      <c r="U2554" s="9" t="e">
        <f t="shared" si="119"/>
        <v>#DIV/0!</v>
      </c>
    </row>
    <row r="2555" spans="1:22" outlineLevel="2">
      <c r="A2555" t="s">
        <v>626</v>
      </c>
      <c r="B2555" t="s">
        <v>627</v>
      </c>
      <c r="C2555" t="s">
        <v>138</v>
      </c>
      <c r="D2555" t="s">
        <v>139</v>
      </c>
      <c r="E2555" s="4">
        <v>0</v>
      </c>
      <c r="F2555" s="4">
        <v>0</v>
      </c>
      <c r="G2555" s="4">
        <v>0</v>
      </c>
      <c r="H2555" s="4">
        <v>0</v>
      </c>
      <c r="I2555" s="4">
        <v>0</v>
      </c>
      <c r="J2555" s="4">
        <v>0</v>
      </c>
      <c r="K2555" s="4">
        <v>0</v>
      </c>
      <c r="L2555" s="4">
        <v>0</v>
      </c>
      <c r="M2555" s="4">
        <v>0</v>
      </c>
      <c r="N2555" s="4">
        <v>0</v>
      </c>
      <c r="O2555" s="4">
        <v>0</v>
      </c>
      <c r="P2555" s="4">
        <v>0</v>
      </c>
      <c r="Q2555" s="4">
        <v>0</v>
      </c>
      <c r="S2555" s="8">
        <f t="shared" si="117"/>
        <v>0</v>
      </c>
      <c r="T2555" s="8">
        <f t="shared" si="118"/>
        <v>0</v>
      </c>
      <c r="U2555" s="9" t="e">
        <f t="shared" si="119"/>
        <v>#DIV/0!</v>
      </c>
    </row>
    <row r="2556" spans="1:22" outlineLevel="2">
      <c r="A2556" t="s">
        <v>626</v>
      </c>
      <c r="B2556" t="s">
        <v>627</v>
      </c>
      <c r="C2556" t="s">
        <v>29</v>
      </c>
      <c r="D2556" t="s">
        <v>30</v>
      </c>
      <c r="E2556" s="4">
        <v>0</v>
      </c>
      <c r="F2556" s="4">
        <v>0</v>
      </c>
      <c r="G2556" s="4">
        <v>0</v>
      </c>
      <c r="H2556" s="4">
        <v>0</v>
      </c>
      <c r="I2556" s="4">
        <v>0</v>
      </c>
      <c r="J2556" s="4">
        <v>0</v>
      </c>
      <c r="K2556" s="4">
        <v>0</v>
      </c>
      <c r="L2556" s="4">
        <v>0</v>
      </c>
      <c r="M2556" s="4">
        <v>0</v>
      </c>
      <c r="N2556" s="4">
        <v>0</v>
      </c>
      <c r="O2556" s="4">
        <v>0</v>
      </c>
      <c r="P2556" s="4">
        <v>0</v>
      </c>
      <c r="Q2556" s="4">
        <v>0</v>
      </c>
      <c r="S2556" s="8">
        <f t="shared" si="117"/>
        <v>0</v>
      </c>
      <c r="T2556" s="8">
        <f t="shared" si="118"/>
        <v>0</v>
      </c>
      <c r="U2556" s="9" t="e">
        <f t="shared" si="119"/>
        <v>#DIV/0!</v>
      </c>
    </row>
    <row r="2557" spans="1:22" outlineLevel="2">
      <c r="A2557" t="s">
        <v>626</v>
      </c>
      <c r="B2557" t="s">
        <v>627</v>
      </c>
      <c r="C2557" t="s">
        <v>144</v>
      </c>
      <c r="D2557" t="s">
        <v>145</v>
      </c>
      <c r="E2557" s="4">
        <v>0</v>
      </c>
      <c r="F2557" s="4">
        <v>0</v>
      </c>
      <c r="G2557" s="4">
        <v>0</v>
      </c>
      <c r="H2557" s="4">
        <v>0</v>
      </c>
      <c r="I2557" s="4">
        <v>0</v>
      </c>
      <c r="J2557" s="4">
        <v>0</v>
      </c>
      <c r="K2557" s="4">
        <v>0</v>
      </c>
      <c r="L2557" s="4">
        <v>0</v>
      </c>
      <c r="M2557" s="4">
        <v>0</v>
      </c>
      <c r="N2557" s="4">
        <v>0</v>
      </c>
      <c r="O2557" s="4">
        <v>0</v>
      </c>
      <c r="P2557" s="4">
        <v>0</v>
      </c>
      <c r="Q2557" s="4">
        <v>0</v>
      </c>
      <c r="S2557" s="8">
        <f t="shared" si="117"/>
        <v>0</v>
      </c>
      <c r="T2557" s="8">
        <f t="shared" si="118"/>
        <v>0</v>
      </c>
      <c r="U2557" s="9" t="e">
        <f t="shared" si="119"/>
        <v>#DIV/0!</v>
      </c>
    </row>
    <row r="2558" spans="1:22" outlineLevel="2">
      <c r="A2558" t="s">
        <v>626</v>
      </c>
      <c r="B2558" t="s">
        <v>627</v>
      </c>
      <c r="C2558" t="s">
        <v>146</v>
      </c>
      <c r="D2558" t="s">
        <v>147</v>
      </c>
      <c r="E2558" s="4">
        <v>0</v>
      </c>
      <c r="F2558" s="4">
        <v>0</v>
      </c>
      <c r="G2558" s="4">
        <v>0</v>
      </c>
      <c r="H2558" s="4">
        <v>0</v>
      </c>
      <c r="I2558" s="4">
        <v>0</v>
      </c>
      <c r="J2558" s="4">
        <v>0</v>
      </c>
      <c r="K2558" s="4">
        <v>0</v>
      </c>
      <c r="L2558" s="4">
        <v>0</v>
      </c>
      <c r="M2558" s="4">
        <v>0</v>
      </c>
      <c r="N2558" s="4">
        <v>0</v>
      </c>
      <c r="O2558" s="4">
        <v>0</v>
      </c>
      <c r="P2558" s="4">
        <v>0</v>
      </c>
      <c r="Q2558" s="4">
        <v>0</v>
      </c>
      <c r="S2558" s="8">
        <f t="shared" si="117"/>
        <v>0</v>
      </c>
      <c r="T2558" s="8">
        <f t="shared" si="118"/>
        <v>0</v>
      </c>
      <c r="U2558" s="9" t="e">
        <f t="shared" si="119"/>
        <v>#DIV/0!</v>
      </c>
    </row>
    <row r="2559" spans="1:22" outlineLevel="2">
      <c r="A2559" t="s">
        <v>626</v>
      </c>
      <c r="B2559" t="s">
        <v>627</v>
      </c>
      <c r="C2559" t="s">
        <v>152</v>
      </c>
      <c r="D2559" t="s">
        <v>153</v>
      </c>
      <c r="E2559" s="4">
        <v>0</v>
      </c>
      <c r="F2559" s="4">
        <v>0</v>
      </c>
      <c r="G2559" s="4">
        <v>0</v>
      </c>
      <c r="H2559" s="4">
        <v>0</v>
      </c>
      <c r="I2559" s="4">
        <v>0</v>
      </c>
      <c r="J2559" s="4">
        <v>0</v>
      </c>
      <c r="K2559" s="4">
        <v>0</v>
      </c>
      <c r="L2559" s="4">
        <v>0</v>
      </c>
      <c r="M2559" s="4">
        <v>0</v>
      </c>
      <c r="N2559" s="4">
        <v>0</v>
      </c>
      <c r="O2559" s="4">
        <v>0</v>
      </c>
      <c r="P2559" s="4">
        <v>0</v>
      </c>
      <c r="Q2559" s="4">
        <v>0</v>
      </c>
      <c r="S2559" s="8">
        <f t="shared" si="117"/>
        <v>0</v>
      </c>
      <c r="T2559" s="8">
        <f t="shared" si="118"/>
        <v>0</v>
      </c>
      <c r="U2559" s="9" t="e">
        <f t="shared" si="119"/>
        <v>#DIV/0!</v>
      </c>
    </row>
    <row r="2560" spans="1:22" outlineLevel="2">
      <c r="A2560" t="s">
        <v>626</v>
      </c>
      <c r="B2560" t="s">
        <v>627</v>
      </c>
      <c r="C2560" t="s">
        <v>154</v>
      </c>
      <c r="D2560" t="s">
        <v>155</v>
      </c>
      <c r="E2560" s="4">
        <v>0</v>
      </c>
      <c r="F2560" s="4">
        <v>0</v>
      </c>
      <c r="G2560" s="4">
        <v>0</v>
      </c>
      <c r="H2560" s="4">
        <v>0</v>
      </c>
      <c r="I2560" s="4">
        <v>0</v>
      </c>
      <c r="J2560" s="4">
        <v>0</v>
      </c>
      <c r="K2560" s="4">
        <v>0</v>
      </c>
      <c r="L2560" s="4">
        <v>0</v>
      </c>
      <c r="M2560" s="4">
        <v>0</v>
      </c>
      <c r="N2560" s="4">
        <v>0</v>
      </c>
      <c r="O2560" s="4">
        <v>0</v>
      </c>
      <c r="P2560" s="4">
        <v>0</v>
      </c>
      <c r="Q2560" s="4">
        <v>0</v>
      </c>
      <c r="S2560" s="8">
        <f t="shared" si="117"/>
        <v>0</v>
      </c>
      <c r="T2560" s="8">
        <f t="shared" si="118"/>
        <v>0</v>
      </c>
      <c r="U2560" s="9" t="e">
        <f t="shared" si="119"/>
        <v>#DIV/0!</v>
      </c>
    </row>
    <row r="2561" spans="1:22" outlineLevel="2">
      <c r="A2561" t="s">
        <v>626</v>
      </c>
      <c r="B2561" t="s">
        <v>627</v>
      </c>
      <c r="C2561" t="s">
        <v>39</v>
      </c>
      <c r="D2561" t="s">
        <v>40</v>
      </c>
      <c r="E2561" s="4">
        <v>432.8</v>
      </c>
      <c r="F2561" s="4">
        <v>0</v>
      </c>
      <c r="G2561" s="4">
        <v>0</v>
      </c>
      <c r="H2561" s="4">
        <v>0</v>
      </c>
      <c r="I2561" s="4">
        <v>0</v>
      </c>
      <c r="J2561" s="4">
        <v>0</v>
      </c>
      <c r="K2561" s="4">
        <v>0</v>
      </c>
      <c r="L2561" s="4">
        <v>0</v>
      </c>
      <c r="M2561" s="4">
        <v>0</v>
      </c>
      <c r="N2561" s="4">
        <v>0</v>
      </c>
      <c r="O2561" s="4">
        <v>0</v>
      </c>
      <c r="P2561" s="4">
        <v>0</v>
      </c>
      <c r="Q2561" s="4">
        <v>324.40000000000003</v>
      </c>
      <c r="S2561" s="8">
        <f t="shared" si="117"/>
        <v>54.06666666666667</v>
      </c>
      <c r="T2561" s="8">
        <f t="shared" si="118"/>
        <v>-54.06666666666667</v>
      </c>
      <c r="U2561" s="9">
        <f t="shared" si="119"/>
        <v>-1</v>
      </c>
    </row>
    <row r="2562" spans="1:22" outlineLevel="2">
      <c r="A2562" t="s">
        <v>626</v>
      </c>
      <c r="B2562" t="s">
        <v>627</v>
      </c>
      <c r="C2562" t="s">
        <v>47</v>
      </c>
      <c r="D2562" t="s">
        <v>48</v>
      </c>
      <c r="E2562" s="4">
        <v>17300</v>
      </c>
      <c r="F2562" s="4">
        <v>0</v>
      </c>
      <c r="G2562" s="4">
        <v>0</v>
      </c>
      <c r="H2562" s="4">
        <v>0</v>
      </c>
      <c r="I2562" s="4">
        <v>0</v>
      </c>
      <c r="J2562" s="4">
        <v>0</v>
      </c>
      <c r="K2562" s="4">
        <v>0</v>
      </c>
      <c r="L2562" s="4">
        <v>-17300</v>
      </c>
      <c r="M2562" s="4">
        <v>0</v>
      </c>
      <c r="N2562" s="4">
        <v>0</v>
      </c>
      <c r="O2562" s="4">
        <v>0</v>
      </c>
      <c r="P2562" s="4">
        <v>0</v>
      </c>
      <c r="Q2562" s="4">
        <v>0</v>
      </c>
      <c r="S2562" s="8">
        <f t="shared" si="117"/>
        <v>-2883.3333333333335</v>
      </c>
      <c r="T2562" s="8">
        <f t="shared" si="118"/>
        <v>2883.3333333333335</v>
      </c>
      <c r="U2562" s="9">
        <f t="shared" si="119"/>
        <v>-1</v>
      </c>
    </row>
    <row r="2563" spans="1:22" outlineLevel="2">
      <c r="A2563" t="s">
        <v>626</v>
      </c>
      <c r="B2563" t="s">
        <v>627</v>
      </c>
      <c r="C2563" t="s">
        <v>49</v>
      </c>
      <c r="D2563" t="s">
        <v>50</v>
      </c>
      <c r="E2563" s="4">
        <v>0</v>
      </c>
      <c r="F2563" s="4">
        <v>0</v>
      </c>
      <c r="G2563" s="4">
        <v>0</v>
      </c>
      <c r="H2563" s="4">
        <v>0</v>
      </c>
      <c r="I2563" s="4">
        <v>0</v>
      </c>
      <c r="J2563" s="4">
        <v>6000</v>
      </c>
      <c r="K2563" s="4">
        <v>0</v>
      </c>
      <c r="L2563" s="4">
        <v>0</v>
      </c>
      <c r="M2563" s="4">
        <v>0</v>
      </c>
      <c r="N2563" s="4">
        <v>0</v>
      </c>
      <c r="O2563" s="4">
        <v>0</v>
      </c>
      <c r="P2563" s="4">
        <v>0</v>
      </c>
      <c r="Q2563" s="4">
        <v>0</v>
      </c>
      <c r="S2563" s="8">
        <f t="shared" ref="S2563:S2626" si="120">AVERAGE(L2563:Q2563)</f>
        <v>0</v>
      </c>
      <c r="T2563" s="8">
        <f t="shared" ref="T2563:T2626" si="121">R2563-S2563</f>
        <v>0</v>
      </c>
      <c r="U2563" s="9" t="e">
        <f t="shared" ref="U2563:U2626" si="122">(R2563-S2563)/S2563</f>
        <v>#DIV/0!</v>
      </c>
    </row>
    <row r="2564" spans="1:22" outlineLevel="2">
      <c r="A2564" t="s">
        <v>626</v>
      </c>
      <c r="B2564" t="s">
        <v>627</v>
      </c>
      <c r="C2564" t="s">
        <v>164</v>
      </c>
      <c r="D2564" t="s">
        <v>165</v>
      </c>
      <c r="E2564" s="4">
        <v>0</v>
      </c>
      <c r="F2564" s="4">
        <v>0</v>
      </c>
      <c r="G2564" s="4">
        <v>0</v>
      </c>
      <c r="H2564" s="4">
        <v>0</v>
      </c>
      <c r="I2564" s="4">
        <v>0</v>
      </c>
      <c r="J2564" s="4">
        <v>0</v>
      </c>
      <c r="K2564" s="4">
        <v>0</v>
      </c>
      <c r="L2564" s="4">
        <v>0</v>
      </c>
      <c r="M2564" s="4">
        <v>0</v>
      </c>
      <c r="N2564" s="4">
        <v>0</v>
      </c>
      <c r="O2564" s="4">
        <v>0</v>
      </c>
      <c r="P2564" s="4">
        <v>0</v>
      </c>
      <c r="Q2564" s="4">
        <v>0</v>
      </c>
      <c r="S2564" s="8">
        <f t="shared" si="120"/>
        <v>0</v>
      </c>
      <c r="T2564" s="8">
        <f t="shared" si="121"/>
        <v>0</v>
      </c>
      <c r="U2564" s="9" t="e">
        <f t="shared" si="122"/>
        <v>#DIV/0!</v>
      </c>
    </row>
    <row r="2565" spans="1:22" outlineLevel="2">
      <c r="A2565" t="s">
        <v>626</v>
      </c>
      <c r="B2565" t="s">
        <v>627</v>
      </c>
      <c r="C2565" t="s">
        <v>53</v>
      </c>
      <c r="D2565" t="s">
        <v>54</v>
      </c>
      <c r="E2565" s="4">
        <v>274.95</v>
      </c>
      <c r="F2565" s="4">
        <v>0</v>
      </c>
      <c r="G2565" s="4">
        <v>0</v>
      </c>
      <c r="H2565" s="4">
        <v>0</v>
      </c>
      <c r="I2565" s="4">
        <v>0</v>
      </c>
      <c r="J2565" s="4">
        <v>0</v>
      </c>
      <c r="K2565" s="4">
        <v>0</v>
      </c>
      <c r="L2565" s="4">
        <v>0</v>
      </c>
      <c r="M2565" s="4">
        <v>0</v>
      </c>
      <c r="N2565" s="4">
        <v>0</v>
      </c>
      <c r="O2565" s="4">
        <v>0</v>
      </c>
      <c r="P2565" s="4">
        <v>0</v>
      </c>
      <c r="Q2565" s="4">
        <v>0</v>
      </c>
      <c r="S2565" s="8">
        <f t="shared" si="120"/>
        <v>0</v>
      </c>
      <c r="T2565" s="8">
        <f t="shared" si="121"/>
        <v>0</v>
      </c>
      <c r="U2565" s="9" t="e">
        <f t="shared" si="122"/>
        <v>#DIV/0!</v>
      </c>
    </row>
    <row r="2566" spans="1:22" outlineLevel="2">
      <c r="A2566" t="s">
        <v>626</v>
      </c>
      <c r="B2566" t="s">
        <v>627</v>
      </c>
      <c r="C2566" t="s">
        <v>65</v>
      </c>
      <c r="D2566" t="s">
        <v>66</v>
      </c>
      <c r="E2566" s="4">
        <v>724.75</v>
      </c>
      <c r="F2566" s="4">
        <v>0</v>
      </c>
      <c r="G2566" s="4">
        <v>0</v>
      </c>
      <c r="H2566" s="4">
        <v>0</v>
      </c>
      <c r="I2566" s="4">
        <v>0</v>
      </c>
      <c r="J2566" s="4">
        <v>0</v>
      </c>
      <c r="K2566" s="4">
        <v>0</v>
      </c>
      <c r="L2566" s="4">
        <v>0</v>
      </c>
      <c r="M2566" s="4">
        <v>0</v>
      </c>
      <c r="N2566" s="4">
        <v>0</v>
      </c>
      <c r="O2566" s="4">
        <v>0</v>
      </c>
      <c r="P2566" s="4">
        <v>0</v>
      </c>
      <c r="Q2566" s="4">
        <v>0</v>
      </c>
      <c r="S2566" s="8">
        <f t="shared" si="120"/>
        <v>0</v>
      </c>
      <c r="T2566" s="8">
        <f t="shared" si="121"/>
        <v>0</v>
      </c>
      <c r="U2566" s="9" t="e">
        <f t="shared" si="122"/>
        <v>#DIV/0!</v>
      </c>
    </row>
    <row r="2567" spans="1:22" outlineLevel="2">
      <c r="A2567" t="s">
        <v>626</v>
      </c>
      <c r="B2567" t="s">
        <v>627</v>
      </c>
      <c r="C2567" t="s">
        <v>83</v>
      </c>
      <c r="D2567" t="s">
        <v>84</v>
      </c>
      <c r="E2567" s="4">
        <v>0</v>
      </c>
      <c r="F2567" s="4">
        <v>0</v>
      </c>
      <c r="G2567" s="4">
        <v>0</v>
      </c>
      <c r="H2567" s="4">
        <v>0</v>
      </c>
      <c r="I2567" s="4">
        <v>0</v>
      </c>
      <c r="J2567" s="4">
        <v>0</v>
      </c>
      <c r="K2567" s="4">
        <v>0</v>
      </c>
      <c r="L2567" s="4">
        <v>0</v>
      </c>
      <c r="M2567" s="4">
        <v>0</v>
      </c>
      <c r="N2567" s="4">
        <v>0</v>
      </c>
      <c r="O2567" s="4">
        <v>0</v>
      </c>
      <c r="P2567" s="4">
        <v>0</v>
      </c>
      <c r="Q2567" s="4">
        <v>64.91</v>
      </c>
      <c r="S2567" s="8">
        <f t="shared" si="120"/>
        <v>10.818333333333333</v>
      </c>
      <c r="T2567" s="8">
        <f t="shared" si="121"/>
        <v>-10.818333333333333</v>
      </c>
      <c r="U2567" s="9">
        <f t="shared" si="122"/>
        <v>-1</v>
      </c>
    </row>
    <row r="2568" spans="1:22" outlineLevel="2">
      <c r="A2568" t="s">
        <v>626</v>
      </c>
      <c r="B2568" t="s">
        <v>627</v>
      </c>
      <c r="C2568" t="s">
        <v>166</v>
      </c>
      <c r="D2568" t="s">
        <v>167</v>
      </c>
      <c r="E2568" s="4">
        <v>6184.1</v>
      </c>
      <c r="F2568" s="4">
        <v>6000</v>
      </c>
      <c r="G2568" s="4">
        <v>5999.9999999999982</v>
      </c>
      <c r="H2568" s="4">
        <v>0</v>
      </c>
      <c r="I2568" s="4">
        <v>0</v>
      </c>
      <c r="J2568" s="4">
        <v>0</v>
      </c>
      <c r="K2568" s="4">
        <v>0</v>
      </c>
      <c r="L2568" s="4">
        <v>0</v>
      </c>
      <c r="M2568" s="4">
        <v>0</v>
      </c>
      <c r="N2568" s="4">
        <v>0</v>
      </c>
      <c r="O2568" s="4">
        <v>0</v>
      </c>
      <c r="P2568" s="4">
        <v>0</v>
      </c>
      <c r="Q2568" s="4">
        <v>0</v>
      </c>
      <c r="S2568" s="8">
        <f t="shared" si="120"/>
        <v>0</v>
      </c>
      <c r="T2568" s="8">
        <f t="shared" si="121"/>
        <v>0</v>
      </c>
      <c r="U2568" s="9" t="e">
        <f t="shared" si="122"/>
        <v>#DIV/0!</v>
      </c>
    </row>
    <row r="2569" spans="1:22" outlineLevel="2">
      <c r="A2569" t="s">
        <v>626</v>
      </c>
      <c r="B2569" t="s">
        <v>627</v>
      </c>
      <c r="C2569" t="s">
        <v>168</v>
      </c>
      <c r="D2569" t="s">
        <v>169</v>
      </c>
      <c r="E2569" s="4">
        <v>30333.46</v>
      </c>
      <c r="F2569" s="4">
        <v>28684.71</v>
      </c>
      <c r="G2569" s="4">
        <v>28684.710000000006</v>
      </c>
      <c r="H2569" s="4">
        <v>0</v>
      </c>
      <c r="I2569" s="4">
        <v>0</v>
      </c>
      <c r="J2569" s="4">
        <v>0</v>
      </c>
      <c r="K2569" s="4">
        <v>0</v>
      </c>
      <c r="L2569" s="4">
        <v>0</v>
      </c>
      <c r="M2569" s="4">
        <v>0</v>
      </c>
      <c r="N2569" s="4">
        <v>0</v>
      </c>
      <c r="O2569" s="4">
        <v>0</v>
      </c>
      <c r="P2569" s="4">
        <v>0</v>
      </c>
      <c r="Q2569" s="4">
        <v>0</v>
      </c>
      <c r="S2569" s="8">
        <f t="shared" si="120"/>
        <v>0</v>
      </c>
      <c r="T2569" s="8">
        <f t="shared" si="121"/>
        <v>0</v>
      </c>
      <c r="U2569" s="9" t="e">
        <f t="shared" si="122"/>
        <v>#DIV/0!</v>
      </c>
    </row>
    <row r="2570" spans="1:22" outlineLevel="2">
      <c r="A2570" t="s">
        <v>626</v>
      </c>
      <c r="B2570" t="s">
        <v>627</v>
      </c>
      <c r="C2570" t="s">
        <v>99</v>
      </c>
      <c r="D2570" t="s">
        <v>100</v>
      </c>
      <c r="E2570" s="4">
        <v>607.5</v>
      </c>
      <c r="F2570" s="4">
        <v>0</v>
      </c>
      <c r="G2570" s="4">
        <v>0</v>
      </c>
      <c r="H2570" s="4">
        <v>0</v>
      </c>
      <c r="I2570" s="4">
        <v>0</v>
      </c>
      <c r="J2570" s="4">
        <v>0</v>
      </c>
      <c r="K2570" s="4">
        <v>0</v>
      </c>
      <c r="L2570" s="4">
        <v>0</v>
      </c>
      <c r="M2570" s="4">
        <v>0</v>
      </c>
      <c r="N2570" s="4">
        <v>58665.8</v>
      </c>
      <c r="O2570" s="4">
        <v>10333.530000000001</v>
      </c>
      <c r="P2570" s="4">
        <v>8207.2199999999993</v>
      </c>
      <c r="Q2570" s="4">
        <v>8307.35</v>
      </c>
      <c r="S2570" s="8">
        <f t="shared" si="120"/>
        <v>14252.316666666668</v>
      </c>
      <c r="T2570" s="8">
        <f t="shared" si="121"/>
        <v>-14252.316666666668</v>
      </c>
      <c r="U2570" s="9">
        <f t="shared" si="122"/>
        <v>-1</v>
      </c>
    </row>
    <row r="2571" spans="1:22" outlineLevel="2">
      <c r="A2571" t="s">
        <v>626</v>
      </c>
      <c r="B2571" t="s">
        <v>627</v>
      </c>
      <c r="C2571" t="s">
        <v>101</v>
      </c>
      <c r="D2571" t="s">
        <v>102</v>
      </c>
      <c r="E2571" s="4">
        <v>0</v>
      </c>
      <c r="F2571" s="4">
        <v>0</v>
      </c>
      <c r="G2571" s="4">
        <v>0</v>
      </c>
      <c r="H2571" s="4">
        <v>0</v>
      </c>
      <c r="I2571" s="4">
        <v>7589.02</v>
      </c>
      <c r="J2571" s="4">
        <v>0</v>
      </c>
      <c r="K2571" s="4">
        <v>10493.57</v>
      </c>
      <c r="L2571" s="4">
        <v>0</v>
      </c>
      <c r="M2571" s="4">
        <v>0</v>
      </c>
      <c r="N2571" s="4">
        <v>0</v>
      </c>
      <c r="O2571" s="4">
        <v>0</v>
      </c>
      <c r="P2571" s="4">
        <v>0</v>
      </c>
      <c r="Q2571" s="4">
        <v>0</v>
      </c>
      <c r="S2571" s="8">
        <f t="shared" si="120"/>
        <v>0</v>
      </c>
      <c r="T2571" s="8">
        <f t="shared" si="121"/>
        <v>0</v>
      </c>
      <c r="U2571" s="9" t="e">
        <f t="shared" si="122"/>
        <v>#DIV/0!</v>
      </c>
    </row>
    <row r="2572" spans="1:22" outlineLevel="2">
      <c r="A2572" t="s">
        <v>626</v>
      </c>
      <c r="B2572" t="s">
        <v>627</v>
      </c>
      <c r="C2572" t="s">
        <v>111</v>
      </c>
      <c r="D2572" t="s">
        <v>112</v>
      </c>
      <c r="E2572" s="4">
        <v>0</v>
      </c>
      <c r="F2572" s="4">
        <v>0</v>
      </c>
      <c r="G2572" s="4">
        <v>0</v>
      </c>
      <c r="H2572" s="4">
        <v>0</v>
      </c>
      <c r="I2572" s="4">
        <v>0</v>
      </c>
      <c r="J2572" s="4">
        <v>0</v>
      </c>
      <c r="K2572" s="4">
        <v>0</v>
      </c>
      <c r="L2572" s="4">
        <v>0</v>
      </c>
      <c r="M2572" s="4">
        <v>0</v>
      </c>
      <c r="N2572" s="4">
        <v>0</v>
      </c>
      <c r="O2572" s="4">
        <v>0</v>
      </c>
      <c r="P2572" s="4">
        <v>1861.8600000000001</v>
      </c>
      <c r="Q2572" s="4">
        <v>0</v>
      </c>
      <c r="S2572" s="8">
        <f t="shared" si="120"/>
        <v>310.31</v>
      </c>
      <c r="T2572" s="8">
        <f t="shared" si="121"/>
        <v>-310.31</v>
      </c>
      <c r="U2572" s="9">
        <f t="shared" si="122"/>
        <v>-1</v>
      </c>
    </row>
    <row r="2573" spans="1:22" outlineLevel="2">
      <c r="A2573" t="s">
        <v>626</v>
      </c>
      <c r="B2573" t="s">
        <v>627</v>
      </c>
      <c r="C2573" t="s">
        <v>127</v>
      </c>
      <c r="D2573" t="s">
        <v>120</v>
      </c>
      <c r="E2573" s="4">
        <v>0</v>
      </c>
      <c r="F2573" s="4">
        <v>0</v>
      </c>
      <c r="G2573" s="4">
        <v>0</v>
      </c>
      <c r="H2573" s="4">
        <v>0</v>
      </c>
      <c r="I2573" s="4">
        <v>0</v>
      </c>
      <c r="J2573" s="4">
        <v>0</v>
      </c>
      <c r="K2573" s="4">
        <v>0</v>
      </c>
      <c r="L2573" s="4">
        <v>0</v>
      </c>
      <c r="M2573" s="4">
        <v>0</v>
      </c>
      <c r="N2573" s="4">
        <v>0</v>
      </c>
      <c r="O2573" s="4">
        <v>0</v>
      </c>
      <c r="P2573" s="4">
        <v>6450</v>
      </c>
      <c r="Q2573" s="4">
        <v>138.6</v>
      </c>
      <c r="S2573" s="8">
        <f t="shared" si="120"/>
        <v>1098.1000000000001</v>
      </c>
      <c r="T2573" s="8">
        <f t="shared" si="121"/>
        <v>-1098.1000000000001</v>
      </c>
      <c r="U2573" s="9">
        <f t="shared" si="122"/>
        <v>-1</v>
      </c>
    </row>
    <row r="2574" spans="1:22" outlineLevel="2">
      <c r="A2574" t="s">
        <v>626</v>
      </c>
      <c r="B2574" t="s">
        <v>627</v>
      </c>
      <c r="C2574" t="s">
        <v>238</v>
      </c>
      <c r="D2574" t="s">
        <v>239</v>
      </c>
      <c r="E2574" s="4">
        <v>0</v>
      </c>
      <c r="F2574" s="4">
        <v>0</v>
      </c>
      <c r="G2574" s="4">
        <v>0</v>
      </c>
      <c r="H2574" s="4">
        <v>0</v>
      </c>
      <c r="I2574" s="4">
        <v>0</v>
      </c>
      <c r="J2574" s="4">
        <v>0</v>
      </c>
      <c r="K2574" s="4">
        <v>0</v>
      </c>
      <c r="L2574" s="4">
        <v>0</v>
      </c>
      <c r="M2574" s="4">
        <v>0</v>
      </c>
      <c r="N2574" s="4">
        <v>0</v>
      </c>
      <c r="O2574" s="4">
        <v>0</v>
      </c>
      <c r="P2574" s="4">
        <v>0</v>
      </c>
      <c r="Q2574" s="4">
        <v>0</v>
      </c>
      <c r="R2574" s="4">
        <v>91.75</v>
      </c>
      <c r="S2574" s="8">
        <f t="shared" si="120"/>
        <v>0</v>
      </c>
      <c r="T2574" s="8">
        <f t="shared" si="121"/>
        <v>91.75</v>
      </c>
      <c r="U2574" s="9" t="e">
        <f t="shared" si="122"/>
        <v>#DIV/0!</v>
      </c>
      <c r="V2574" t="s">
        <v>895</v>
      </c>
    </row>
    <row r="2575" spans="1:22" outlineLevel="2">
      <c r="A2575" t="s">
        <v>626</v>
      </c>
      <c r="B2575" t="s">
        <v>627</v>
      </c>
      <c r="C2575" t="s">
        <v>628</v>
      </c>
      <c r="D2575" t="s">
        <v>629</v>
      </c>
      <c r="E2575" s="4">
        <v>50.96</v>
      </c>
      <c r="F2575" s="4">
        <v>0</v>
      </c>
      <c r="G2575" s="4">
        <v>0</v>
      </c>
      <c r="H2575" s="4">
        <v>0</v>
      </c>
      <c r="I2575" s="4">
        <v>0</v>
      </c>
      <c r="J2575" s="4">
        <v>0</v>
      </c>
      <c r="K2575" s="4">
        <v>0</v>
      </c>
      <c r="L2575" s="4">
        <v>0</v>
      </c>
      <c r="M2575" s="4">
        <v>0</v>
      </c>
      <c r="N2575" s="4">
        <v>0</v>
      </c>
      <c r="O2575" s="4">
        <v>0</v>
      </c>
      <c r="P2575" s="4">
        <v>0</v>
      </c>
      <c r="Q2575" s="4">
        <v>0</v>
      </c>
      <c r="S2575" s="8">
        <f t="shared" si="120"/>
        <v>0</v>
      </c>
      <c r="T2575" s="8">
        <f t="shared" si="121"/>
        <v>0</v>
      </c>
      <c r="U2575" s="9" t="e">
        <f t="shared" si="122"/>
        <v>#DIV/0!</v>
      </c>
    </row>
    <row r="2576" spans="1:22" outlineLevel="1">
      <c r="A2576" s="1" t="s">
        <v>859</v>
      </c>
      <c r="E2576" s="4">
        <f>SUBTOTAL(9,E2553:E2575)</f>
        <v>55908.52</v>
      </c>
      <c r="F2576" s="4">
        <f>SUBTOTAL(9,F2553:F2575)</f>
        <v>34684.71</v>
      </c>
      <c r="G2576" s="4">
        <f>SUBTOTAL(9,G2553:G2575)</f>
        <v>34684.710000000006</v>
      </c>
      <c r="H2576" s="4">
        <f>SUBTOTAL(9,H2553:H2575)</f>
        <v>0</v>
      </c>
      <c r="I2576" s="4">
        <f>SUBTOTAL(9,I2553:I2575)</f>
        <v>7589.02</v>
      </c>
      <c r="J2576" s="4">
        <f>SUBTOTAL(9,J2553:J2575)</f>
        <v>6000</v>
      </c>
      <c r="K2576" s="4">
        <f>SUBTOTAL(9,K2553:K2575)</f>
        <v>10493.57</v>
      </c>
      <c r="L2576" s="4">
        <f>SUBTOTAL(9,L2553:L2575)</f>
        <v>-17300</v>
      </c>
      <c r="M2576" s="4">
        <f>SUBTOTAL(9,M2553:M2575)</f>
        <v>0</v>
      </c>
      <c r="N2576" s="4">
        <f>SUBTOTAL(9,N2553:N2575)</f>
        <v>58665.8</v>
      </c>
      <c r="O2576" s="4">
        <f>SUBTOTAL(9,O2553:O2575)</f>
        <v>10333.530000000001</v>
      </c>
      <c r="P2576" s="4">
        <f>SUBTOTAL(9,P2553:P2575)</f>
        <v>16519.080000000002</v>
      </c>
      <c r="Q2576" s="4">
        <f>SUBTOTAL(9,Q2553:Q2575)</f>
        <v>8948.5300000000007</v>
      </c>
      <c r="R2576" s="4">
        <f>SUBTOTAL(9,R2553:R2575)</f>
        <v>541.75</v>
      </c>
      <c r="S2576" s="8">
        <f t="shared" si="120"/>
        <v>12861.156666666668</v>
      </c>
      <c r="T2576" s="8">
        <f t="shared" si="121"/>
        <v>-12319.406666666668</v>
      </c>
      <c r="U2576" s="9">
        <f t="shared" si="122"/>
        <v>-0.95787703905325261</v>
      </c>
      <c r="V2576" t="s">
        <v>895</v>
      </c>
    </row>
    <row r="2577" spans="1:21" outlineLevel="2">
      <c r="A2577" t="s">
        <v>630</v>
      </c>
      <c r="B2577" t="s">
        <v>631</v>
      </c>
      <c r="C2577" t="s">
        <v>21</v>
      </c>
      <c r="D2577" t="s">
        <v>22</v>
      </c>
      <c r="E2577" s="4">
        <v>0</v>
      </c>
      <c r="F2577" s="4">
        <v>113.92</v>
      </c>
      <c r="G2577" s="4">
        <v>0</v>
      </c>
      <c r="H2577" s="4">
        <v>0</v>
      </c>
      <c r="I2577" s="4">
        <v>0</v>
      </c>
      <c r="J2577" s="4">
        <v>0</v>
      </c>
      <c r="K2577" s="4">
        <v>0</v>
      </c>
      <c r="L2577" s="4">
        <v>0</v>
      </c>
      <c r="M2577" s="4">
        <v>0</v>
      </c>
      <c r="N2577" s="4">
        <v>0</v>
      </c>
      <c r="O2577" s="4">
        <v>0</v>
      </c>
      <c r="P2577" s="4">
        <v>90.05</v>
      </c>
      <c r="Q2577" s="4">
        <v>2137.9499999999998</v>
      </c>
      <c r="S2577" s="8">
        <f t="shared" si="120"/>
        <v>371.33333333333331</v>
      </c>
      <c r="T2577" s="8">
        <f t="shared" si="121"/>
        <v>-371.33333333333331</v>
      </c>
      <c r="U2577" s="9">
        <f t="shared" si="122"/>
        <v>-1</v>
      </c>
    </row>
    <row r="2578" spans="1:21" outlineLevel="2">
      <c r="A2578" t="s">
        <v>630</v>
      </c>
      <c r="B2578" t="s">
        <v>631</v>
      </c>
      <c r="C2578" t="s">
        <v>27</v>
      </c>
      <c r="D2578" t="s">
        <v>28</v>
      </c>
      <c r="E2578" s="4">
        <v>0</v>
      </c>
      <c r="F2578" s="4">
        <v>0</v>
      </c>
      <c r="G2578" s="4">
        <v>0</v>
      </c>
      <c r="H2578" s="4">
        <v>0</v>
      </c>
      <c r="I2578" s="4">
        <v>0</v>
      </c>
      <c r="J2578" s="4">
        <v>0</v>
      </c>
      <c r="K2578" s="4">
        <v>0</v>
      </c>
      <c r="L2578" s="4">
        <v>0</v>
      </c>
      <c r="M2578" s="4">
        <v>0</v>
      </c>
      <c r="N2578" s="4">
        <v>0</v>
      </c>
      <c r="O2578" s="4">
        <v>0</v>
      </c>
      <c r="P2578" s="4">
        <v>0</v>
      </c>
      <c r="Q2578" s="4">
        <v>1166.21</v>
      </c>
      <c r="S2578" s="8">
        <f t="shared" si="120"/>
        <v>194.36833333333334</v>
      </c>
      <c r="T2578" s="8">
        <f t="shared" si="121"/>
        <v>-194.36833333333334</v>
      </c>
      <c r="U2578" s="9">
        <f t="shared" si="122"/>
        <v>-1</v>
      </c>
    </row>
    <row r="2579" spans="1:21" outlineLevel="2">
      <c r="A2579" t="s">
        <v>630</v>
      </c>
      <c r="B2579" t="s">
        <v>631</v>
      </c>
      <c r="C2579" t="s">
        <v>138</v>
      </c>
      <c r="D2579" t="s">
        <v>139</v>
      </c>
      <c r="E2579" s="4">
        <v>0</v>
      </c>
      <c r="F2579" s="4">
        <v>0</v>
      </c>
      <c r="G2579" s="4">
        <v>0</v>
      </c>
      <c r="H2579" s="4">
        <v>0</v>
      </c>
      <c r="I2579" s="4">
        <v>0</v>
      </c>
      <c r="J2579" s="4">
        <v>0</v>
      </c>
      <c r="K2579" s="4">
        <v>0</v>
      </c>
      <c r="L2579" s="4">
        <v>0</v>
      </c>
      <c r="M2579" s="4">
        <v>0</v>
      </c>
      <c r="N2579" s="4">
        <v>0</v>
      </c>
      <c r="O2579" s="4">
        <v>0</v>
      </c>
      <c r="P2579" s="4">
        <v>0</v>
      </c>
      <c r="Q2579" s="4">
        <v>0</v>
      </c>
      <c r="S2579" s="8">
        <f t="shared" si="120"/>
        <v>0</v>
      </c>
      <c r="T2579" s="8">
        <f t="shared" si="121"/>
        <v>0</v>
      </c>
      <c r="U2579" s="9" t="e">
        <f t="shared" si="122"/>
        <v>#DIV/0!</v>
      </c>
    </row>
    <row r="2580" spans="1:21" outlineLevel="2">
      <c r="A2580" t="s">
        <v>630</v>
      </c>
      <c r="B2580" t="s">
        <v>631</v>
      </c>
      <c r="C2580" t="s">
        <v>29</v>
      </c>
      <c r="D2580" t="s">
        <v>30</v>
      </c>
      <c r="E2580" s="4">
        <v>0</v>
      </c>
      <c r="F2580" s="4">
        <v>0</v>
      </c>
      <c r="G2580" s="4">
        <v>0</v>
      </c>
      <c r="H2580" s="4">
        <v>0</v>
      </c>
      <c r="I2580" s="4">
        <v>0</v>
      </c>
      <c r="J2580" s="4">
        <v>0</v>
      </c>
      <c r="K2580" s="4">
        <v>0</v>
      </c>
      <c r="L2580" s="4">
        <v>0</v>
      </c>
      <c r="M2580" s="4">
        <v>0</v>
      </c>
      <c r="N2580" s="4">
        <v>0</v>
      </c>
      <c r="O2580" s="4">
        <v>0</v>
      </c>
      <c r="P2580" s="4">
        <v>0</v>
      </c>
      <c r="Q2580" s="4">
        <v>0</v>
      </c>
      <c r="S2580" s="8">
        <f t="shared" si="120"/>
        <v>0</v>
      </c>
      <c r="T2580" s="8">
        <f t="shared" si="121"/>
        <v>0</v>
      </c>
      <c r="U2580" s="9" t="e">
        <f t="shared" si="122"/>
        <v>#DIV/0!</v>
      </c>
    </row>
    <row r="2581" spans="1:21" outlineLevel="2">
      <c r="A2581" t="s">
        <v>630</v>
      </c>
      <c r="B2581" t="s">
        <v>631</v>
      </c>
      <c r="C2581" t="s">
        <v>148</v>
      </c>
      <c r="D2581" t="s">
        <v>149</v>
      </c>
      <c r="E2581" s="4">
        <v>0</v>
      </c>
      <c r="F2581" s="4">
        <v>0</v>
      </c>
      <c r="G2581" s="4">
        <v>0</v>
      </c>
      <c r="H2581" s="4">
        <v>0</v>
      </c>
      <c r="I2581" s="4">
        <v>0</v>
      </c>
      <c r="J2581" s="4">
        <v>0</v>
      </c>
      <c r="K2581" s="4">
        <v>0</v>
      </c>
      <c r="L2581" s="4">
        <v>0</v>
      </c>
      <c r="M2581" s="4">
        <v>0</v>
      </c>
      <c r="N2581" s="4">
        <v>0</v>
      </c>
      <c r="O2581" s="4">
        <v>0</v>
      </c>
      <c r="P2581" s="4">
        <v>0</v>
      </c>
      <c r="Q2581" s="4">
        <v>600</v>
      </c>
      <c r="S2581" s="8">
        <f t="shared" si="120"/>
        <v>100</v>
      </c>
      <c r="T2581" s="8">
        <f t="shared" si="121"/>
        <v>-100</v>
      </c>
      <c r="U2581" s="9">
        <f t="shared" si="122"/>
        <v>-1</v>
      </c>
    </row>
    <row r="2582" spans="1:21" outlineLevel="2">
      <c r="A2582" t="s">
        <v>630</v>
      </c>
      <c r="B2582" t="s">
        <v>631</v>
      </c>
      <c r="C2582" t="s">
        <v>152</v>
      </c>
      <c r="D2582" t="s">
        <v>153</v>
      </c>
      <c r="E2582" s="4">
        <v>0</v>
      </c>
      <c r="F2582" s="4">
        <v>0</v>
      </c>
      <c r="G2582" s="4">
        <v>0</v>
      </c>
      <c r="H2582" s="4">
        <v>0</v>
      </c>
      <c r="I2582" s="4">
        <v>0</v>
      </c>
      <c r="J2582" s="4">
        <v>0</v>
      </c>
      <c r="K2582" s="4">
        <v>0</v>
      </c>
      <c r="L2582" s="4">
        <v>0</v>
      </c>
      <c r="M2582" s="4">
        <v>0</v>
      </c>
      <c r="N2582" s="4">
        <v>0</v>
      </c>
      <c r="O2582" s="4">
        <v>0</v>
      </c>
      <c r="P2582" s="4">
        <v>0</v>
      </c>
      <c r="Q2582" s="4">
        <v>0</v>
      </c>
      <c r="S2582" s="8">
        <f t="shared" si="120"/>
        <v>0</v>
      </c>
      <c r="T2582" s="8">
        <f t="shared" si="121"/>
        <v>0</v>
      </c>
      <c r="U2582" s="9" t="e">
        <f t="shared" si="122"/>
        <v>#DIV/0!</v>
      </c>
    </row>
    <row r="2583" spans="1:21" outlineLevel="2">
      <c r="A2583" t="s">
        <v>630</v>
      </c>
      <c r="B2583" t="s">
        <v>631</v>
      </c>
      <c r="C2583" t="s">
        <v>154</v>
      </c>
      <c r="D2583" t="s">
        <v>155</v>
      </c>
      <c r="E2583" s="4">
        <v>0</v>
      </c>
      <c r="F2583" s="4">
        <v>0</v>
      </c>
      <c r="G2583" s="4">
        <v>0</v>
      </c>
      <c r="H2583" s="4">
        <v>0</v>
      </c>
      <c r="I2583" s="4">
        <v>0</v>
      </c>
      <c r="J2583" s="4">
        <v>0</v>
      </c>
      <c r="K2583" s="4">
        <v>0</v>
      </c>
      <c r="L2583" s="4">
        <v>0</v>
      </c>
      <c r="M2583" s="4">
        <v>0</v>
      </c>
      <c r="N2583" s="4">
        <v>0</v>
      </c>
      <c r="O2583" s="4">
        <v>0</v>
      </c>
      <c r="P2583" s="4">
        <v>0</v>
      </c>
      <c r="Q2583" s="4">
        <v>0</v>
      </c>
      <c r="S2583" s="8">
        <f t="shared" si="120"/>
        <v>0</v>
      </c>
      <c r="T2583" s="8">
        <f t="shared" si="121"/>
        <v>0</v>
      </c>
      <c r="U2583" s="9" t="e">
        <f t="shared" si="122"/>
        <v>#DIV/0!</v>
      </c>
    </row>
    <row r="2584" spans="1:21" outlineLevel="2">
      <c r="A2584" t="s">
        <v>630</v>
      </c>
      <c r="B2584" t="s">
        <v>631</v>
      </c>
      <c r="C2584" t="s">
        <v>33</v>
      </c>
      <c r="D2584" t="s">
        <v>34</v>
      </c>
      <c r="E2584" s="4">
        <v>0</v>
      </c>
      <c r="F2584" s="4">
        <v>0</v>
      </c>
      <c r="G2584" s="4">
        <v>0</v>
      </c>
      <c r="H2584" s="4">
        <v>0</v>
      </c>
      <c r="I2584" s="4">
        <v>0</v>
      </c>
      <c r="J2584" s="4">
        <v>0</v>
      </c>
      <c r="K2584" s="4">
        <v>30</v>
      </c>
      <c r="L2584" s="4">
        <v>0</v>
      </c>
      <c r="M2584" s="4">
        <v>0</v>
      </c>
      <c r="N2584" s="4">
        <v>2585.1999999999998</v>
      </c>
      <c r="O2584" s="4">
        <v>0</v>
      </c>
      <c r="P2584" s="4">
        <v>0</v>
      </c>
      <c r="Q2584" s="4">
        <v>861.26</v>
      </c>
      <c r="R2584" s="4">
        <v>404</v>
      </c>
      <c r="S2584" s="8">
        <f t="shared" si="120"/>
        <v>574.41</v>
      </c>
      <c r="T2584" s="8">
        <f t="shared" si="121"/>
        <v>-170.40999999999997</v>
      </c>
      <c r="U2584" s="9">
        <f t="shared" si="122"/>
        <v>-0.29666962622517012</v>
      </c>
    </row>
    <row r="2585" spans="1:21" outlineLevel="2">
      <c r="A2585" t="s">
        <v>630</v>
      </c>
      <c r="B2585" t="s">
        <v>631</v>
      </c>
      <c r="C2585" t="s">
        <v>180</v>
      </c>
      <c r="D2585" t="s">
        <v>181</v>
      </c>
      <c r="E2585" s="4">
        <v>0</v>
      </c>
      <c r="F2585" s="4">
        <v>0</v>
      </c>
      <c r="G2585" s="4">
        <v>0</v>
      </c>
      <c r="H2585" s="4">
        <v>0</v>
      </c>
      <c r="I2585" s="4">
        <v>0</v>
      </c>
      <c r="J2585" s="4">
        <v>0</v>
      </c>
      <c r="K2585" s="4">
        <v>0</v>
      </c>
      <c r="L2585" s="4">
        <v>0</v>
      </c>
      <c r="M2585" s="4">
        <v>0</v>
      </c>
      <c r="N2585" s="4">
        <v>0</v>
      </c>
      <c r="O2585" s="4">
        <v>0</v>
      </c>
      <c r="P2585" s="4">
        <v>485.84</v>
      </c>
      <c r="Q2585" s="4">
        <v>0</v>
      </c>
      <c r="R2585" s="4">
        <v>12.55</v>
      </c>
      <c r="S2585" s="8">
        <f t="shared" si="120"/>
        <v>80.973333333333329</v>
      </c>
      <c r="T2585" s="8">
        <f t="shared" si="121"/>
        <v>-68.423333333333332</v>
      </c>
      <c r="U2585" s="9">
        <f t="shared" si="122"/>
        <v>-0.84501070311213566</v>
      </c>
    </row>
    <row r="2586" spans="1:21" outlineLevel="2">
      <c r="A2586" t="s">
        <v>630</v>
      </c>
      <c r="B2586" t="s">
        <v>631</v>
      </c>
      <c r="C2586" t="s">
        <v>39</v>
      </c>
      <c r="D2586" t="s">
        <v>40</v>
      </c>
      <c r="E2586" s="4">
        <v>600</v>
      </c>
      <c r="F2586" s="4">
        <v>0</v>
      </c>
      <c r="G2586" s="4">
        <v>0</v>
      </c>
      <c r="H2586" s="4">
        <v>0</v>
      </c>
      <c r="I2586" s="4">
        <v>0</v>
      </c>
      <c r="J2586" s="4">
        <v>0</v>
      </c>
      <c r="K2586" s="4">
        <v>0</v>
      </c>
      <c r="L2586" s="4">
        <v>0</v>
      </c>
      <c r="M2586" s="4">
        <v>0</v>
      </c>
      <c r="N2586" s="4">
        <v>0</v>
      </c>
      <c r="O2586" s="4">
        <v>0</v>
      </c>
      <c r="P2586" s="4">
        <v>0</v>
      </c>
      <c r="Q2586" s="4">
        <v>0</v>
      </c>
      <c r="S2586" s="8">
        <f t="shared" si="120"/>
        <v>0</v>
      </c>
      <c r="T2586" s="8">
        <f t="shared" si="121"/>
        <v>0</v>
      </c>
      <c r="U2586" s="9" t="e">
        <f t="shared" si="122"/>
        <v>#DIV/0!</v>
      </c>
    </row>
    <row r="2587" spans="1:21" outlineLevel="2">
      <c r="A2587" t="s">
        <v>630</v>
      </c>
      <c r="B2587" t="s">
        <v>631</v>
      </c>
      <c r="C2587" t="s">
        <v>47</v>
      </c>
      <c r="D2587" t="s">
        <v>48</v>
      </c>
      <c r="E2587" s="4">
        <v>5000</v>
      </c>
      <c r="F2587" s="4">
        <v>0</v>
      </c>
      <c r="G2587" s="4">
        <v>0</v>
      </c>
      <c r="H2587" s="4">
        <v>0</v>
      </c>
      <c r="I2587" s="4">
        <v>0</v>
      </c>
      <c r="J2587" s="4">
        <v>0</v>
      </c>
      <c r="K2587" s="4">
        <v>0</v>
      </c>
      <c r="L2587" s="4">
        <v>-5000</v>
      </c>
      <c r="M2587" s="4">
        <v>0</v>
      </c>
      <c r="N2587" s="4">
        <v>0</v>
      </c>
      <c r="O2587" s="4">
        <v>0</v>
      </c>
      <c r="P2587" s="4">
        <v>0</v>
      </c>
      <c r="Q2587" s="4">
        <v>0</v>
      </c>
      <c r="S2587" s="8">
        <f t="shared" si="120"/>
        <v>-833.33333333333337</v>
      </c>
      <c r="T2587" s="8">
        <f t="shared" si="121"/>
        <v>833.33333333333337</v>
      </c>
      <c r="U2587" s="9">
        <f t="shared" si="122"/>
        <v>-1</v>
      </c>
    </row>
    <row r="2588" spans="1:21" outlineLevel="2">
      <c r="A2588" t="s">
        <v>630</v>
      </c>
      <c r="B2588" t="s">
        <v>631</v>
      </c>
      <c r="C2588" t="s">
        <v>49</v>
      </c>
      <c r="D2588" t="s">
        <v>50</v>
      </c>
      <c r="E2588" s="4">
        <v>0</v>
      </c>
      <c r="F2588" s="4">
        <v>0</v>
      </c>
      <c r="G2588" s="4">
        <v>0</v>
      </c>
      <c r="H2588" s="4">
        <v>0</v>
      </c>
      <c r="I2588" s="4">
        <v>0</v>
      </c>
      <c r="J2588" s="4">
        <v>0</v>
      </c>
      <c r="K2588" s="4">
        <v>0</v>
      </c>
      <c r="L2588" s="4">
        <v>0</v>
      </c>
      <c r="M2588" s="4">
        <v>0</v>
      </c>
      <c r="N2588" s="4">
        <v>0</v>
      </c>
      <c r="O2588" s="4">
        <v>0</v>
      </c>
      <c r="P2588" s="4">
        <v>-2192.5300000000002</v>
      </c>
      <c r="Q2588" s="4">
        <v>0</v>
      </c>
      <c r="R2588" s="4">
        <v>1680.58</v>
      </c>
      <c r="S2588" s="8">
        <f t="shared" si="120"/>
        <v>-365.42166666666668</v>
      </c>
      <c r="T2588" s="8">
        <f t="shared" si="121"/>
        <v>2046.0016666666666</v>
      </c>
      <c r="U2588" s="9">
        <f t="shared" si="122"/>
        <v>-5.5990157489293182</v>
      </c>
    </row>
    <row r="2589" spans="1:21" outlineLevel="2">
      <c r="A2589" t="s">
        <v>630</v>
      </c>
      <c r="B2589" t="s">
        <v>631</v>
      </c>
      <c r="C2589" t="s">
        <v>51</v>
      </c>
      <c r="D2589" t="s">
        <v>52</v>
      </c>
      <c r="E2589" s="4">
        <v>0</v>
      </c>
      <c r="F2589" s="4">
        <v>0</v>
      </c>
      <c r="G2589" s="4">
        <v>0</v>
      </c>
      <c r="H2589" s="4">
        <v>0</v>
      </c>
      <c r="I2589" s="4">
        <v>0</v>
      </c>
      <c r="J2589" s="4">
        <v>0</v>
      </c>
      <c r="K2589" s="4">
        <v>1844.75</v>
      </c>
      <c r="L2589" s="4">
        <v>0</v>
      </c>
      <c r="M2589" s="4">
        <v>0</v>
      </c>
      <c r="N2589" s="4">
        <v>0</v>
      </c>
      <c r="O2589" s="4">
        <v>0</v>
      </c>
      <c r="P2589" s="4">
        <v>40</v>
      </c>
      <c r="Q2589" s="4">
        <v>172</v>
      </c>
      <c r="S2589" s="8">
        <f t="shared" si="120"/>
        <v>35.333333333333336</v>
      </c>
      <c r="T2589" s="8">
        <f t="shared" si="121"/>
        <v>-35.333333333333336</v>
      </c>
      <c r="U2589" s="9">
        <f t="shared" si="122"/>
        <v>-1</v>
      </c>
    </row>
    <row r="2590" spans="1:21" outlineLevel="2">
      <c r="A2590" t="s">
        <v>630</v>
      </c>
      <c r="B2590" t="s">
        <v>631</v>
      </c>
      <c r="C2590" t="s">
        <v>53</v>
      </c>
      <c r="D2590" t="s">
        <v>54</v>
      </c>
      <c r="E2590" s="4">
        <v>191</v>
      </c>
      <c r="F2590" s="4">
        <v>0</v>
      </c>
      <c r="G2590" s="4">
        <v>0</v>
      </c>
      <c r="H2590" s="4">
        <v>0</v>
      </c>
      <c r="I2590" s="4">
        <v>0</v>
      </c>
      <c r="J2590" s="4">
        <v>0</v>
      </c>
      <c r="K2590" s="4">
        <v>0</v>
      </c>
      <c r="L2590" s="4">
        <v>0</v>
      </c>
      <c r="M2590" s="4">
        <v>0</v>
      </c>
      <c r="N2590" s="4">
        <v>0</v>
      </c>
      <c r="O2590" s="4">
        <v>0</v>
      </c>
      <c r="P2590" s="4">
        <v>0</v>
      </c>
      <c r="Q2590" s="4">
        <v>0</v>
      </c>
      <c r="S2590" s="8">
        <f t="shared" si="120"/>
        <v>0</v>
      </c>
      <c r="T2590" s="8">
        <f t="shared" si="121"/>
        <v>0</v>
      </c>
      <c r="U2590" s="9" t="e">
        <f t="shared" si="122"/>
        <v>#DIV/0!</v>
      </c>
    </row>
    <row r="2591" spans="1:21" outlineLevel="2">
      <c r="A2591" t="s">
        <v>630</v>
      </c>
      <c r="B2591" t="s">
        <v>631</v>
      </c>
      <c r="C2591" t="s">
        <v>55</v>
      </c>
      <c r="D2591" t="s">
        <v>56</v>
      </c>
      <c r="E2591" s="4">
        <v>0</v>
      </c>
      <c r="F2591" s="4">
        <v>14.6</v>
      </c>
      <c r="G2591" s="4">
        <v>0</v>
      </c>
      <c r="H2591" s="4">
        <v>0</v>
      </c>
      <c r="I2591" s="4">
        <v>0</v>
      </c>
      <c r="J2591" s="4">
        <v>0</v>
      </c>
      <c r="K2591" s="4">
        <v>0</v>
      </c>
      <c r="L2591" s="4">
        <v>0</v>
      </c>
      <c r="M2591" s="4">
        <v>0</v>
      </c>
      <c r="N2591" s="4">
        <v>0</v>
      </c>
      <c r="O2591" s="4">
        <v>0</v>
      </c>
      <c r="P2591" s="4">
        <v>0</v>
      </c>
      <c r="Q2591" s="4">
        <v>0</v>
      </c>
      <c r="S2591" s="8">
        <f t="shared" si="120"/>
        <v>0</v>
      </c>
      <c r="T2591" s="8">
        <f t="shared" si="121"/>
        <v>0</v>
      </c>
      <c r="U2591" s="9" t="e">
        <f t="shared" si="122"/>
        <v>#DIV/0!</v>
      </c>
    </row>
    <row r="2592" spans="1:21" outlineLevel="2">
      <c r="A2592" t="s">
        <v>630</v>
      </c>
      <c r="B2592" t="s">
        <v>631</v>
      </c>
      <c r="C2592" t="s">
        <v>274</v>
      </c>
      <c r="D2592" t="s">
        <v>275</v>
      </c>
      <c r="E2592" s="4">
        <v>0</v>
      </c>
      <c r="F2592" s="4">
        <v>0</v>
      </c>
      <c r="G2592" s="4">
        <v>0</v>
      </c>
      <c r="H2592" s="4">
        <v>0</v>
      </c>
      <c r="I2592" s="4">
        <v>0</v>
      </c>
      <c r="J2592" s="4">
        <v>0</v>
      </c>
      <c r="K2592" s="4">
        <v>0</v>
      </c>
      <c r="L2592" s="4">
        <v>0</v>
      </c>
      <c r="M2592" s="4">
        <v>0</v>
      </c>
      <c r="N2592" s="4">
        <v>0</v>
      </c>
      <c r="O2592" s="4">
        <v>0</v>
      </c>
      <c r="P2592" s="4">
        <v>643.01</v>
      </c>
      <c r="Q2592" s="4">
        <v>0</v>
      </c>
      <c r="R2592" s="4">
        <v>1030</v>
      </c>
      <c r="S2592" s="8">
        <f t="shared" si="120"/>
        <v>107.16833333333334</v>
      </c>
      <c r="T2592" s="8">
        <f t="shared" si="121"/>
        <v>922.83166666666671</v>
      </c>
      <c r="U2592" s="9">
        <f t="shared" si="122"/>
        <v>8.6110480396883418</v>
      </c>
    </row>
    <row r="2593" spans="1:22" outlineLevel="2">
      <c r="A2593" t="s">
        <v>630</v>
      </c>
      <c r="B2593" t="s">
        <v>631</v>
      </c>
      <c r="C2593" t="s">
        <v>83</v>
      </c>
      <c r="D2593" t="s">
        <v>84</v>
      </c>
      <c r="E2593" s="4">
        <v>0</v>
      </c>
      <c r="F2593" s="4">
        <v>0</v>
      </c>
      <c r="G2593" s="4">
        <v>0</v>
      </c>
      <c r="H2593" s="4">
        <v>0</v>
      </c>
      <c r="I2593" s="4">
        <v>217</v>
      </c>
      <c r="J2593" s="4">
        <v>0</v>
      </c>
      <c r="K2593" s="4">
        <v>871.59999999999991</v>
      </c>
      <c r="L2593" s="4">
        <v>0</v>
      </c>
      <c r="M2593" s="4">
        <v>0</v>
      </c>
      <c r="N2593" s="4">
        <v>0</v>
      </c>
      <c r="O2593" s="4">
        <v>0</v>
      </c>
      <c r="P2593" s="4">
        <v>0</v>
      </c>
      <c r="Q2593" s="4">
        <v>532.67999999999995</v>
      </c>
      <c r="S2593" s="8">
        <f t="shared" si="120"/>
        <v>88.779999999999987</v>
      </c>
      <c r="T2593" s="8">
        <f t="shared" si="121"/>
        <v>-88.779999999999987</v>
      </c>
      <c r="U2593" s="9">
        <f t="shared" si="122"/>
        <v>-1</v>
      </c>
    </row>
    <row r="2594" spans="1:22" outlineLevel="2">
      <c r="A2594" t="s">
        <v>630</v>
      </c>
      <c r="B2594" t="s">
        <v>631</v>
      </c>
      <c r="C2594" t="s">
        <v>85</v>
      </c>
      <c r="D2594" t="s">
        <v>86</v>
      </c>
      <c r="E2594" s="4">
        <v>0</v>
      </c>
      <c r="F2594" s="4">
        <v>0</v>
      </c>
      <c r="G2594" s="4">
        <v>0</v>
      </c>
      <c r="H2594" s="4">
        <v>0</v>
      </c>
      <c r="I2594" s="4">
        <v>0</v>
      </c>
      <c r="J2594" s="4">
        <v>0</v>
      </c>
      <c r="K2594" s="4">
        <v>0</v>
      </c>
      <c r="L2594" s="4">
        <v>0</v>
      </c>
      <c r="M2594" s="4">
        <v>0</v>
      </c>
      <c r="N2594" s="4">
        <v>0</v>
      </c>
      <c r="O2594" s="4">
        <v>0</v>
      </c>
      <c r="P2594" s="4">
        <v>0</v>
      </c>
      <c r="Q2594" s="4">
        <v>0</v>
      </c>
      <c r="S2594" s="8">
        <f t="shared" si="120"/>
        <v>0</v>
      </c>
      <c r="T2594" s="8">
        <f t="shared" si="121"/>
        <v>0</v>
      </c>
      <c r="U2594" s="9" t="e">
        <f t="shared" si="122"/>
        <v>#DIV/0!</v>
      </c>
    </row>
    <row r="2595" spans="1:22" outlineLevel="2">
      <c r="A2595" t="s">
        <v>630</v>
      </c>
      <c r="B2595" t="s">
        <v>631</v>
      </c>
      <c r="C2595" t="s">
        <v>87</v>
      </c>
      <c r="D2595" t="s">
        <v>88</v>
      </c>
      <c r="E2595" s="4">
        <v>238.77</v>
      </c>
      <c r="F2595" s="4">
        <v>0</v>
      </c>
      <c r="G2595" s="4">
        <v>0</v>
      </c>
      <c r="H2595" s="4">
        <v>0</v>
      </c>
      <c r="I2595" s="4">
        <v>0</v>
      </c>
      <c r="J2595" s="4">
        <v>0</v>
      </c>
      <c r="K2595" s="4">
        <v>0</v>
      </c>
      <c r="L2595" s="4">
        <v>0</v>
      </c>
      <c r="M2595" s="4">
        <v>0</v>
      </c>
      <c r="N2595" s="4">
        <v>0</v>
      </c>
      <c r="O2595" s="4">
        <v>0</v>
      </c>
      <c r="P2595" s="4">
        <v>0</v>
      </c>
      <c r="Q2595" s="4">
        <v>0</v>
      </c>
      <c r="S2595" s="8">
        <f t="shared" si="120"/>
        <v>0</v>
      </c>
      <c r="T2595" s="8">
        <f t="shared" si="121"/>
        <v>0</v>
      </c>
      <c r="U2595" s="9" t="e">
        <f t="shared" si="122"/>
        <v>#DIV/0!</v>
      </c>
    </row>
    <row r="2596" spans="1:22" outlineLevel="2">
      <c r="A2596" t="s">
        <v>630</v>
      </c>
      <c r="B2596" t="s">
        <v>631</v>
      </c>
      <c r="C2596" t="s">
        <v>89</v>
      </c>
      <c r="D2596" t="s">
        <v>90</v>
      </c>
      <c r="E2596" s="4">
        <v>105.6</v>
      </c>
      <c r="F2596" s="4">
        <v>0</v>
      </c>
      <c r="G2596" s="4">
        <v>0</v>
      </c>
      <c r="H2596" s="4">
        <v>0</v>
      </c>
      <c r="I2596" s="4">
        <v>0</v>
      </c>
      <c r="J2596" s="4">
        <v>0</v>
      </c>
      <c r="K2596" s="4">
        <v>0</v>
      </c>
      <c r="L2596" s="4">
        <v>0</v>
      </c>
      <c r="M2596" s="4">
        <v>0</v>
      </c>
      <c r="N2596" s="4">
        <v>0</v>
      </c>
      <c r="O2596" s="4">
        <v>0</v>
      </c>
      <c r="P2596" s="4">
        <v>0</v>
      </c>
      <c r="Q2596" s="4">
        <v>0</v>
      </c>
      <c r="S2596" s="8">
        <f t="shared" si="120"/>
        <v>0</v>
      </c>
      <c r="T2596" s="8">
        <f t="shared" si="121"/>
        <v>0</v>
      </c>
      <c r="U2596" s="9" t="e">
        <f t="shared" si="122"/>
        <v>#DIV/0!</v>
      </c>
    </row>
    <row r="2597" spans="1:22" outlineLevel="2">
      <c r="A2597" t="s">
        <v>630</v>
      </c>
      <c r="B2597" t="s">
        <v>631</v>
      </c>
      <c r="C2597" t="s">
        <v>166</v>
      </c>
      <c r="D2597" t="s">
        <v>167</v>
      </c>
      <c r="E2597" s="4">
        <v>0</v>
      </c>
      <c r="F2597" s="4">
        <v>0</v>
      </c>
      <c r="G2597" s="4">
        <v>0</v>
      </c>
      <c r="H2597" s="4">
        <v>0</v>
      </c>
      <c r="I2597" s="4">
        <v>100</v>
      </c>
      <c r="J2597" s="4">
        <v>0</v>
      </c>
      <c r="K2597" s="4">
        <v>48.89</v>
      </c>
      <c r="L2597" s="4">
        <v>0</v>
      </c>
      <c r="M2597" s="4">
        <v>0</v>
      </c>
      <c r="N2597" s="4">
        <v>0</v>
      </c>
      <c r="O2597" s="4">
        <v>0</v>
      </c>
      <c r="P2597" s="4">
        <v>0</v>
      </c>
      <c r="Q2597" s="4">
        <v>140</v>
      </c>
      <c r="S2597" s="8">
        <f t="shared" si="120"/>
        <v>23.333333333333332</v>
      </c>
      <c r="T2597" s="8">
        <f t="shared" si="121"/>
        <v>-23.333333333333332</v>
      </c>
      <c r="U2597" s="9">
        <f t="shared" si="122"/>
        <v>-1</v>
      </c>
    </row>
    <row r="2598" spans="1:22" outlineLevel="2">
      <c r="A2598" t="s">
        <v>630</v>
      </c>
      <c r="B2598" t="s">
        <v>631</v>
      </c>
      <c r="C2598" t="s">
        <v>168</v>
      </c>
      <c r="D2598" t="s">
        <v>169</v>
      </c>
      <c r="E2598" s="4">
        <v>2960</v>
      </c>
      <c r="F2598" s="4">
        <v>0</v>
      </c>
      <c r="G2598" s="4">
        <v>0</v>
      </c>
      <c r="H2598" s="4">
        <v>0</v>
      </c>
      <c r="I2598" s="4">
        <v>0</v>
      </c>
      <c r="J2598" s="4">
        <v>0</v>
      </c>
      <c r="K2598" s="4">
        <v>0</v>
      </c>
      <c r="L2598" s="4">
        <v>0</v>
      </c>
      <c r="M2598" s="4">
        <v>0</v>
      </c>
      <c r="N2598" s="4">
        <v>0</v>
      </c>
      <c r="O2598" s="4">
        <v>0</v>
      </c>
      <c r="P2598" s="4">
        <v>0</v>
      </c>
      <c r="Q2598" s="4">
        <v>0</v>
      </c>
      <c r="S2598" s="8">
        <f t="shared" si="120"/>
        <v>0</v>
      </c>
      <c r="T2598" s="8">
        <f t="shared" si="121"/>
        <v>0</v>
      </c>
      <c r="U2598" s="9" t="e">
        <f t="shared" si="122"/>
        <v>#DIV/0!</v>
      </c>
    </row>
    <row r="2599" spans="1:22" outlineLevel="2">
      <c r="A2599" t="s">
        <v>630</v>
      </c>
      <c r="B2599" t="s">
        <v>631</v>
      </c>
      <c r="C2599" t="s">
        <v>99</v>
      </c>
      <c r="D2599" t="s">
        <v>100</v>
      </c>
      <c r="E2599" s="4">
        <v>0</v>
      </c>
      <c r="F2599" s="4">
        <v>0</v>
      </c>
      <c r="G2599" s="4">
        <v>0</v>
      </c>
      <c r="H2599" s="4">
        <v>0</v>
      </c>
      <c r="I2599" s="4">
        <v>0</v>
      </c>
      <c r="J2599" s="4">
        <v>0</v>
      </c>
      <c r="K2599" s="4">
        <v>0</v>
      </c>
      <c r="L2599" s="4">
        <v>0</v>
      </c>
      <c r="M2599" s="4">
        <v>0</v>
      </c>
      <c r="N2599" s="4">
        <v>0</v>
      </c>
      <c r="O2599" s="4">
        <v>0</v>
      </c>
      <c r="P2599" s="4">
        <v>0</v>
      </c>
      <c r="Q2599" s="4">
        <v>0</v>
      </c>
      <c r="R2599" s="4">
        <v>6193.67</v>
      </c>
      <c r="S2599" s="8">
        <f t="shared" si="120"/>
        <v>0</v>
      </c>
      <c r="T2599" s="8">
        <f t="shared" si="121"/>
        <v>6193.67</v>
      </c>
      <c r="U2599" s="9" t="e">
        <f t="shared" si="122"/>
        <v>#DIV/0!</v>
      </c>
      <c r="V2599" t="s">
        <v>895</v>
      </c>
    </row>
    <row r="2600" spans="1:22" outlineLevel="2">
      <c r="A2600" t="s">
        <v>630</v>
      </c>
      <c r="B2600" t="s">
        <v>631</v>
      </c>
      <c r="C2600" t="s">
        <v>101</v>
      </c>
      <c r="D2600" t="s">
        <v>102</v>
      </c>
      <c r="E2600" s="4">
        <v>0</v>
      </c>
      <c r="F2600" s="4">
        <v>0</v>
      </c>
      <c r="G2600" s="4">
        <v>0</v>
      </c>
      <c r="H2600" s="4">
        <v>0</v>
      </c>
      <c r="I2600" s="4">
        <v>0</v>
      </c>
      <c r="J2600" s="4">
        <v>0</v>
      </c>
      <c r="K2600" s="4">
        <v>0</v>
      </c>
      <c r="L2600" s="4">
        <v>0</v>
      </c>
      <c r="M2600" s="4">
        <v>0</v>
      </c>
      <c r="N2600" s="4">
        <v>0</v>
      </c>
      <c r="O2600" s="4">
        <v>0</v>
      </c>
      <c r="P2600" s="4">
        <v>0</v>
      </c>
      <c r="Q2600" s="4">
        <v>1993.6</v>
      </c>
      <c r="R2600" s="4">
        <v>2555.5</v>
      </c>
      <c r="S2600" s="8">
        <f t="shared" si="120"/>
        <v>332.26666666666665</v>
      </c>
      <c r="T2600" s="8">
        <f t="shared" si="121"/>
        <v>2223.2333333333336</v>
      </c>
      <c r="U2600" s="9">
        <f t="shared" si="122"/>
        <v>6.6911115569823449</v>
      </c>
    </row>
    <row r="2601" spans="1:22" outlineLevel="2">
      <c r="A2601" t="s">
        <v>630</v>
      </c>
      <c r="B2601" t="s">
        <v>631</v>
      </c>
      <c r="C2601" t="s">
        <v>103</v>
      </c>
      <c r="D2601" t="s">
        <v>104</v>
      </c>
      <c r="E2601" s="4">
        <v>75</v>
      </c>
      <c r="F2601" s="4">
        <v>0</v>
      </c>
      <c r="G2601" s="4">
        <v>0</v>
      </c>
      <c r="H2601" s="4">
        <v>0</v>
      </c>
      <c r="I2601" s="4">
        <v>0</v>
      </c>
      <c r="J2601" s="4">
        <v>0</v>
      </c>
      <c r="K2601" s="4">
        <v>0</v>
      </c>
      <c r="L2601" s="4">
        <v>0</v>
      </c>
      <c r="M2601" s="4">
        <v>0</v>
      </c>
      <c r="N2601" s="4">
        <v>0</v>
      </c>
      <c r="O2601" s="4">
        <v>0</v>
      </c>
      <c r="P2601" s="4">
        <v>0</v>
      </c>
      <c r="Q2601" s="4">
        <v>0</v>
      </c>
      <c r="S2601" s="8">
        <f t="shared" si="120"/>
        <v>0</v>
      </c>
      <c r="T2601" s="8">
        <f t="shared" si="121"/>
        <v>0</v>
      </c>
      <c r="U2601" s="9" t="e">
        <f t="shared" si="122"/>
        <v>#DIV/0!</v>
      </c>
    </row>
    <row r="2602" spans="1:22" outlineLevel="2">
      <c r="A2602" t="s">
        <v>630</v>
      </c>
      <c r="B2602" t="s">
        <v>631</v>
      </c>
      <c r="C2602" t="s">
        <v>111</v>
      </c>
      <c r="D2602" t="s">
        <v>112</v>
      </c>
      <c r="E2602" s="4">
        <v>0</v>
      </c>
      <c r="F2602" s="4">
        <v>0</v>
      </c>
      <c r="G2602" s="4">
        <v>0</v>
      </c>
      <c r="H2602" s="4">
        <v>0</v>
      </c>
      <c r="I2602" s="4">
        <v>0</v>
      </c>
      <c r="J2602" s="4">
        <v>0</v>
      </c>
      <c r="K2602" s="4">
        <v>0</v>
      </c>
      <c r="L2602" s="4">
        <v>0</v>
      </c>
      <c r="M2602" s="4">
        <v>0</v>
      </c>
      <c r="N2602" s="4">
        <v>0</v>
      </c>
      <c r="O2602" s="4">
        <v>0</v>
      </c>
      <c r="P2602" s="4">
        <v>0</v>
      </c>
      <c r="Q2602" s="4">
        <v>659.73</v>
      </c>
      <c r="R2602" s="4">
        <v>500</v>
      </c>
      <c r="S2602" s="8">
        <f t="shared" si="120"/>
        <v>109.955</v>
      </c>
      <c r="T2602" s="8">
        <f t="shared" si="121"/>
        <v>390.04500000000002</v>
      </c>
      <c r="U2602" s="9">
        <f t="shared" si="122"/>
        <v>3.5473148106043384</v>
      </c>
    </row>
    <row r="2603" spans="1:22" outlineLevel="2">
      <c r="A2603" t="s">
        <v>630</v>
      </c>
      <c r="B2603" t="s">
        <v>631</v>
      </c>
      <c r="C2603" t="s">
        <v>628</v>
      </c>
      <c r="D2603" t="s">
        <v>629</v>
      </c>
      <c r="E2603" s="4">
        <v>20.89</v>
      </c>
      <c r="F2603" s="4">
        <v>0</v>
      </c>
      <c r="G2603" s="4">
        <v>0</v>
      </c>
      <c r="H2603" s="4">
        <v>0</v>
      </c>
      <c r="I2603" s="4">
        <v>0</v>
      </c>
      <c r="J2603" s="4">
        <v>0</v>
      </c>
      <c r="K2603" s="4">
        <v>0</v>
      </c>
      <c r="L2603" s="4">
        <v>0</v>
      </c>
      <c r="M2603" s="4">
        <v>0</v>
      </c>
      <c r="N2603" s="4">
        <v>0</v>
      </c>
      <c r="O2603" s="4">
        <v>0</v>
      </c>
      <c r="P2603" s="4">
        <v>0</v>
      </c>
      <c r="Q2603" s="4">
        <v>0</v>
      </c>
      <c r="S2603" s="8">
        <f t="shared" si="120"/>
        <v>0</v>
      </c>
      <c r="T2603" s="8">
        <f t="shared" si="121"/>
        <v>0</v>
      </c>
      <c r="U2603" s="9" t="e">
        <f t="shared" si="122"/>
        <v>#DIV/0!</v>
      </c>
    </row>
    <row r="2604" spans="1:22" outlineLevel="1">
      <c r="A2604" s="1" t="s">
        <v>860</v>
      </c>
      <c r="E2604" s="4">
        <f>SUBTOTAL(9,E2577:E2603)</f>
        <v>9191.26</v>
      </c>
      <c r="F2604" s="4">
        <f>SUBTOTAL(9,F2577:F2603)</f>
        <v>128.52000000000001</v>
      </c>
      <c r="G2604" s="4">
        <f>SUBTOTAL(9,G2577:G2603)</f>
        <v>0</v>
      </c>
      <c r="H2604" s="4">
        <f>SUBTOTAL(9,H2577:H2603)</f>
        <v>0</v>
      </c>
      <c r="I2604" s="4">
        <f>SUBTOTAL(9,I2577:I2603)</f>
        <v>317</v>
      </c>
      <c r="J2604" s="4">
        <f>SUBTOTAL(9,J2577:J2603)</f>
        <v>0</v>
      </c>
      <c r="K2604" s="4">
        <f>SUBTOTAL(9,K2577:K2603)</f>
        <v>2795.24</v>
      </c>
      <c r="L2604" s="4">
        <f>SUBTOTAL(9,L2577:L2603)</f>
        <v>-5000</v>
      </c>
      <c r="M2604" s="4">
        <f>SUBTOTAL(9,M2577:M2603)</f>
        <v>0</v>
      </c>
      <c r="N2604" s="4">
        <f>SUBTOTAL(9,N2577:N2603)</f>
        <v>2585.1999999999998</v>
      </c>
      <c r="O2604" s="4">
        <f>SUBTOTAL(9,O2577:O2603)</f>
        <v>0</v>
      </c>
      <c r="P2604" s="4">
        <f>SUBTOTAL(9,P2577:P2603)</f>
        <v>-933.63000000000034</v>
      </c>
      <c r="Q2604" s="4">
        <f>SUBTOTAL(9,Q2577:Q2603)</f>
        <v>8263.43</v>
      </c>
      <c r="R2604" s="4">
        <f>SUBTOTAL(9,R2577:R2603)</f>
        <v>12376.3</v>
      </c>
      <c r="S2604" s="8">
        <f t="shared" si="120"/>
        <v>819.16666666666663</v>
      </c>
      <c r="T2604" s="8">
        <f t="shared" si="121"/>
        <v>11557.133333333333</v>
      </c>
      <c r="U2604" s="9">
        <f t="shared" si="122"/>
        <v>14.108402848423195</v>
      </c>
      <c r="V2604" t="s">
        <v>895</v>
      </c>
    </row>
    <row r="2605" spans="1:22" outlineLevel="2">
      <c r="A2605" t="s">
        <v>632</v>
      </c>
      <c r="B2605" t="s">
        <v>633</v>
      </c>
      <c r="C2605" t="s">
        <v>63</v>
      </c>
      <c r="D2605" t="s">
        <v>64</v>
      </c>
      <c r="E2605" s="4">
        <v>25.6</v>
      </c>
      <c r="F2605" s="4">
        <v>25.6</v>
      </c>
      <c r="G2605" s="4">
        <v>25.6</v>
      </c>
      <c r="H2605" s="4">
        <v>653.41999999999996</v>
      </c>
      <c r="I2605" s="4">
        <v>36.610000000000007</v>
      </c>
      <c r="J2605" s="4">
        <v>1947.39</v>
      </c>
      <c r="K2605" s="4">
        <v>387.14</v>
      </c>
      <c r="L2605" s="4">
        <v>-25.6</v>
      </c>
      <c r="M2605" s="4">
        <v>25.5</v>
      </c>
      <c r="N2605" s="4">
        <v>51</v>
      </c>
      <c r="O2605" s="4">
        <v>0</v>
      </c>
      <c r="P2605" s="4">
        <v>51</v>
      </c>
      <c r="Q2605" s="4">
        <v>148.65</v>
      </c>
      <c r="S2605" s="8">
        <f t="shared" si="120"/>
        <v>41.758333333333333</v>
      </c>
      <c r="T2605" s="8">
        <f t="shared" si="121"/>
        <v>-41.758333333333333</v>
      </c>
      <c r="U2605" s="9">
        <f t="shared" si="122"/>
        <v>-1</v>
      </c>
    </row>
    <row r="2606" spans="1:22" outlineLevel="1">
      <c r="A2606" s="1" t="s">
        <v>861</v>
      </c>
      <c r="E2606" s="4">
        <f>SUBTOTAL(9,E2605:E2605)</f>
        <v>25.6</v>
      </c>
      <c r="F2606" s="4">
        <f>SUBTOTAL(9,F2605:F2605)</f>
        <v>25.6</v>
      </c>
      <c r="G2606" s="4">
        <f>SUBTOTAL(9,G2605:G2605)</f>
        <v>25.6</v>
      </c>
      <c r="H2606" s="4">
        <f>SUBTOTAL(9,H2605:H2605)</f>
        <v>653.41999999999996</v>
      </c>
      <c r="I2606" s="4">
        <f>SUBTOTAL(9,I2605:I2605)</f>
        <v>36.610000000000007</v>
      </c>
      <c r="J2606" s="4">
        <f>SUBTOTAL(9,J2605:J2605)</f>
        <v>1947.39</v>
      </c>
      <c r="K2606" s="4">
        <f>SUBTOTAL(9,K2605:K2605)</f>
        <v>387.14</v>
      </c>
      <c r="L2606" s="4">
        <f>SUBTOTAL(9,L2605:L2605)</f>
        <v>-25.6</v>
      </c>
      <c r="M2606" s="4">
        <f>SUBTOTAL(9,M2605:M2605)</f>
        <v>25.5</v>
      </c>
      <c r="N2606" s="4">
        <f>SUBTOTAL(9,N2605:N2605)</f>
        <v>51</v>
      </c>
      <c r="O2606" s="4">
        <f>SUBTOTAL(9,O2605:O2605)</f>
        <v>0</v>
      </c>
      <c r="P2606" s="4">
        <f>SUBTOTAL(9,P2605:P2605)</f>
        <v>51</v>
      </c>
      <c r="Q2606" s="4">
        <f>SUBTOTAL(9,Q2605:Q2605)</f>
        <v>148.65</v>
      </c>
      <c r="R2606" s="4">
        <f>SUBTOTAL(9,R2605:R2605)</f>
        <v>0</v>
      </c>
      <c r="S2606" s="8">
        <f t="shared" si="120"/>
        <v>41.758333333333333</v>
      </c>
      <c r="T2606" s="8">
        <f t="shared" si="121"/>
        <v>-41.758333333333333</v>
      </c>
      <c r="U2606" s="9">
        <f t="shared" si="122"/>
        <v>-1</v>
      </c>
    </row>
    <row r="2607" spans="1:22" outlineLevel="2">
      <c r="A2607" t="s">
        <v>634</v>
      </c>
      <c r="B2607" t="s">
        <v>247</v>
      </c>
      <c r="C2607" t="s">
        <v>21</v>
      </c>
      <c r="D2607" t="s">
        <v>22</v>
      </c>
      <c r="E2607" s="4">
        <v>269.08999999999997</v>
      </c>
      <c r="F2607" s="4">
        <v>0</v>
      </c>
      <c r="G2607" s="4">
        <v>432.55000000000007</v>
      </c>
      <c r="H2607" s="4">
        <v>254.41</v>
      </c>
      <c r="I2607" s="4">
        <v>785.62000000000012</v>
      </c>
      <c r="J2607" s="4">
        <v>788.51</v>
      </c>
      <c r="K2607" s="4">
        <v>372.87</v>
      </c>
      <c r="L2607" s="4">
        <v>327.27999999999997</v>
      </c>
      <c r="M2607" s="4">
        <v>192.49</v>
      </c>
      <c r="N2607" s="4">
        <v>257.44</v>
      </c>
      <c r="O2607" s="4">
        <v>231.01</v>
      </c>
      <c r="P2607" s="4">
        <v>0</v>
      </c>
      <c r="Q2607" s="4">
        <v>287.76</v>
      </c>
      <c r="S2607" s="8">
        <f t="shared" si="120"/>
        <v>215.99666666666667</v>
      </c>
      <c r="T2607" s="8">
        <f t="shared" si="121"/>
        <v>-215.99666666666667</v>
      </c>
      <c r="U2607" s="9">
        <f t="shared" si="122"/>
        <v>-1</v>
      </c>
    </row>
    <row r="2608" spans="1:22" outlineLevel="2">
      <c r="A2608" t="s">
        <v>634</v>
      </c>
      <c r="B2608" t="s">
        <v>247</v>
      </c>
      <c r="C2608" t="s">
        <v>23</v>
      </c>
      <c r="D2608" t="s">
        <v>24</v>
      </c>
      <c r="E2608" s="4">
        <v>712.18</v>
      </c>
      <c r="F2608" s="4">
        <v>346.95</v>
      </c>
      <c r="G2608" s="4">
        <v>2982.36</v>
      </c>
      <c r="H2608" s="4">
        <v>1582.6099999999997</v>
      </c>
      <c r="I2608" s="4">
        <v>2892.14</v>
      </c>
      <c r="J2608" s="4">
        <v>4688.9399999999996</v>
      </c>
      <c r="K2608" s="4">
        <v>1226.32</v>
      </c>
      <c r="L2608" s="4">
        <v>1594.14</v>
      </c>
      <c r="M2608" s="4">
        <v>0</v>
      </c>
      <c r="N2608" s="4">
        <v>305.01</v>
      </c>
      <c r="O2608" s="4">
        <v>0</v>
      </c>
      <c r="P2608" s="4">
        <v>0</v>
      </c>
      <c r="Q2608" s="4">
        <v>21</v>
      </c>
      <c r="S2608" s="8">
        <f t="shared" si="120"/>
        <v>320.02500000000003</v>
      </c>
      <c r="T2608" s="8">
        <f t="shared" si="121"/>
        <v>-320.02500000000003</v>
      </c>
      <c r="U2608" s="9">
        <f t="shared" si="122"/>
        <v>-1</v>
      </c>
    </row>
    <row r="2609" spans="1:21" outlineLevel="2">
      <c r="A2609" t="s">
        <v>634</v>
      </c>
      <c r="B2609" t="s">
        <v>247</v>
      </c>
      <c r="C2609" t="s">
        <v>25</v>
      </c>
      <c r="D2609" t="s">
        <v>26</v>
      </c>
      <c r="E2609" s="4">
        <v>0</v>
      </c>
      <c r="F2609" s="4">
        <v>0</v>
      </c>
      <c r="G2609" s="4">
        <v>0</v>
      </c>
      <c r="H2609" s="4">
        <v>0</v>
      </c>
      <c r="I2609" s="4">
        <v>0</v>
      </c>
      <c r="J2609" s="4">
        <v>0</v>
      </c>
      <c r="K2609" s="4">
        <v>0</v>
      </c>
      <c r="L2609" s="4">
        <v>0</v>
      </c>
      <c r="M2609" s="4">
        <v>665.56</v>
      </c>
      <c r="N2609" s="4">
        <v>838.64</v>
      </c>
      <c r="O2609" s="4">
        <v>695.94</v>
      </c>
      <c r="P2609" s="4">
        <v>0</v>
      </c>
      <c r="Q2609" s="4">
        <v>1316.6299999999999</v>
      </c>
      <c r="S2609" s="8">
        <f t="shared" si="120"/>
        <v>586.12833333333322</v>
      </c>
      <c r="T2609" s="8">
        <f t="shared" si="121"/>
        <v>-586.12833333333322</v>
      </c>
      <c r="U2609" s="9">
        <f t="shared" si="122"/>
        <v>-1</v>
      </c>
    </row>
    <row r="2610" spans="1:21" outlineLevel="2">
      <c r="A2610" t="s">
        <v>634</v>
      </c>
      <c r="B2610" t="s">
        <v>247</v>
      </c>
      <c r="C2610" t="s">
        <v>27</v>
      </c>
      <c r="D2610" t="s">
        <v>28</v>
      </c>
      <c r="E2610" s="4">
        <v>0</v>
      </c>
      <c r="F2610" s="4">
        <v>0</v>
      </c>
      <c r="G2610" s="4">
        <v>0</v>
      </c>
      <c r="H2610" s="4">
        <v>0</v>
      </c>
      <c r="I2610" s="4">
        <v>0</v>
      </c>
      <c r="J2610" s="4">
        <v>0</v>
      </c>
      <c r="K2610" s="4">
        <v>0</v>
      </c>
      <c r="L2610" s="4">
        <v>0</v>
      </c>
      <c r="M2610" s="4">
        <v>418.6</v>
      </c>
      <c r="N2610" s="4">
        <v>469.96</v>
      </c>
      <c r="O2610" s="4">
        <v>631.04</v>
      </c>
      <c r="P2610" s="4">
        <v>0</v>
      </c>
      <c r="Q2610" s="4">
        <v>791</v>
      </c>
      <c r="S2610" s="8">
        <f t="shared" si="120"/>
        <v>385.09999999999997</v>
      </c>
      <c r="T2610" s="8">
        <f t="shared" si="121"/>
        <v>-385.09999999999997</v>
      </c>
      <c r="U2610" s="9">
        <f t="shared" si="122"/>
        <v>-1</v>
      </c>
    </row>
    <row r="2611" spans="1:21" outlineLevel="2">
      <c r="A2611" t="s">
        <v>634</v>
      </c>
      <c r="B2611" t="s">
        <v>247</v>
      </c>
      <c r="C2611" t="s">
        <v>180</v>
      </c>
      <c r="D2611" t="s">
        <v>181</v>
      </c>
      <c r="E2611" s="4">
        <v>0</v>
      </c>
      <c r="F2611" s="4">
        <v>0</v>
      </c>
      <c r="G2611" s="4">
        <v>0</v>
      </c>
      <c r="H2611" s="4">
        <v>0</v>
      </c>
      <c r="I2611" s="4">
        <v>0</v>
      </c>
      <c r="J2611" s="4">
        <v>0</v>
      </c>
      <c r="K2611" s="4">
        <v>0</v>
      </c>
      <c r="L2611" s="4">
        <v>0</v>
      </c>
      <c r="M2611" s="4">
        <v>0</v>
      </c>
      <c r="N2611" s="4">
        <v>0</v>
      </c>
      <c r="O2611" s="4">
        <v>0</v>
      </c>
      <c r="P2611" s="4">
        <v>0</v>
      </c>
      <c r="Q2611" s="4">
        <v>98.2</v>
      </c>
      <c r="S2611" s="8">
        <f t="shared" si="120"/>
        <v>16.366666666666667</v>
      </c>
      <c r="T2611" s="8">
        <f t="shared" si="121"/>
        <v>-16.366666666666667</v>
      </c>
      <c r="U2611" s="9">
        <f t="shared" si="122"/>
        <v>-1</v>
      </c>
    </row>
    <row r="2612" spans="1:21" outlineLevel="2">
      <c r="A2612" t="s">
        <v>634</v>
      </c>
      <c r="B2612" t="s">
        <v>247</v>
      </c>
      <c r="C2612" t="s">
        <v>51</v>
      </c>
      <c r="D2612" t="s">
        <v>52</v>
      </c>
      <c r="E2612" s="4">
        <v>567</v>
      </c>
      <c r="F2612" s="4">
        <v>-567</v>
      </c>
      <c r="G2612" s="4">
        <v>0</v>
      </c>
      <c r="H2612" s="4">
        <v>0</v>
      </c>
      <c r="I2612" s="4">
        <v>0</v>
      </c>
      <c r="J2612" s="4">
        <v>0</v>
      </c>
      <c r="K2612" s="4">
        <v>0</v>
      </c>
      <c r="L2612" s="4">
        <v>0</v>
      </c>
      <c r="M2612" s="4">
        <v>0</v>
      </c>
      <c r="N2612" s="4">
        <v>0</v>
      </c>
      <c r="O2612" s="4">
        <v>0</v>
      </c>
      <c r="P2612" s="4">
        <v>0</v>
      </c>
      <c r="Q2612" s="4">
        <v>0</v>
      </c>
      <c r="S2612" s="8">
        <f t="shared" si="120"/>
        <v>0</v>
      </c>
      <c r="T2612" s="8">
        <f t="shared" si="121"/>
        <v>0</v>
      </c>
      <c r="U2612" s="9" t="e">
        <f t="shared" si="122"/>
        <v>#DIV/0!</v>
      </c>
    </row>
    <row r="2613" spans="1:21" outlineLevel="2">
      <c r="A2613" t="s">
        <v>634</v>
      </c>
      <c r="B2613" t="s">
        <v>247</v>
      </c>
      <c r="C2613" t="s">
        <v>89</v>
      </c>
      <c r="D2613" t="s">
        <v>90</v>
      </c>
      <c r="E2613" s="4">
        <v>0</v>
      </c>
      <c r="F2613" s="4">
        <v>0</v>
      </c>
      <c r="G2613" s="4">
        <v>0</v>
      </c>
      <c r="H2613" s="4">
        <v>0</v>
      </c>
      <c r="I2613" s="4">
        <v>1000</v>
      </c>
      <c r="J2613" s="4">
        <v>10500</v>
      </c>
      <c r="K2613" s="4">
        <v>52.5</v>
      </c>
      <c r="L2613" s="4">
        <v>0</v>
      </c>
      <c r="M2613" s="4">
        <v>0</v>
      </c>
      <c r="N2613" s="4">
        <v>0</v>
      </c>
      <c r="O2613" s="4">
        <v>0</v>
      </c>
      <c r="P2613" s="4">
        <v>0</v>
      </c>
      <c r="Q2613" s="4">
        <v>0</v>
      </c>
      <c r="S2613" s="8">
        <f t="shared" si="120"/>
        <v>0</v>
      </c>
      <c r="T2613" s="8">
        <f t="shared" si="121"/>
        <v>0</v>
      </c>
      <c r="U2613" s="9" t="e">
        <f t="shared" si="122"/>
        <v>#DIV/0!</v>
      </c>
    </row>
    <row r="2614" spans="1:21" outlineLevel="2">
      <c r="A2614" t="s">
        <v>634</v>
      </c>
      <c r="B2614" t="s">
        <v>247</v>
      </c>
      <c r="C2614" t="s">
        <v>222</v>
      </c>
      <c r="D2614" t="s">
        <v>223</v>
      </c>
      <c r="E2614" s="4">
        <v>0</v>
      </c>
      <c r="F2614" s="4">
        <v>0</v>
      </c>
      <c r="G2614" s="4">
        <v>0</v>
      </c>
      <c r="H2614" s="4">
        <v>0</v>
      </c>
      <c r="I2614" s="4">
        <v>0</v>
      </c>
      <c r="J2614" s="4">
        <v>0</v>
      </c>
      <c r="K2614" s="4">
        <v>0</v>
      </c>
      <c r="L2614" s="4">
        <v>0</v>
      </c>
      <c r="M2614" s="4">
        <v>0</v>
      </c>
      <c r="N2614" s="4">
        <v>13500</v>
      </c>
      <c r="O2614" s="4">
        <v>13500</v>
      </c>
      <c r="P2614" s="4">
        <v>0</v>
      </c>
      <c r="Q2614" s="4">
        <v>0</v>
      </c>
      <c r="S2614" s="8">
        <f t="shared" si="120"/>
        <v>4500</v>
      </c>
      <c r="T2614" s="8">
        <f t="shared" si="121"/>
        <v>-4500</v>
      </c>
      <c r="U2614" s="9">
        <f t="shared" si="122"/>
        <v>-1</v>
      </c>
    </row>
    <row r="2615" spans="1:21" outlineLevel="2">
      <c r="A2615" t="s">
        <v>634</v>
      </c>
      <c r="B2615" t="s">
        <v>247</v>
      </c>
      <c r="C2615" t="s">
        <v>101</v>
      </c>
      <c r="D2615" t="s">
        <v>102</v>
      </c>
      <c r="E2615" s="4">
        <v>175320.71</v>
      </c>
      <c r="F2615" s="4">
        <v>60000</v>
      </c>
      <c r="G2615" s="4">
        <v>60000</v>
      </c>
      <c r="H2615" s="4">
        <v>60000</v>
      </c>
      <c r="I2615" s="4">
        <v>60000</v>
      </c>
      <c r="J2615" s="4">
        <v>60000</v>
      </c>
      <c r="K2615" s="4">
        <v>60000</v>
      </c>
      <c r="L2615" s="4">
        <v>60000</v>
      </c>
      <c r="M2615" s="4">
        <v>60000</v>
      </c>
      <c r="N2615" s="4">
        <v>60000</v>
      </c>
      <c r="O2615" s="4">
        <v>60000</v>
      </c>
      <c r="P2615" s="4">
        <v>60000</v>
      </c>
      <c r="Q2615" s="4">
        <v>70000</v>
      </c>
      <c r="R2615" s="4">
        <v>70000</v>
      </c>
      <c r="S2615" s="8">
        <f t="shared" si="120"/>
        <v>61666.666666666664</v>
      </c>
      <c r="T2615" s="8">
        <f t="shared" si="121"/>
        <v>8333.3333333333358</v>
      </c>
      <c r="U2615" s="9">
        <f t="shared" si="122"/>
        <v>0.13513513513513517</v>
      </c>
    </row>
    <row r="2616" spans="1:21" outlineLevel="2">
      <c r="A2616" t="s">
        <v>634</v>
      </c>
      <c r="B2616" t="s">
        <v>247</v>
      </c>
      <c r="C2616" t="s">
        <v>105</v>
      </c>
      <c r="D2616" t="s">
        <v>106</v>
      </c>
      <c r="E2616" s="4">
        <v>0</v>
      </c>
      <c r="F2616" s="4">
        <v>0</v>
      </c>
      <c r="G2616" s="4">
        <v>0</v>
      </c>
      <c r="H2616" s="4">
        <v>0</v>
      </c>
      <c r="I2616" s="4">
        <v>0</v>
      </c>
      <c r="J2616" s="4">
        <v>0</v>
      </c>
      <c r="K2616" s="4">
        <v>0</v>
      </c>
      <c r="L2616" s="4">
        <v>4980.75</v>
      </c>
      <c r="M2616" s="4">
        <v>0</v>
      </c>
      <c r="N2616" s="4">
        <v>65000</v>
      </c>
      <c r="O2616" s="4">
        <v>0</v>
      </c>
      <c r="P2616" s="4">
        <v>0</v>
      </c>
      <c r="Q2616" s="4">
        <v>0</v>
      </c>
      <c r="S2616" s="8">
        <f t="shared" si="120"/>
        <v>11663.458333333334</v>
      </c>
      <c r="T2616" s="8">
        <f t="shared" si="121"/>
        <v>-11663.458333333334</v>
      </c>
      <c r="U2616" s="9">
        <f t="shared" si="122"/>
        <v>-1</v>
      </c>
    </row>
    <row r="2617" spans="1:21" outlineLevel="2">
      <c r="A2617" t="s">
        <v>634</v>
      </c>
      <c r="B2617" t="s">
        <v>247</v>
      </c>
      <c r="C2617" t="s">
        <v>127</v>
      </c>
      <c r="D2617" t="s">
        <v>120</v>
      </c>
      <c r="E2617" s="4">
        <v>0</v>
      </c>
      <c r="F2617" s="4">
        <v>0</v>
      </c>
      <c r="G2617" s="4">
        <v>0</v>
      </c>
      <c r="H2617" s="4">
        <v>0</v>
      </c>
      <c r="I2617" s="4">
        <v>0</v>
      </c>
      <c r="J2617" s="4">
        <v>0</v>
      </c>
      <c r="K2617" s="4">
        <v>0</v>
      </c>
      <c r="L2617" s="4">
        <v>0</v>
      </c>
      <c r="M2617" s="4">
        <v>0</v>
      </c>
      <c r="N2617" s="4">
        <v>6</v>
      </c>
      <c r="O2617" s="4">
        <v>0</v>
      </c>
      <c r="P2617" s="4">
        <v>0</v>
      </c>
      <c r="Q2617" s="4">
        <v>0</v>
      </c>
      <c r="S2617" s="8">
        <f t="shared" si="120"/>
        <v>1</v>
      </c>
      <c r="T2617" s="8">
        <f t="shared" si="121"/>
        <v>-1</v>
      </c>
      <c r="U2617" s="9">
        <f t="shared" si="122"/>
        <v>-1</v>
      </c>
    </row>
    <row r="2618" spans="1:21" outlineLevel="1">
      <c r="A2618" s="1" t="s">
        <v>862</v>
      </c>
      <c r="E2618" s="4">
        <f>SUBTOTAL(9,E2607:E2617)</f>
        <v>176868.97999999998</v>
      </c>
      <c r="F2618" s="4">
        <f>SUBTOTAL(9,F2607:F2617)</f>
        <v>59779.95</v>
      </c>
      <c r="G2618" s="4">
        <f>SUBTOTAL(9,G2607:G2617)</f>
        <v>63414.91</v>
      </c>
      <c r="H2618" s="4">
        <f>SUBTOTAL(9,H2607:H2617)</f>
        <v>61837.02</v>
      </c>
      <c r="I2618" s="4">
        <f>SUBTOTAL(9,I2607:I2617)</f>
        <v>64677.760000000002</v>
      </c>
      <c r="J2618" s="4">
        <f>SUBTOTAL(9,J2607:J2617)</f>
        <v>75977.45</v>
      </c>
      <c r="K2618" s="4">
        <f>SUBTOTAL(9,K2607:K2617)</f>
        <v>61651.69</v>
      </c>
      <c r="L2618" s="4">
        <f>SUBTOTAL(9,L2607:L2617)</f>
        <v>66902.17</v>
      </c>
      <c r="M2618" s="4">
        <f>SUBTOTAL(9,M2607:M2617)</f>
        <v>61276.65</v>
      </c>
      <c r="N2618" s="4">
        <f>SUBTOTAL(9,N2607:N2617)</f>
        <v>140377.04999999999</v>
      </c>
      <c r="O2618" s="4">
        <f>SUBTOTAL(9,O2607:O2617)</f>
        <v>75057.990000000005</v>
      </c>
      <c r="P2618" s="4">
        <f>SUBTOTAL(9,P2607:P2617)</f>
        <v>60000</v>
      </c>
      <c r="Q2618" s="4">
        <f>SUBTOTAL(9,Q2607:Q2617)</f>
        <v>72514.59</v>
      </c>
      <c r="R2618" s="4">
        <f>SUBTOTAL(9,R2607:R2617)</f>
        <v>70000</v>
      </c>
      <c r="S2618" s="8">
        <f t="shared" si="120"/>
        <v>79354.741666666654</v>
      </c>
      <c r="T2618" s="8">
        <f t="shared" si="121"/>
        <v>-9354.7416666666541</v>
      </c>
      <c r="U2618" s="9">
        <f t="shared" si="122"/>
        <v>-0.11788510012371647</v>
      </c>
    </row>
    <row r="2619" spans="1:21" outlineLevel="2">
      <c r="A2619" t="s">
        <v>635</v>
      </c>
      <c r="B2619" t="s">
        <v>636</v>
      </c>
      <c r="C2619" t="s">
        <v>21</v>
      </c>
      <c r="D2619" t="s">
        <v>22</v>
      </c>
      <c r="E2619" s="4">
        <v>0</v>
      </c>
      <c r="F2619" s="4">
        <v>0</v>
      </c>
      <c r="G2619" s="4">
        <v>0</v>
      </c>
      <c r="H2619" s="4">
        <v>571.62</v>
      </c>
      <c r="I2619" s="4">
        <v>0</v>
      </c>
      <c r="J2619" s="4">
        <v>0</v>
      </c>
      <c r="K2619" s="4">
        <v>0</v>
      </c>
      <c r="L2619" s="4">
        <v>0</v>
      </c>
      <c r="M2619" s="4">
        <v>0</v>
      </c>
      <c r="N2619" s="4">
        <v>0</v>
      </c>
      <c r="O2619" s="4">
        <v>0</v>
      </c>
      <c r="P2619" s="4">
        <v>0</v>
      </c>
      <c r="Q2619" s="4">
        <v>0</v>
      </c>
      <c r="S2619" s="8">
        <f t="shared" si="120"/>
        <v>0</v>
      </c>
      <c r="T2619" s="8">
        <f t="shared" si="121"/>
        <v>0</v>
      </c>
      <c r="U2619" s="9" t="e">
        <f t="shared" si="122"/>
        <v>#DIV/0!</v>
      </c>
    </row>
    <row r="2620" spans="1:21" outlineLevel="2">
      <c r="A2620" t="s">
        <v>635</v>
      </c>
      <c r="B2620" t="s">
        <v>636</v>
      </c>
      <c r="C2620" t="s">
        <v>23</v>
      </c>
      <c r="D2620" t="s">
        <v>24</v>
      </c>
      <c r="E2620" s="4">
        <v>1537.45</v>
      </c>
      <c r="F2620" s="4">
        <v>0</v>
      </c>
      <c r="G2620" s="4">
        <v>0</v>
      </c>
      <c r="H2620" s="4">
        <v>2821.3</v>
      </c>
      <c r="I2620" s="4">
        <v>0</v>
      </c>
      <c r="J2620" s="4">
        <v>0</v>
      </c>
      <c r="K2620" s="4">
        <v>0</v>
      </c>
      <c r="L2620" s="4">
        <v>0</v>
      </c>
      <c r="M2620" s="4">
        <v>0</v>
      </c>
      <c r="N2620" s="4">
        <v>0</v>
      </c>
      <c r="O2620" s="4">
        <v>0</v>
      </c>
      <c r="P2620" s="4">
        <v>0</v>
      </c>
      <c r="Q2620" s="4">
        <v>0</v>
      </c>
      <c r="S2620" s="8">
        <f t="shared" si="120"/>
        <v>0</v>
      </c>
      <c r="T2620" s="8">
        <f t="shared" si="121"/>
        <v>0</v>
      </c>
      <c r="U2620" s="9" t="e">
        <f t="shared" si="122"/>
        <v>#DIV/0!</v>
      </c>
    </row>
    <row r="2621" spans="1:21" outlineLevel="2">
      <c r="A2621" t="s">
        <v>635</v>
      </c>
      <c r="B2621" t="s">
        <v>636</v>
      </c>
      <c r="C2621" t="s">
        <v>136</v>
      </c>
      <c r="D2621" t="s">
        <v>137</v>
      </c>
      <c r="E2621" s="4">
        <v>0</v>
      </c>
      <c r="F2621" s="4">
        <v>50460.51</v>
      </c>
      <c r="G2621" s="4">
        <v>6447.84</v>
      </c>
      <c r="H2621" s="4">
        <v>6239.85</v>
      </c>
      <c r="I2621" s="4">
        <v>6447.85</v>
      </c>
      <c r="J2621" s="4">
        <v>207.99</v>
      </c>
      <c r="K2621" s="4">
        <v>0</v>
      </c>
      <c r="L2621" s="4">
        <v>0</v>
      </c>
      <c r="M2621" s="4">
        <v>0</v>
      </c>
      <c r="N2621" s="4">
        <v>0</v>
      </c>
      <c r="O2621" s="4">
        <v>0</v>
      </c>
      <c r="P2621" s="4">
        <v>0</v>
      </c>
      <c r="Q2621" s="4">
        <v>0</v>
      </c>
      <c r="S2621" s="8">
        <f t="shared" si="120"/>
        <v>0</v>
      </c>
      <c r="T2621" s="8">
        <f t="shared" si="121"/>
        <v>0</v>
      </c>
      <c r="U2621" s="9" t="e">
        <f t="shared" si="122"/>
        <v>#DIV/0!</v>
      </c>
    </row>
    <row r="2622" spans="1:21" outlineLevel="2">
      <c r="A2622" t="s">
        <v>635</v>
      </c>
      <c r="B2622" t="s">
        <v>636</v>
      </c>
      <c r="C2622" t="s">
        <v>146</v>
      </c>
      <c r="D2622" t="s">
        <v>147</v>
      </c>
      <c r="E2622" s="4">
        <v>0</v>
      </c>
      <c r="F2622" s="4">
        <v>4596.76</v>
      </c>
      <c r="G2622" s="4">
        <v>891.16</v>
      </c>
      <c r="H2622" s="4">
        <v>623.98</v>
      </c>
      <c r="I2622" s="4">
        <v>0</v>
      </c>
      <c r="J2622" s="4">
        <v>291.19</v>
      </c>
      <c r="K2622" s="4">
        <v>0</v>
      </c>
      <c r="L2622" s="4">
        <v>0</v>
      </c>
      <c r="M2622" s="4">
        <v>0</v>
      </c>
      <c r="N2622" s="4">
        <v>0</v>
      </c>
      <c r="O2622" s="4">
        <v>0</v>
      </c>
      <c r="P2622" s="4">
        <v>0</v>
      </c>
      <c r="Q2622" s="4">
        <v>0</v>
      </c>
      <c r="S2622" s="8">
        <f t="shared" si="120"/>
        <v>0</v>
      </c>
      <c r="T2622" s="8">
        <f t="shared" si="121"/>
        <v>0</v>
      </c>
      <c r="U2622" s="9" t="e">
        <f t="shared" si="122"/>
        <v>#DIV/0!</v>
      </c>
    </row>
    <row r="2623" spans="1:21" outlineLevel="2">
      <c r="A2623" t="s">
        <v>635</v>
      </c>
      <c r="B2623" t="s">
        <v>636</v>
      </c>
      <c r="C2623" t="s">
        <v>150</v>
      </c>
      <c r="D2623" t="s">
        <v>151</v>
      </c>
      <c r="E2623" s="4">
        <v>0</v>
      </c>
      <c r="F2623" s="4">
        <v>0</v>
      </c>
      <c r="G2623" s="4">
        <v>0</v>
      </c>
      <c r="H2623" s="4">
        <v>0</v>
      </c>
      <c r="I2623" s="4">
        <v>0</v>
      </c>
      <c r="J2623" s="4">
        <v>0</v>
      </c>
      <c r="K2623" s="4">
        <v>0</v>
      </c>
      <c r="L2623" s="4">
        <v>0</v>
      </c>
      <c r="M2623" s="4">
        <v>142600</v>
      </c>
      <c r="N2623" s="4">
        <v>0</v>
      </c>
      <c r="O2623" s="4">
        <v>0</v>
      </c>
      <c r="P2623" s="4">
        <v>0</v>
      </c>
      <c r="Q2623" s="4">
        <v>0</v>
      </c>
      <c r="S2623" s="8">
        <f t="shared" si="120"/>
        <v>23766.666666666668</v>
      </c>
      <c r="T2623" s="8">
        <f t="shared" si="121"/>
        <v>-23766.666666666668</v>
      </c>
      <c r="U2623" s="9">
        <f t="shared" si="122"/>
        <v>-1</v>
      </c>
    </row>
    <row r="2624" spans="1:21" outlineLevel="2">
      <c r="A2624" t="s">
        <v>635</v>
      </c>
      <c r="B2624" t="s">
        <v>636</v>
      </c>
      <c r="C2624" t="s">
        <v>152</v>
      </c>
      <c r="D2624" t="s">
        <v>153</v>
      </c>
      <c r="E2624" s="4">
        <v>0</v>
      </c>
      <c r="F2624" s="4">
        <v>3852.16</v>
      </c>
      <c r="G2624" s="4">
        <v>645.32000000000005</v>
      </c>
      <c r="H2624" s="4">
        <v>442.09</v>
      </c>
      <c r="I2624" s="4">
        <v>456.81</v>
      </c>
      <c r="J2624" s="4">
        <v>206.3</v>
      </c>
      <c r="K2624" s="4">
        <v>0</v>
      </c>
      <c r="L2624" s="4">
        <v>0</v>
      </c>
      <c r="M2624" s="4">
        <v>0</v>
      </c>
      <c r="N2624" s="4">
        <v>0</v>
      </c>
      <c r="O2624" s="4">
        <v>0</v>
      </c>
      <c r="P2624" s="4">
        <v>0</v>
      </c>
      <c r="Q2624" s="4">
        <v>0</v>
      </c>
      <c r="S2624" s="8">
        <f t="shared" si="120"/>
        <v>0</v>
      </c>
      <c r="T2624" s="8">
        <f t="shared" si="121"/>
        <v>0</v>
      </c>
      <c r="U2624" s="9" t="e">
        <f t="shared" si="122"/>
        <v>#DIV/0!</v>
      </c>
    </row>
    <row r="2625" spans="1:21" outlineLevel="2">
      <c r="A2625" t="s">
        <v>635</v>
      </c>
      <c r="B2625" t="s">
        <v>636</v>
      </c>
      <c r="C2625" t="s">
        <v>154</v>
      </c>
      <c r="D2625" t="s">
        <v>155</v>
      </c>
      <c r="E2625" s="4">
        <v>0</v>
      </c>
      <c r="F2625" s="4">
        <v>457.9</v>
      </c>
      <c r="G2625" s="4">
        <v>0</v>
      </c>
      <c r="H2625" s="4">
        <v>0</v>
      </c>
      <c r="I2625" s="4">
        <v>0</v>
      </c>
      <c r="J2625" s="4">
        <v>0</v>
      </c>
      <c r="K2625" s="4">
        <v>0</v>
      </c>
      <c r="L2625" s="4">
        <v>0</v>
      </c>
      <c r="M2625" s="4">
        <v>0</v>
      </c>
      <c r="N2625" s="4">
        <v>0</v>
      </c>
      <c r="O2625" s="4">
        <v>0</v>
      </c>
      <c r="P2625" s="4">
        <v>0</v>
      </c>
      <c r="Q2625" s="4">
        <v>0</v>
      </c>
      <c r="S2625" s="8">
        <f t="shared" si="120"/>
        <v>0</v>
      </c>
      <c r="T2625" s="8">
        <f t="shared" si="121"/>
        <v>0</v>
      </c>
      <c r="U2625" s="9" t="e">
        <f t="shared" si="122"/>
        <v>#DIV/0!</v>
      </c>
    </row>
    <row r="2626" spans="1:21" outlineLevel="2">
      <c r="A2626" t="s">
        <v>635</v>
      </c>
      <c r="B2626" t="s">
        <v>636</v>
      </c>
      <c r="C2626" t="s">
        <v>218</v>
      </c>
      <c r="D2626" t="s">
        <v>219</v>
      </c>
      <c r="E2626" s="4">
        <v>1537297.5</v>
      </c>
      <c r="F2626" s="4">
        <v>0</v>
      </c>
      <c r="G2626" s="4">
        <v>0</v>
      </c>
      <c r="H2626" s="4">
        <v>0</v>
      </c>
      <c r="I2626" s="4">
        <v>0</v>
      </c>
      <c r="J2626" s="4">
        <v>0</v>
      </c>
      <c r="K2626" s="4">
        <v>0</v>
      </c>
      <c r="L2626" s="4">
        <v>0</v>
      </c>
      <c r="M2626" s="4">
        <v>0</v>
      </c>
      <c r="N2626" s="4">
        <v>0</v>
      </c>
      <c r="O2626" s="4">
        <v>0</v>
      </c>
      <c r="P2626" s="4">
        <v>0</v>
      </c>
      <c r="Q2626" s="4">
        <v>0</v>
      </c>
      <c r="S2626" s="8">
        <f t="shared" si="120"/>
        <v>0</v>
      </c>
      <c r="T2626" s="8">
        <f t="shared" si="121"/>
        <v>0</v>
      </c>
      <c r="U2626" s="9" t="e">
        <f t="shared" si="122"/>
        <v>#DIV/0!</v>
      </c>
    </row>
    <row r="2627" spans="1:21" outlineLevel="2">
      <c r="A2627" t="s">
        <v>635</v>
      </c>
      <c r="B2627" t="s">
        <v>636</v>
      </c>
      <c r="C2627" t="s">
        <v>61</v>
      </c>
      <c r="D2627" t="s">
        <v>62</v>
      </c>
      <c r="E2627" s="4">
        <v>10976.560000000001</v>
      </c>
      <c r="F2627" s="4">
        <v>0</v>
      </c>
      <c r="G2627" s="4">
        <v>0</v>
      </c>
      <c r="H2627" s="4">
        <v>0</v>
      </c>
      <c r="I2627" s="4">
        <v>0</v>
      </c>
      <c r="J2627" s="4">
        <v>0</v>
      </c>
      <c r="K2627" s="4">
        <v>0</v>
      </c>
      <c r="L2627" s="4">
        <v>0</v>
      </c>
      <c r="M2627" s="4">
        <v>0</v>
      </c>
      <c r="N2627" s="4">
        <v>0</v>
      </c>
      <c r="O2627" s="4">
        <v>0</v>
      </c>
      <c r="P2627" s="4">
        <v>0</v>
      </c>
      <c r="Q2627" s="4">
        <v>0</v>
      </c>
      <c r="S2627" s="8">
        <f t="shared" ref="S2627:S2690" si="123">AVERAGE(L2627:Q2627)</f>
        <v>0</v>
      </c>
      <c r="T2627" s="8">
        <f t="shared" ref="T2627:T2690" si="124">R2627-S2627</f>
        <v>0</v>
      </c>
      <c r="U2627" s="9" t="e">
        <f t="shared" ref="U2627:U2690" si="125">(R2627-S2627)/S2627</f>
        <v>#DIV/0!</v>
      </c>
    </row>
    <row r="2628" spans="1:21" outlineLevel="2">
      <c r="A2628" t="s">
        <v>635</v>
      </c>
      <c r="B2628" t="s">
        <v>636</v>
      </c>
      <c r="C2628" t="s">
        <v>93</v>
      </c>
      <c r="D2628" t="s">
        <v>94</v>
      </c>
      <c r="E2628" s="4">
        <v>404.54</v>
      </c>
      <c r="F2628" s="4">
        <v>0</v>
      </c>
      <c r="G2628" s="4">
        <v>0</v>
      </c>
      <c r="H2628" s="4">
        <v>0</v>
      </c>
      <c r="I2628" s="4">
        <v>0</v>
      </c>
      <c r="J2628" s="4">
        <v>0</v>
      </c>
      <c r="K2628" s="4">
        <v>0</v>
      </c>
      <c r="L2628" s="4">
        <v>0</v>
      </c>
      <c r="M2628" s="4">
        <v>0</v>
      </c>
      <c r="N2628" s="4">
        <v>0</v>
      </c>
      <c r="O2628" s="4">
        <v>0</v>
      </c>
      <c r="P2628" s="4">
        <v>0</v>
      </c>
      <c r="Q2628" s="4">
        <v>0</v>
      </c>
      <c r="S2628" s="8">
        <f t="shared" si="123"/>
        <v>0</v>
      </c>
      <c r="T2628" s="8">
        <f t="shared" si="124"/>
        <v>0</v>
      </c>
      <c r="U2628" s="9" t="e">
        <f t="shared" si="125"/>
        <v>#DIV/0!</v>
      </c>
    </row>
    <row r="2629" spans="1:21" outlineLevel="2">
      <c r="A2629" t="s">
        <v>635</v>
      </c>
      <c r="B2629" t="s">
        <v>636</v>
      </c>
      <c r="C2629" t="s">
        <v>168</v>
      </c>
      <c r="D2629" t="s">
        <v>169</v>
      </c>
      <c r="E2629" s="4">
        <v>6815.1600000000326</v>
      </c>
      <c r="F2629" s="4">
        <v>38707.450000000012</v>
      </c>
      <c r="G2629" s="4">
        <v>51557.649999999994</v>
      </c>
      <c r="H2629" s="4">
        <v>46744.69</v>
      </c>
      <c r="I2629" s="4">
        <v>-1278.8799999999792</v>
      </c>
      <c r="J2629" s="4">
        <v>10714.5</v>
      </c>
      <c r="K2629" s="4">
        <v>0</v>
      </c>
      <c r="L2629" s="4">
        <v>11347</v>
      </c>
      <c r="M2629" s="4">
        <v>19146</v>
      </c>
      <c r="N2629" s="4">
        <v>83893.5</v>
      </c>
      <c r="O2629" s="4">
        <v>43342.84</v>
      </c>
      <c r="P2629" s="4">
        <v>10936.5</v>
      </c>
      <c r="Q2629" s="4">
        <v>13957.5</v>
      </c>
      <c r="R2629" s="4">
        <v>-12631</v>
      </c>
      <c r="S2629" s="8">
        <f t="shared" si="123"/>
        <v>30437.223333333332</v>
      </c>
      <c r="T2629" s="8">
        <f t="shared" si="124"/>
        <v>-43068.223333333328</v>
      </c>
      <c r="U2629" s="9">
        <f t="shared" si="125"/>
        <v>-1.4149852915843066</v>
      </c>
    </row>
    <row r="2630" spans="1:21" outlineLevel="2">
      <c r="A2630" t="s">
        <v>635</v>
      </c>
      <c r="B2630" t="s">
        <v>636</v>
      </c>
      <c r="C2630" t="s">
        <v>99</v>
      </c>
      <c r="D2630" t="s">
        <v>100</v>
      </c>
      <c r="E2630" s="4">
        <v>7572.5</v>
      </c>
      <c r="F2630" s="4">
        <v>687232.39</v>
      </c>
      <c r="G2630" s="4">
        <v>308793.03999999998</v>
      </c>
      <c r="H2630" s="4">
        <v>423289.88</v>
      </c>
      <c r="I2630" s="4">
        <v>0</v>
      </c>
      <c r="J2630" s="4">
        <v>0</v>
      </c>
      <c r="K2630" s="4">
        <v>453986.17999999993</v>
      </c>
      <c r="L2630" s="4">
        <v>17783.41</v>
      </c>
      <c r="M2630" s="4">
        <v>0</v>
      </c>
      <c r="N2630" s="4">
        <v>0</v>
      </c>
      <c r="O2630" s="4">
        <v>0</v>
      </c>
      <c r="P2630" s="4">
        <v>0</v>
      </c>
      <c r="Q2630" s="4">
        <v>0</v>
      </c>
      <c r="S2630" s="8">
        <f t="shared" si="123"/>
        <v>2963.9016666666666</v>
      </c>
      <c r="T2630" s="8">
        <f t="shared" si="124"/>
        <v>-2963.9016666666666</v>
      </c>
      <c r="U2630" s="9">
        <f t="shared" si="125"/>
        <v>-1</v>
      </c>
    </row>
    <row r="2631" spans="1:21" outlineLevel="2">
      <c r="A2631" t="s">
        <v>635</v>
      </c>
      <c r="B2631" t="s">
        <v>636</v>
      </c>
      <c r="C2631" t="s">
        <v>101</v>
      </c>
      <c r="D2631" t="s">
        <v>102</v>
      </c>
      <c r="E2631" s="4">
        <v>33715.5</v>
      </c>
      <c r="F2631" s="4">
        <v>10328.5</v>
      </c>
      <c r="G2631" s="4">
        <v>292615.20999999996</v>
      </c>
      <c r="H2631" s="4">
        <v>-2715.5</v>
      </c>
      <c r="I2631" s="4">
        <v>67301.490000000005</v>
      </c>
      <c r="J2631" s="4">
        <v>0</v>
      </c>
      <c r="K2631" s="4">
        <v>-50000</v>
      </c>
      <c r="L2631" s="4">
        <v>-20089.650000000001</v>
      </c>
      <c r="M2631" s="4">
        <v>130500</v>
      </c>
      <c r="N2631" s="4">
        <v>95000</v>
      </c>
      <c r="O2631" s="4">
        <v>0</v>
      </c>
      <c r="P2631" s="4">
        <v>0</v>
      </c>
      <c r="Q2631" s="4">
        <v>0</v>
      </c>
      <c r="S2631" s="8">
        <f t="shared" si="123"/>
        <v>34235.058333333334</v>
      </c>
      <c r="T2631" s="8">
        <f t="shared" si="124"/>
        <v>-34235.058333333334</v>
      </c>
      <c r="U2631" s="9">
        <f t="shared" si="125"/>
        <v>-1</v>
      </c>
    </row>
    <row r="2632" spans="1:21" outlineLevel="2">
      <c r="A2632" t="s">
        <v>635</v>
      </c>
      <c r="B2632" t="s">
        <v>636</v>
      </c>
      <c r="C2632" t="s">
        <v>111</v>
      </c>
      <c r="D2632" t="s">
        <v>112</v>
      </c>
      <c r="E2632" s="4">
        <v>0</v>
      </c>
      <c r="F2632" s="4">
        <v>0</v>
      </c>
      <c r="G2632" s="4">
        <v>0</v>
      </c>
      <c r="H2632" s="4">
        <v>0</v>
      </c>
      <c r="I2632" s="4">
        <v>198879.03</v>
      </c>
      <c r="J2632" s="4">
        <v>0</v>
      </c>
      <c r="K2632" s="4">
        <v>0</v>
      </c>
      <c r="L2632" s="4">
        <v>0</v>
      </c>
      <c r="M2632" s="4">
        <v>0</v>
      </c>
      <c r="N2632" s="4">
        <v>0</v>
      </c>
      <c r="O2632" s="4">
        <v>0</v>
      </c>
      <c r="P2632" s="4">
        <v>0</v>
      </c>
      <c r="Q2632" s="4">
        <v>0</v>
      </c>
      <c r="S2632" s="8">
        <f t="shared" si="123"/>
        <v>0</v>
      </c>
      <c r="T2632" s="8">
        <f t="shared" si="124"/>
        <v>0</v>
      </c>
      <c r="U2632" s="9" t="e">
        <f t="shared" si="125"/>
        <v>#DIV/0!</v>
      </c>
    </row>
    <row r="2633" spans="1:21" outlineLevel="2">
      <c r="A2633" t="s">
        <v>635</v>
      </c>
      <c r="B2633" t="s">
        <v>636</v>
      </c>
      <c r="C2633" t="s">
        <v>170</v>
      </c>
      <c r="D2633" t="s">
        <v>171</v>
      </c>
      <c r="E2633" s="4">
        <v>0</v>
      </c>
      <c r="F2633" s="4">
        <v>0</v>
      </c>
      <c r="G2633" s="4">
        <v>90</v>
      </c>
      <c r="H2633" s="4">
        <v>90</v>
      </c>
      <c r="I2633" s="4">
        <v>0</v>
      </c>
      <c r="J2633" s="4">
        <v>45</v>
      </c>
      <c r="K2633" s="4">
        <v>0</v>
      </c>
      <c r="L2633" s="4">
        <v>0</v>
      </c>
      <c r="M2633" s="4">
        <v>0</v>
      </c>
      <c r="N2633" s="4">
        <v>0</v>
      </c>
      <c r="O2633" s="4">
        <v>0</v>
      </c>
      <c r="P2633" s="4">
        <v>0</v>
      </c>
      <c r="Q2633" s="4">
        <v>0</v>
      </c>
      <c r="S2633" s="8">
        <f t="shared" si="123"/>
        <v>0</v>
      </c>
      <c r="T2633" s="8">
        <f t="shared" si="124"/>
        <v>0</v>
      </c>
      <c r="U2633" s="9" t="e">
        <f t="shared" si="125"/>
        <v>#DIV/0!</v>
      </c>
    </row>
    <row r="2634" spans="1:21" outlineLevel="2">
      <c r="A2634" t="s">
        <v>635</v>
      </c>
      <c r="B2634" t="s">
        <v>636</v>
      </c>
      <c r="C2634" t="s">
        <v>186</v>
      </c>
      <c r="D2634" t="s">
        <v>187</v>
      </c>
      <c r="E2634" s="4">
        <v>6000</v>
      </c>
      <c r="F2634" s="4">
        <v>0</v>
      </c>
      <c r="G2634" s="4">
        <v>18017.939999999999</v>
      </c>
      <c r="H2634" s="4">
        <v>0</v>
      </c>
      <c r="I2634" s="4">
        <v>0</v>
      </c>
      <c r="J2634" s="4">
        <v>0</v>
      </c>
      <c r="K2634" s="4">
        <v>0</v>
      </c>
      <c r="L2634" s="4">
        <v>0</v>
      </c>
      <c r="M2634" s="4">
        <v>0</v>
      </c>
      <c r="N2634" s="4">
        <v>0</v>
      </c>
      <c r="O2634" s="4">
        <v>0</v>
      </c>
      <c r="P2634" s="4">
        <v>0</v>
      </c>
      <c r="Q2634" s="4">
        <v>0</v>
      </c>
      <c r="S2634" s="8">
        <f t="shared" si="123"/>
        <v>0</v>
      </c>
      <c r="T2634" s="8">
        <f t="shared" si="124"/>
        <v>0</v>
      </c>
      <c r="U2634" s="9" t="e">
        <f t="shared" si="125"/>
        <v>#DIV/0!</v>
      </c>
    </row>
    <row r="2635" spans="1:21" outlineLevel="1">
      <c r="A2635" s="1" t="s">
        <v>863</v>
      </c>
      <c r="E2635" s="4">
        <f>SUBTOTAL(9,E2619:E2634)</f>
        <v>1604319.21</v>
      </c>
      <c r="F2635" s="4">
        <f>SUBTOTAL(9,F2619:F2634)</f>
        <v>795635.67</v>
      </c>
      <c r="G2635" s="4">
        <f>SUBTOTAL(9,G2619:G2634)</f>
        <v>679058.15999999992</v>
      </c>
      <c r="H2635" s="4">
        <f>SUBTOTAL(9,H2619:H2634)</f>
        <v>478107.91000000003</v>
      </c>
      <c r="I2635" s="4">
        <f>SUBTOTAL(9,I2619:I2634)</f>
        <v>271806.30000000005</v>
      </c>
      <c r="J2635" s="4">
        <f>SUBTOTAL(9,J2619:J2634)</f>
        <v>11464.98</v>
      </c>
      <c r="K2635" s="4">
        <f>SUBTOTAL(9,K2619:K2634)</f>
        <v>403986.17999999993</v>
      </c>
      <c r="L2635" s="4">
        <f>SUBTOTAL(9,L2619:L2634)</f>
        <v>9040.7599999999984</v>
      </c>
      <c r="M2635" s="4">
        <f>SUBTOTAL(9,M2619:M2634)</f>
        <v>292246</v>
      </c>
      <c r="N2635" s="4">
        <f>SUBTOTAL(9,N2619:N2634)</f>
        <v>178893.5</v>
      </c>
      <c r="O2635" s="4">
        <f>SUBTOTAL(9,O2619:O2634)</f>
        <v>43342.84</v>
      </c>
      <c r="P2635" s="4">
        <f>SUBTOTAL(9,P2619:P2634)</f>
        <v>10936.5</v>
      </c>
      <c r="Q2635" s="4">
        <f>SUBTOTAL(9,Q2619:Q2634)</f>
        <v>13957.5</v>
      </c>
      <c r="R2635" s="4">
        <f>SUBTOTAL(9,R2619:R2634)</f>
        <v>-12631</v>
      </c>
      <c r="S2635" s="8">
        <f t="shared" si="123"/>
        <v>91402.849999999991</v>
      </c>
      <c r="T2635" s="8">
        <f t="shared" si="124"/>
        <v>-104033.84999999999</v>
      </c>
      <c r="U2635" s="9">
        <f t="shared" si="125"/>
        <v>-1.1381904393571973</v>
      </c>
    </row>
    <row r="2636" spans="1:21" outlineLevel="2">
      <c r="A2636" t="s">
        <v>637</v>
      </c>
      <c r="B2636" t="s">
        <v>638</v>
      </c>
      <c r="C2636" t="s">
        <v>21</v>
      </c>
      <c r="D2636" t="s">
        <v>22</v>
      </c>
      <c r="E2636" s="4">
        <v>108.78</v>
      </c>
      <c r="F2636" s="4">
        <v>0</v>
      </c>
      <c r="G2636" s="4">
        <v>0</v>
      </c>
      <c r="H2636" s="4">
        <v>0</v>
      </c>
      <c r="I2636" s="4">
        <v>267.92</v>
      </c>
      <c r="J2636" s="4">
        <v>0</v>
      </c>
      <c r="K2636" s="4">
        <v>0</v>
      </c>
      <c r="L2636" s="4">
        <v>0</v>
      </c>
      <c r="M2636" s="4">
        <v>0</v>
      </c>
      <c r="N2636" s="4">
        <v>0</v>
      </c>
      <c r="O2636" s="4">
        <v>0</v>
      </c>
      <c r="P2636" s="4">
        <v>-17.96</v>
      </c>
      <c r="Q2636" s="4">
        <v>84.45</v>
      </c>
      <c r="S2636" s="8">
        <f t="shared" si="123"/>
        <v>11.081666666666669</v>
      </c>
      <c r="T2636" s="8">
        <f t="shared" si="124"/>
        <v>-11.081666666666669</v>
      </c>
      <c r="U2636" s="9">
        <f t="shared" si="125"/>
        <v>-1</v>
      </c>
    </row>
    <row r="2637" spans="1:21" outlineLevel="2">
      <c r="A2637" t="s">
        <v>637</v>
      </c>
      <c r="B2637" t="s">
        <v>638</v>
      </c>
      <c r="C2637" t="s">
        <v>23</v>
      </c>
      <c r="D2637" t="s">
        <v>24</v>
      </c>
      <c r="E2637" s="4">
        <v>0</v>
      </c>
      <c r="F2637" s="4">
        <v>0</v>
      </c>
      <c r="G2637" s="4">
        <v>0</v>
      </c>
      <c r="H2637" s="4">
        <v>0</v>
      </c>
      <c r="I2637" s="4">
        <v>0</v>
      </c>
      <c r="J2637" s="4">
        <v>0</v>
      </c>
      <c r="K2637" s="4">
        <v>0</v>
      </c>
      <c r="L2637" s="4">
        <v>0</v>
      </c>
      <c r="M2637" s="4">
        <v>0</v>
      </c>
      <c r="N2637" s="4">
        <v>0</v>
      </c>
      <c r="O2637" s="4">
        <v>0</v>
      </c>
      <c r="P2637" s="4">
        <v>0</v>
      </c>
      <c r="Q2637" s="4">
        <v>147.27000000000001</v>
      </c>
      <c r="S2637" s="8">
        <f t="shared" si="123"/>
        <v>24.545000000000002</v>
      </c>
      <c r="T2637" s="8">
        <f t="shared" si="124"/>
        <v>-24.545000000000002</v>
      </c>
      <c r="U2637" s="9">
        <f t="shared" si="125"/>
        <v>-1</v>
      </c>
    </row>
    <row r="2638" spans="1:21" outlineLevel="2">
      <c r="A2638" t="s">
        <v>637</v>
      </c>
      <c r="B2638" t="s">
        <v>638</v>
      </c>
      <c r="C2638" t="s">
        <v>27</v>
      </c>
      <c r="D2638" t="s">
        <v>28</v>
      </c>
      <c r="E2638" s="4">
        <v>4759.25</v>
      </c>
      <c r="F2638" s="4">
        <v>0</v>
      </c>
      <c r="G2638" s="4">
        <v>1624.32</v>
      </c>
      <c r="H2638" s="4">
        <v>0</v>
      </c>
      <c r="I2638" s="4">
        <v>4995.01</v>
      </c>
      <c r="J2638" s="4">
        <v>-144.30000000000001</v>
      </c>
      <c r="K2638" s="4">
        <v>0</v>
      </c>
      <c r="L2638" s="4">
        <v>0</v>
      </c>
      <c r="M2638" s="4">
        <v>0</v>
      </c>
      <c r="N2638" s="4">
        <v>0</v>
      </c>
      <c r="O2638" s="4">
        <v>1339.17</v>
      </c>
      <c r="P2638" s="4">
        <v>7661.4299999999994</v>
      </c>
      <c r="Q2638" s="4">
        <v>1872.5</v>
      </c>
      <c r="S2638" s="8">
        <f t="shared" si="123"/>
        <v>1812.1833333333332</v>
      </c>
      <c r="T2638" s="8">
        <f t="shared" si="124"/>
        <v>-1812.1833333333332</v>
      </c>
      <c r="U2638" s="9">
        <f t="shared" si="125"/>
        <v>-1</v>
      </c>
    </row>
    <row r="2639" spans="1:21" outlineLevel="2">
      <c r="A2639" t="s">
        <v>637</v>
      </c>
      <c r="B2639" t="s">
        <v>638</v>
      </c>
      <c r="C2639" t="s">
        <v>99</v>
      </c>
      <c r="D2639" t="s">
        <v>100</v>
      </c>
      <c r="E2639" s="4">
        <v>23541.679999999993</v>
      </c>
      <c r="F2639" s="4">
        <v>46666.659999999996</v>
      </c>
      <c r="G2639" s="4">
        <v>93541.679999999964</v>
      </c>
      <c r="H2639" s="4">
        <v>62291.659999999996</v>
      </c>
      <c r="I2639" s="4">
        <v>62291.66</v>
      </c>
      <c r="J2639" s="4">
        <v>62291.679999999978</v>
      </c>
      <c r="K2639" s="4">
        <v>62291.66</v>
      </c>
      <c r="L2639" s="4">
        <v>62291.66</v>
      </c>
      <c r="M2639" s="4">
        <v>62291.679999999964</v>
      </c>
      <c r="N2639" s="4">
        <v>62291.66</v>
      </c>
      <c r="O2639" s="4">
        <v>62291.66</v>
      </c>
      <c r="P2639" s="4">
        <v>38541.700000000012</v>
      </c>
      <c r="Q2639" s="4">
        <v>54374.990000000005</v>
      </c>
      <c r="R2639" s="4">
        <v>54374.990000000005</v>
      </c>
      <c r="S2639" s="8">
        <f t="shared" si="123"/>
        <v>57013.891666666663</v>
      </c>
      <c r="T2639" s="8">
        <f t="shared" si="124"/>
        <v>-2638.9016666666575</v>
      </c>
      <c r="U2639" s="9">
        <f t="shared" si="125"/>
        <v>-4.6285240132265856E-2</v>
      </c>
    </row>
    <row r="2640" spans="1:21" outlineLevel="1">
      <c r="A2640" s="1" t="s">
        <v>864</v>
      </c>
      <c r="E2640" s="4">
        <f>SUBTOTAL(9,E2636:E2639)</f>
        <v>28409.709999999992</v>
      </c>
      <c r="F2640" s="4">
        <f>SUBTOTAL(9,F2636:F2639)</f>
        <v>46666.659999999996</v>
      </c>
      <c r="G2640" s="4">
        <f>SUBTOTAL(9,G2636:G2639)</f>
        <v>95165.999999999971</v>
      </c>
      <c r="H2640" s="4">
        <f>SUBTOTAL(9,H2636:H2639)</f>
        <v>62291.659999999996</v>
      </c>
      <c r="I2640" s="4">
        <f>SUBTOTAL(9,I2636:I2639)</f>
        <v>67554.59</v>
      </c>
      <c r="J2640" s="4">
        <f>SUBTOTAL(9,J2636:J2639)</f>
        <v>62147.379999999976</v>
      </c>
      <c r="K2640" s="4">
        <f>SUBTOTAL(9,K2636:K2639)</f>
        <v>62291.66</v>
      </c>
      <c r="L2640" s="4">
        <f>SUBTOTAL(9,L2636:L2639)</f>
        <v>62291.66</v>
      </c>
      <c r="M2640" s="4">
        <f>SUBTOTAL(9,M2636:M2639)</f>
        <v>62291.679999999964</v>
      </c>
      <c r="N2640" s="4">
        <f>SUBTOTAL(9,N2636:N2639)</f>
        <v>62291.66</v>
      </c>
      <c r="O2640" s="4">
        <f>SUBTOTAL(9,O2636:O2639)</f>
        <v>63630.83</v>
      </c>
      <c r="P2640" s="4">
        <f>SUBTOTAL(9,P2636:P2639)</f>
        <v>46185.170000000013</v>
      </c>
      <c r="Q2640" s="4">
        <f>SUBTOTAL(9,Q2636:Q2639)</f>
        <v>56479.210000000006</v>
      </c>
      <c r="R2640" s="4">
        <f>SUBTOTAL(9,R2636:R2639)</f>
        <v>54374.990000000005</v>
      </c>
      <c r="S2640" s="8">
        <f t="shared" si="123"/>
        <v>58861.701666666668</v>
      </c>
      <c r="T2640" s="8">
        <f t="shared" si="124"/>
        <v>-4486.7116666666625</v>
      </c>
      <c r="U2640" s="9">
        <f t="shared" si="125"/>
        <v>-7.6224634008627098E-2</v>
      </c>
    </row>
    <row r="2641" spans="1:22" outlineLevel="2">
      <c r="A2641" t="s">
        <v>639</v>
      </c>
      <c r="B2641" t="s">
        <v>245</v>
      </c>
      <c r="C2641" t="s">
        <v>83</v>
      </c>
      <c r="D2641" t="s">
        <v>84</v>
      </c>
      <c r="E2641" s="4">
        <v>0</v>
      </c>
      <c r="F2641" s="4">
        <v>0</v>
      </c>
      <c r="G2641" s="4">
        <v>0</v>
      </c>
      <c r="H2641" s="4">
        <v>0</v>
      </c>
      <c r="I2641" s="4">
        <v>0</v>
      </c>
      <c r="J2641" s="4">
        <v>0</v>
      </c>
      <c r="K2641" s="4">
        <v>0</v>
      </c>
      <c r="L2641" s="4">
        <v>23.53</v>
      </c>
      <c r="M2641" s="4">
        <v>0</v>
      </c>
      <c r="N2641" s="4">
        <v>0</v>
      </c>
      <c r="O2641" s="4">
        <v>0</v>
      </c>
      <c r="P2641" s="4">
        <v>0</v>
      </c>
      <c r="Q2641" s="4">
        <v>0</v>
      </c>
      <c r="S2641" s="8">
        <f t="shared" si="123"/>
        <v>3.9216666666666669</v>
      </c>
      <c r="T2641" s="8">
        <f t="shared" si="124"/>
        <v>-3.9216666666666669</v>
      </c>
      <c r="U2641" s="9">
        <f t="shared" si="125"/>
        <v>-1</v>
      </c>
    </row>
    <row r="2642" spans="1:22" outlineLevel="2">
      <c r="A2642" t="s">
        <v>639</v>
      </c>
      <c r="B2642" t="s">
        <v>245</v>
      </c>
      <c r="C2642" t="s">
        <v>101</v>
      </c>
      <c r="D2642" t="s">
        <v>102</v>
      </c>
      <c r="E2642" s="4">
        <v>1851.79</v>
      </c>
      <c r="F2642" s="4">
        <v>16963.669999999998</v>
      </c>
      <c r="G2642" s="4">
        <v>9272.91</v>
      </c>
      <c r="H2642" s="4">
        <v>8085.77</v>
      </c>
      <c r="I2642" s="4">
        <v>11724.96</v>
      </c>
      <c r="J2642" s="4">
        <v>6294.5499999999993</v>
      </c>
      <c r="K2642" s="4">
        <v>8794.56</v>
      </c>
      <c r="L2642" s="4">
        <v>10209.120000000001</v>
      </c>
      <c r="M2642" s="4">
        <v>8794.56</v>
      </c>
      <c r="N2642" s="4">
        <v>8794.57</v>
      </c>
      <c r="O2642" s="4">
        <v>31977.87</v>
      </c>
      <c r="P2642" s="4">
        <v>17283.269999999997</v>
      </c>
      <c r="Q2642" s="4">
        <v>1961.24</v>
      </c>
      <c r="R2642" s="4">
        <v>1961.24</v>
      </c>
      <c r="S2642" s="8">
        <f t="shared" si="123"/>
        <v>13170.104999999998</v>
      </c>
      <c r="T2642" s="8">
        <f t="shared" si="124"/>
        <v>-11208.864999999998</v>
      </c>
      <c r="U2642" s="9">
        <f t="shared" si="125"/>
        <v>-0.8510839511150442</v>
      </c>
    </row>
    <row r="2643" spans="1:22" outlineLevel="1">
      <c r="A2643" s="1" t="s">
        <v>865</v>
      </c>
      <c r="E2643" s="4">
        <f>SUBTOTAL(9,E2641:E2642)</f>
        <v>1851.79</v>
      </c>
      <c r="F2643" s="4">
        <f>SUBTOTAL(9,F2641:F2642)</f>
        <v>16963.669999999998</v>
      </c>
      <c r="G2643" s="4">
        <f>SUBTOTAL(9,G2641:G2642)</f>
        <v>9272.91</v>
      </c>
      <c r="H2643" s="4">
        <f>SUBTOTAL(9,H2641:H2642)</f>
        <v>8085.77</v>
      </c>
      <c r="I2643" s="4">
        <f>SUBTOTAL(9,I2641:I2642)</f>
        <v>11724.96</v>
      </c>
      <c r="J2643" s="4">
        <f>SUBTOTAL(9,J2641:J2642)</f>
        <v>6294.5499999999993</v>
      </c>
      <c r="K2643" s="4">
        <f>SUBTOTAL(9,K2641:K2642)</f>
        <v>8794.56</v>
      </c>
      <c r="L2643" s="4">
        <f>SUBTOTAL(9,L2641:L2642)</f>
        <v>10232.650000000001</v>
      </c>
      <c r="M2643" s="4">
        <f>SUBTOTAL(9,M2641:M2642)</f>
        <v>8794.56</v>
      </c>
      <c r="N2643" s="4">
        <f>SUBTOTAL(9,N2641:N2642)</f>
        <v>8794.57</v>
      </c>
      <c r="O2643" s="4">
        <f>SUBTOTAL(9,O2641:O2642)</f>
        <v>31977.87</v>
      </c>
      <c r="P2643" s="4">
        <f>SUBTOTAL(9,P2641:P2642)</f>
        <v>17283.269999999997</v>
      </c>
      <c r="Q2643" s="4">
        <f>SUBTOTAL(9,Q2641:Q2642)</f>
        <v>1961.24</v>
      </c>
      <c r="R2643" s="4">
        <f>SUBTOTAL(9,R2641:R2642)</f>
        <v>1961.24</v>
      </c>
      <c r="S2643" s="8">
        <f t="shared" si="123"/>
        <v>13174.026666666665</v>
      </c>
      <c r="T2643" s="8">
        <f t="shared" si="124"/>
        <v>-11212.786666666665</v>
      </c>
      <c r="U2643" s="9">
        <f t="shared" si="125"/>
        <v>-0.85112828069777702</v>
      </c>
    </row>
    <row r="2644" spans="1:22" outlineLevel="2">
      <c r="A2644" t="s">
        <v>640</v>
      </c>
      <c r="B2644" t="s">
        <v>279</v>
      </c>
      <c r="C2644" t="s">
        <v>168</v>
      </c>
      <c r="D2644" t="s">
        <v>169</v>
      </c>
      <c r="E2644" s="4">
        <v>5644.1000000000022</v>
      </c>
      <c r="F2644" s="4">
        <v>49901.39</v>
      </c>
      <c r="G2644" s="4">
        <v>94052.420000000013</v>
      </c>
      <c r="H2644" s="4">
        <v>36335.800000000003</v>
      </c>
      <c r="I2644" s="4">
        <v>96391.49</v>
      </c>
      <c r="J2644" s="4">
        <v>30629.929999999993</v>
      </c>
      <c r="K2644" s="4">
        <v>32184.079999999998</v>
      </c>
      <c r="L2644" s="4">
        <v>65993.919999999998</v>
      </c>
      <c r="M2644" s="4">
        <v>77237.989999999991</v>
      </c>
      <c r="N2644" s="4">
        <v>76096.109999999986</v>
      </c>
      <c r="O2644" s="4">
        <v>43667.299999999988</v>
      </c>
      <c r="P2644" s="4">
        <v>65442.840000000004</v>
      </c>
      <c r="Q2644" s="4">
        <v>95936.1</v>
      </c>
      <c r="R2644" s="4">
        <v>60496.87000000001</v>
      </c>
      <c r="S2644" s="8">
        <f t="shared" si="123"/>
        <v>70729.043333333335</v>
      </c>
      <c r="T2644" s="8">
        <f t="shared" si="124"/>
        <v>-10232.173333333325</v>
      </c>
      <c r="U2644" s="9">
        <f t="shared" si="125"/>
        <v>-0.14466720955224746</v>
      </c>
    </row>
    <row r="2645" spans="1:22" outlineLevel="2">
      <c r="A2645" t="s">
        <v>640</v>
      </c>
      <c r="B2645" t="s">
        <v>279</v>
      </c>
      <c r="C2645" t="s">
        <v>101</v>
      </c>
      <c r="D2645" t="s">
        <v>102</v>
      </c>
      <c r="E2645" s="4">
        <v>0</v>
      </c>
      <c r="F2645" s="4">
        <v>0</v>
      </c>
      <c r="G2645" s="4">
        <v>0</v>
      </c>
      <c r="H2645" s="4">
        <v>0</v>
      </c>
      <c r="I2645" s="4">
        <v>0</v>
      </c>
      <c r="J2645" s="4">
        <v>0</v>
      </c>
      <c r="K2645" s="4">
        <v>0</v>
      </c>
      <c r="L2645" s="4">
        <v>0</v>
      </c>
      <c r="M2645" s="4">
        <v>0</v>
      </c>
      <c r="N2645" s="4">
        <v>0</v>
      </c>
      <c r="O2645" s="4">
        <v>3145</v>
      </c>
      <c r="P2645" s="4">
        <v>0</v>
      </c>
      <c r="Q2645" s="4">
        <v>0</v>
      </c>
      <c r="S2645" s="8">
        <f t="shared" si="123"/>
        <v>524.16666666666663</v>
      </c>
      <c r="T2645" s="8">
        <f t="shared" si="124"/>
        <v>-524.16666666666663</v>
      </c>
      <c r="U2645" s="9">
        <f t="shared" si="125"/>
        <v>-1</v>
      </c>
    </row>
    <row r="2646" spans="1:22" outlineLevel="1">
      <c r="A2646" s="1" t="s">
        <v>866</v>
      </c>
      <c r="E2646" s="4">
        <f>SUBTOTAL(9,E2644:E2645)</f>
        <v>5644.1000000000022</v>
      </c>
      <c r="F2646" s="4">
        <f>SUBTOTAL(9,F2644:F2645)</f>
        <v>49901.39</v>
      </c>
      <c r="G2646" s="4">
        <f>SUBTOTAL(9,G2644:G2645)</f>
        <v>94052.420000000013</v>
      </c>
      <c r="H2646" s="4">
        <f>SUBTOTAL(9,H2644:H2645)</f>
        <v>36335.800000000003</v>
      </c>
      <c r="I2646" s="4">
        <f>SUBTOTAL(9,I2644:I2645)</f>
        <v>96391.49</v>
      </c>
      <c r="J2646" s="4">
        <f>SUBTOTAL(9,J2644:J2645)</f>
        <v>30629.929999999993</v>
      </c>
      <c r="K2646" s="4">
        <f>SUBTOTAL(9,K2644:K2645)</f>
        <v>32184.079999999998</v>
      </c>
      <c r="L2646" s="4">
        <f>SUBTOTAL(9,L2644:L2645)</f>
        <v>65993.919999999998</v>
      </c>
      <c r="M2646" s="4">
        <f>SUBTOTAL(9,M2644:M2645)</f>
        <v>77237.989999999991</v>
      </c>
      <c r="N2646" s="4">
        <f>SUBTOTAL(9,N2644:N2645)</f>
        <v>76096.109999999986</v>
      </c>
      <c r="O2646" s="4">
        <f>SUBTOTAL(9,O2644:O2645)</f>
        <v>46812.299999999988</v>
      </c>
      <c r="P2646" s="4">
        <f>SUBTOTAL(9,P2644:P2645)</f>
        <v>65442.840000000004</v>
      </c>
      <c r="Q2646" s="4">
        <f>SUBTOTAL(9,Q2644:Q2645)</f>
        <v>95936.1</v>
      </c>
      <c r="R2646" s="4">
        <f>SUBTOTAL(9,R2644:R2645)</f>
        <v>60496.87000000001</v>
      </c>
      <c r="S2646" s="8">
        <f t="shared" si="123"/>
        <v>71253.210000000006</v>
      </c>
      <c r="T2646" s="8">
        <f t="shared" si="124"/>
        <v>-10756.339999999997</v>
      </c>
      <c r="U2646" s="9">
        <f t="shared" si="125"/>
        <v>-0.15095937432152173</v>
      </c>
    </row>
    <row r="2647" spans="1:22" outlineLevel="2">
      <c r="A2647" t="s">
        <v>641</v>
      </c>
      <c r="B2647" t="s">
        <v>269</v>
      </c>
      <c r="C2647" t="s">
        <v>148</v>
      </c>
      <c r="D2647" t="s">
        <v>149</v>
      </c>
      <c r="E2647" s="4">
        <v>0</v>
      </c>
      <c r="F2647" s="4">
        <v>0</v>
      </c>
      <c r="G2647" s="4">
        <v>0</v>
      </c>
      <c r="H2647" s="4">
        <v>90000</v>
      </c>
      <c r="I2647" s="4">
        <v>0</v>
      </c>
      <c r="J2647" s="4">
        <v>0</v>
      </c>
      <c r="K2647" s="4">
        <v>0</v>
      </c>
      <c r="L2647" s="4">
        <v>0</v>
      </c>
      <c r="M2647" s="4">
        <v>0</v>
      </c>
      <c r="N2647" s="4">
        <v>0</v>
      </c>
      <c r="O2647" s="4">
        <v>0</v>
      </c>
      <c r="P2647" s="4">
        <v>0</v>
      </c>
      <c r="Q2647" s="4">
        <v>0</v>
      </c>
      <c r="S2647" s="8">
        <f t="shared" si="123"/>
        <v>0</v>
      </c>
      <c r="T2647" s="8">
        <f t="shared" si="124"/>
        <v>0</v>
      </c>
      <c r="U2647" s="9" t="e">
        <f t="shared" si="125"/>
        <v>#DIV/0!</v>
      </c>
    </row>
    <row r="2648" spans="1:22" outlineLevel="2">
      <c r="A2648" t="s">
        <v>641</v>
      </c>
      <c r="B2648" t="s">
        <v>269</v>
      </c>
      <c r="C2648" t="s">
        <v>89</v>
      </c>
      <c r="D2648" t="s">
        <v>90</v>
      </c>
      <c r="E2648" s="4">
        <v>0</v>
      </c>
      <c r="F2648" s="4">
        <v>0</v>
      </c>
      <c r="G2648" s="4">
        <v>0</v>
      </c>
      <c r="H2648" s="4">
        <v>159000</v>
      </c>
      <c r="I2648" s="4">
        <v>-12000</v>
      </c>
      <c r="J2648" s="4">
        <v>0</v>
      </c>
      <c r="K2648" s="4">
        <v>0</v>
      </c>
      <c r="L2648" s="4">
        <v>0</v>
      </c>
      <c r="M2648" s="4">
        <v>0</v>
      </c>
      <c r="N2648" s="4">
        <v>0</v>
      </c>
      <c r="O2648" s="4">
        <v>0</v>
      </c>
      <c r="P2648" s="4">
        <v>0</v>
      </c>
      <c r="Q2648" s="4">
        <v>0</v>
      </c>
      <c r="S2648" s="8">
        <f t="shared" si="123"/>
        <v>0</v>
      </c>
      <c r="T2648" s="8">
        <f t="shared" si="124"/>
        <v>0</v>
      </c>
      <c r="U2648" s="9" t="e">
        <f t="shared" si="125"/>
        <v>#DIV/0!</v>
      </c>
    </row>
    <row r="2649" spans="1:22" outlineLevel="2">
      <c r="A2649" t="s">
        <v>641</v>
      </c>
      <c r="B2649" t="s">
        <v>269</v>
      </c>
      <c r="C2649" t="s">
        <v>168</v>
      </c>
      <c r="D2649" t="s">
        <v>169</v>
      </c>
      <c r="E2649" s="4">
        <v>6285</v>
      </c>
      <c r="F2649" s="4">
        <v>34527</v>
      </c>
      <c r="G2649" s="4">
        <v>6285</v>
      </c>
      <c r="H2649" s="4">
        <v>3362.5</v>
      </c>
      <c r="I2649" s="4">
        <v>0</v>
      </c>
      <c r="J2649" s="4">
        <v>0</v>
      </c>
      <c r="K2649" s="4">
        <v>0</v>
      </c>
      <c r="L2649" s="4">
        <v>1408</v>
      </c>
      <c r="M2649" s="4">
        <v>0</v>
      </c>
      <c r="N2649" s="4">
        <v>0</v>
      </c>
      <c r="O2649" s="4">
        <v>0</v>
      </c>
      <c r="P2649" s="4">
        <v>6448.5</v>
      </c>
      <c r="Q2649" s="4">
        <v>-6448.5</v>
      </c>
      <c r="R2649" s="4">
        <v>121181</v>
      </c>
      <c r="S2649" s="8">
        <f t="shared" si="123"/>
        <v>234.66666666666666</v>
      </c>
      <c r="T2649" s="8">
        <f t="shared" si="124"/>
        <v>120946.33333333333</v>
      </c>
      <c r="U2649" s="9">
        <f t="shared" si="125"/>
        <v>515.39630681818187</v>
      </c>
      <c r="V2649" t="s">
        <v>896</v>
      </c>
    </row>
    <row r="2650" spans="1:22" outlineLevel="2">
      <c r="A2650" t="s">
        <v>641</v>
      </c>
      <c r="B2650" t="s">
        <v>269</v>
      </c>
      <c r="C2650" t="s">
        <v>101</v>
      </c>
      <c r="D2650" t="s">
        <v>102</v>
      </c>
      <c r="E2650" s="4">
        <v>0</v>
      </c>
      <c r="F2650" s="4">
        <v>0</v>
      </c>
      <c r="G2650" s="4">
        <v>0</v>
      </c>
      <c r="H2650" s="4">
        <v>0</v>
      </c>
      <c r="I2650" s="4">
        <v>0</v>
      </c>
      <c r="J2650" s="4">
        <v>0</v>
      </c>
      <c r="K2650" s="4">
        <v>0</v>
      </c>
      <c r="L2650" s="4">
        <v>0</v>
      </c>
      <c r="M2650" s="4">
        <v>0</v>
      </c>
      <c r="N2650" s="4">
        <v>0</v>
      </c>
      <c r="O2650" s="4">
        <v>0</v>
      </c>
      <c r="P2650" s="4">
        <v>0</v>
      </c>
      <c r="Q2650" s="4">
        <v>0</v>
      </c>
      <c r="S2650" s="8">
        <f t="shared" si="123"/>
        <v>0</v>
      </c>
      <c r="T2650" s="8">
        <f t="shared" si="124"/>
        <v>0</v>
      </c>
      <c r="U2650" s="9" t="e">
        <f t="shared" si="125"/>
        <v>#DIV/0!</v>
      </c>
    </row>
    <row r="2651" spans="1:22" outlineLevel="2">
      <c r="A2651" t="s">
        <v>641</v>
      </c>
      <c r="B2651" t="s">
        <v>269</v>
      </c>
      <c r="C2651" t="s">
        <v>186</v>
      </c>
      <c r="D2651" t="s">
        <v>187</v>
      </c>
      <c r="E2651" s="4">
        <v>0</v>
      </c>
      <c r="F2651" s="4">
        <v>0</v>
      </c>
      <c r="G2651" s="4">
        <v>0</v>
      </c>
      <c r="H2651" s="4">
        <v>0</v>
      </c>
      <c r="I2651" s="4">
        <v>6908.11</v>
      </c>
      <c r="J2651" s="4">
        <v>-6908.1099999999988</v>
      </c>
      <c r="K2651" s="4">
        <v>0</v>
      </c>
      <c r="L2651" s="4">
        <v>0</v>
      </c>
      <c r="M2651" s="4">
        <v>0</v>
      </c>
      <c r="N2651" s="4">
        <v>0</v>
      </c>
      <c r="O2651" s="4">
        <v>0</v>
      </c>
      <c r="P2651" s="4">
        <v>0</v>
      </c>
      <c r="Q2651" s="4">
        <v>0</v>
      </c>
      <c r="S2651" s="8">
        <f t="shared" si="123"/>
        <v>0</v>
      </c>
      <c r="T2651" s="8">
        <f t="shared" si="124"/>
        <v>0</v>
      </c>
      <c r="U2651" s="9" t="e">
        <f t="shared" si="125"/>
        <v>#DIV/0!</v>
      </c>
    </row>
    <row r="2652" spans="1:22" outlineLevel="1">
      <c r="A2652" s="1" t="s">
        <v>867</v>
      </c>
      <c r="E2652" s="4">
        <f>SUBTOTAL(9,E2647:E2651)</f>
        <v>6285</v>
      </c>
      <c r="F2652" s="4">
        <f>SUBTOTAL(9,F2647:F2651)</f>
        <v>34527</v>
      </c>
      <c r="G2652" s="4">
        <f>SUBTOTAL(9,G2647:G2651)</f>
        <v>6285</v>
      </c>
      <c r="H2652" s="4">
        <f>SUBTOTAL(9,H2647:H2651)</f>
        <v>252362.5</v>
      </c>
      <c r="I2652" s="4">
        <f>SUBTOTAL(9,I2647:I2651)</f>
        <v>-5091.8900000000003</v>
      </c>
      <c r="J2652" s="4">
        <f>SUBTOTAL(9,J2647:J2651)</f>
        <v>-6908.1099999999988</v>
      </c>
      <c r="K2652" s="4">
        <f>SUBTOTAL(9,K2647:K2651)</f>
        <v>0</v>
      </c>
      <c r="L2652" s="4">
        <f>SUBTOTAL(9,L2647:L2651)</f>
        <v>1408</v>
      </c>
      <c r="M2652" s="4">
        <f>SUBTOTAL(9,M2647:M2651)</f>
        <v>0</v>
      </c>
      <c r="N2652" s="4">
        <f>SUBTOTAL(9,N2647:N2651)</f>
        <v>0</v>
      </c>
      <c r="O2652" s="4">
        <f>SUBTOTAL(9,O2647:O2651)</f>
        <v>0</v>
      </c>
      <c r="P2652" s="4">
        <f>SUBTOTAL(9,P2647:P2651)</f>
        <v>6448.5</v>
      </c>
      <c r="Q2652" s="4">
        <f>SUBTOTAL(9,Q2647:Q2651)</f>
        <v>-6448.5</v>
      </c>
      <c r="R2652" s="4">
        <f>SUBTOTAL(9,R2647:R2651)</f>
        <v>121181</v>
      </c>
      <c r="S2652" s="8">
        <f t="shared" si="123"/>
        <v>234.66666666666666</v>
      </c>
      <c r="T2652" s="8">
        <f t="shared" si="124"/>
        <v>120946.33333333333</v>
      </c>
      <c r="U2652" s="9">
        <f t="shared" si="125"/>
        <v>515.39630681818187</v>
      </c>
      <c r="V2652" t="s">
        <v>896</v>
      </c>
    </row>
    <row r="2653" spans="1:22" outlineLevel="2">
      <c r="A2653" t="s">
        <v>642</v>
      </c>
      <c r="B2653" t="s">
        <v>643</v>
      </c>
      <c r="C2653" t="s">
        <v>19</v>
      </c>
      <c r="D2653" t="s">
        <v>20</v>
      </c>
      <c r="E2653" s="4">
        <v>0</v>
      </c>
      <c r="F2653" s="4">
        <v>0</v>
      </c>
      <c r="G2653" s="4">
        <v>0</v>
      </c>
      <c r="H2653" s="4">
        <v>0</v>
      </c>
      <c r="I2653" s="4">
        <v>0</v>
      </c>
      <c r="J2653" s="4">
        <v>0</v>
      </c>
      <c r="K2653" s="4">
        <v>0</v>
      </c>
      <c r="L2653" s="4">
        <v>0</v>
      </c>
      <c r="M2653" s="4">
        <v>0</v>
      </c>
      <c r="N2653" s="4">
        <v>26.5</v>
      </c>
      <c r="O2653" s="4">
        <v>0</v>
      </c>
      <c r="P2653" s="4">
        <v>0</v>
      </c>
      <c r="Q2653" s="4">
        <v>0</v>
      </c>
      <c r="S2653" s="8">
        <f t="shared" si="123"/>
        <v>4.416666666666667</v>
      </c>
      <c r="T2653" s="8">
        <f t="shared" si="124"/>
        <v>-4.416666666666667</v>
      </c>
      <c r="U2653" s="9">
        <f t="shared" si="125"/>
        <v>-1</v>
      </c>
    </row>
    <row r="2654" spans="1:22" outlineLevel="2">
      <c r="A2654" t="s">
        <v>642</v>
      </c>
      <c r="B2654" t="s">
        <v>643</v>
      </c>
      <c r="C2654" t="s">
        <v>21</v>
      </c>
      <c r="D2654" t="s">
        <v>22</v>
      </c>
      <c r="E2654" s="4">
        <v>0</v>
      </c>
      <c r="F2654" s="4">
        <v>242.08</v>
      </c>
      <c r="G2654" s="4">
        <v>18</v>
      </c>
      <c r="H2654" s="4">
        <v>226.17999999999998</v>
      </c>
      <c r="I2654" s="4">
        <v>0</v>
      </c>
      <c r="J2654" s="4">
        <v>18.91</v>
      </c>
      <c r="K2654" s="4">
        <v>143.11000000000001</v>
      </c>
      <c r="L2654" s="4">
        <v>66.239999999999995</v>
      </c>
      <c r="M2654" s="4">
        <v>27.55</v>
      </c>
      <c r="N2654" s="4">
        <v>257.84000000000003</v>
      </c>
      <c r="O2654" s="4">
        <v>0</v>
      </c>
      <c r="P2654" s="4">
        <v>179.51</v>
      </c>
      <c r="Q2654" s="4">
        <v>0</v>
      </c>
      <c r="S2654" s="8">
        <f t="shared" si="123"/>
        <v>88.523333333333326</v>
      </c>
      <c r="T2654" s="8">
        <f t="shared" si="124"/>
        <v>-88.523333333333326</v>
      </c>
      <c r="U2654" s="9">
        <f t="shared" si="125"/>
        <v>-1</v>
      </c>
    </row>
    <row r="2655" spans="1:22" outlineLevel="2">
      <c r="A2655" t="s">
        <v>642</v>
      </c>
      <c r="B2655" t="s">
        <v>643</v>
      </c>
      <c r="C2655" t="s">
        <v>23</v>
      </c>
      <c r="D2655" t="s">
        <v>24</v>
      </c>
      <c r="E2655" s="4">
        <v>0</v>
      </c>
      <c r="F2655" s="4">
        <v>2569.4600000000005</v>
      </c>
      <c r="G2655" s="4">
        <v>822.45999999999992</v>
      </c>
      <c r="H2655" s="4">
        <v>1234.02</v>
      </c>
      <c r="I2655" s="4">
        <v>116.57</v>
      </c>
      <c r="J2655" s="4">
        <v>963.94999999999993</v>
      </c>
      <c r="K2655" s="4">
        <v>660.68</v>
      </c>
      <c r="L2655" s="4">
        <v>404.58999999999992</v>
      </c>
      <c r="M2655" s="4">
        <v>146.94</v>
      </c>
      <c r="N2655" s="4">
        <v>152.32</v>
      </c>
      <c r="O2655" s="4">
        <v>0</v>
      </c>
      <c r="P2655" s="4">
        <v>152.84</v>
      </c>
      <c r="Q2655" s="4">
        <v>0</v>
      </c>
      <c r="S2655" s="8">
        <f t="shared" si="123"/>
        <v>142.78166666666667</v>
      </c>
      <c r="T2655" s="8">
        <f t="shared" si="124"/>
        <v>-142.78166666666667</v>
      </c>
      <c r="U2655" s="9">
        <f t="shared" si="125"/>
        <v>-1</v>
      </c>
    </row>
    <row r="2656" spans="1:22" outlineLevel="2">
      <c r="A2656" t="s">
        <v>642</v>
      </c>
      <c r="B2656" t="s">
        <v>643</v>
      </c>
      <c r="C2656" t="s">
        <v>25</v>
      </c>
      <c r="D2656" t="s">
        <v>26</v>
      </c>
      <c r="E2656" s="4">
        <v>0</v>
      </c>
      <c r="F2656" s="4">
        <v>0</v>
      </c>
      <c r="G2656" s="4">
        <v>0</v>
      </c>
      <c r="H2656" s="4">
        <v>0</v>
      </c>
      <c r="I2656" s="4">
        <v>0</v>
      </c>
      <c r="J2656" s="4">
        <v>0</v>
      </c>
      <c r="K2656" s="4">
        <v>0</v>
      </c>
      <c r="L2656" s="4">
        <v>0</v>
      </c>
      <c r="M2656" s="4">
        <v>585.73</v>
      </c>
      <c r="N2656" s="4">
        <v>527.07000000000005</v>
      </c>
      <c r="O2656" s="4">
        <v>0</v>
      </c>
      <c r="P2656" s="4">
        <v>1636.9800000000002</v>
      </c>
      <c r="Q2656" s="4">
        <v>130.29</v>
      </c>
      <c r="R2656" s="4">
        <v>254.7</v>
      </c>
      <c r="S2656" s="8">
        <f t="shared" si="123"/>
        <v>480.01166666666677</v>
      </c>
      <c r="T2656" s="8">
        <f t="shared" si="124"/>
        <v>-225.31166666666678</v>
      </c>
      <c r="U2656" s="9">
        <f t="shared" si="125"/>
        <v>-0.46938789682195237</v>
      </c>
    </row>
    <row r="2657" spans="1:21" outlineLevel="2">
      <c r="A2657" t="s">
        <v>642</v>
      </c>
      <c r="B2657" t="s">
        <v>643</v>
      </c>
      <c r="C2657" t="s">
        <v>27</v>
      </c>
      <c r="D2657" t="s">
        <v>28</v>
      </c>
      <c r="E2657" s="4">
        <v>0</v>
      </c>
      <c r="F2657" s="4">
        <v>0</v>
      </c>
      <c r="G2657" s="4">
        <v>0</v>
      </c>
      <c r="H2657" s="4">
        <v>0</v>
      </c>
      <c r="I2657" s="4">
        <v>0</v>
      </c>
      <c r="J2657" s="4">
        <v>0</v>
      </c>
      <c r="K2657" s="4">
        <v>0</v>
      </c>
      <c r="L2657" s="4">
        <v>0</v>
      </c>
      <c r="M2657" s="4">
        <v>0</v>
      </c>
      <c r="N2657" s="4">
        <v>26.92</v>
      </c>
      <c r="O2657" s="4">
        <v>0</v>
      </c>
      <c r="P2657" s="4">
        <v>77.959999999999994</v>
      </c>
      <c r="Q2657" s="4">
        <v>0</v>
      </c>
      <c r="S2657" s="8">
        <f t="shared" si="123"/>
        <v>17.48</v>
      </c>
      <c r="T2657" s="8">
        <f t="shared" si="124"/>
        <v>-17.48</v>
      </c>
      <c r="U2657" s="9">
        <f t="shared" si="125"/>
        <v>-1</v>
      </c>
    </row>
    <row r="2658" spans="1:21" outlineLevel="2">
      <c r="A2658" t="s">
        <v>642</v>
      </c>
      <c r="B2658" t="s">
        <v>643</v>
      </c>
      <c r="C2658" t="s">
        <v>47</v>
      </c>
      <c r="D2658" t="s">
        <v>48</v>
      </c>
      <c r="E2658" s="4">
        <v>0</v>
      </c>
      <c r="F2658" s="4">
        <v>0</v>
      </c>
      <c r="G2658" s="4">
        <v>0</v>
      </c>
      <c r="H2658" s="4">
        <v>0</v>
      </c>
      <c r="I2658" s="4">
        <v>0</v>
      </c>
      <c r="J2658" s="4">
        <v>0</v>
      </c>
      <c r="K2658" s="4">
        <v>0</v>
      </c>
      <c r="L2658" s="4">
        <v>0</v>
      </c>
      <c r="M2658" s="4">
        <v>0</v>
      </c>
      <c r="N2658" s="4">
        <v>0</v>
      </c>
      <c r="O2658" s="4">
        <v>0</v>
      </c>
      <c r="P2658" s="4">
        <v>0</v>
      </c>
      <c r="Q2658" s="4">
        <v>0</v>
      </c>
      <c r="S2658" s="8">
        <f t="shared" si="123"/>
        <v>0</v>
      </c>
      <c r="T2658" s="8">
        <f t="shared" si="124"/>
        <v>0</v>
      </c>
      <c r="U2658" s="9" t="e">
        <f t="shared" si="125"/>
        <v>#DIV/0!</v>
      </c>
    </row>
    <row r="2659" spans="1:21" outlineLevel="2">
      <c r="A2659" t="s">
        <v>642</v>
      </c>
      <c r="B2659" t="s">
        <v>643</v>
      </c>
      <c r="C2659" t="s">
        <v>49</v>
      </c>
      <c r="D2659" t="s">
        <v>50</v>
      </c>
      <c r="E2659" s="4">
        <v>25</v>
      </c>
      <c r="F2659" s="4">
        <v>0</v>
      </c>
      <c r="G2659" s="4">
        <v>26.56</v>
      </c>
      <c r="H2659" s="4">
        <v>25</v>
      </c>
      <c r="I2659" s="4">
        <v>-4498.5999999999995</v>
      </c>
      <c r="J2659" s="4">
        <v>25</v>
      </c>
      <c r="K2659" s="4">
        <v>23.44</v>
      </c>
      <c r="L2659" s="4">
        <v>22.009999999999998</v>
      </c>
      <c r="M2659" s="4">
        <v>176.63</v>
      </c>
      <c r="N2659" s="4">
        <v>25.000000000000004</v>
      </c>
      <c r="O2659" s="4">
        <v>25</v>
      </c>
      <c r="P2659" s="4">
        <v>25</v>
      </c>
      <c r="Q2659" s="4">
        <v>143.86000000000001</v>
      </c>
      <c r="R2659" s="4">
        <v>25</v>
      </c>
      <c r="S2659" s="8">
        <f t="shared" si="123"/>
        <v>69.583333333333329</v>
      </c>
      <c r="T2659" s="8">
        <f t="shared" si="124"/>
        <v>-44.583333333333329</v>
      </c>
      <c r="U2659" s="9">
        <f t="shared" si="125"/>
        <v>-0.64071856287425144</v>
      </c>
    </row>
    <row r="2660" spans="1:21" outlineLevel="2">
      <c r="A2660" t="s">
        <v>642</v>
      </c>
      <c r="B2660" t="s">
        <v>643</v>
      </c>
      <c r="C2660" t="s">
        <v>61</v>
      </c>
      <c r="D2660" t="s">
        <v>62</v>
      </c>
      <c r="E2660" s="4">
        <v>0</v>
      </c>
      <c r="F2660" s="4">
        <v>126.55</v>
      </c>
      <c r="G2660" s="4">
        <v>0</v>
      </c>
      <c r="H2660" s="4">
        <v>0</v>
      </c>
      <c r="I2660" s="4">
        <v>0</v>
      </c>
      <c r="J2660" s="4">
        <v>0</v>
      </c>
      <c r="K2660" s="4">
        <v>0</v>
      </c>
      <c r="L2660" s="4">
        <v>0</v>
      </c>
      <c r="M2660" s="4">
        <v>0</v>
      </c>
      <c r="N2660" s="4">
        <v>0</v>
      </c>
      <c r="O2660" s="4">
        <v>0</v>
      </c>
      <c r="P2660" s="4">
        <v>0</v>
      </c>
      <c r="Q2660" s="4">
        <v>0</v>
      </c>
      <c r="S2660" s="8">
        <f t="shared" si="123"/>
        <v>0</v>
      </c>
      <c r="T2660" s="8">
        <f t="shared" si="124"/>
        <v>0</v>
      </c>
      <c r="U2660" s="9" t="e">
        <f t="shared" si="125"/>
        <v>#DIV/0!</v>
      </c>
    </row>
    <row r="2661" spans="1:21" outlineLevel="2">
      <c r="A2661" t="s">
        <v>642</v>
      </c>
      <c r="B2661" t="s">
        <v>643</v>
      </c>
      <c r="C2661" t="s">
        <v>63</v>
      </c>
      <c r="D2661" t="s">
        <v>64</v>
      </c>
      <c r="E2661" s="4">
        <v>1633.7199999999998</v>
      </c>
      <c r="F2661" s="4">
        <v>2369.4699999999998</v>
      </c>
      <c r="G2661" s="4">
        <v>137.29999999999998</v>
      </c>
      <c r="H2661" s="4">
        <v>128</v>
      </c>
      <c r="I2661" s="4">
        <v>77.7</v>
      </c>
      <c r="J2661" s="4">
        <v>270.5</v>
      </c>
      <c r="K2661" s="4">
        <v>3389.7000000000003</v>
      </c>
      <c r="L2661" s="4">
        <v>-148.44999999999999</v>
      </c>
      <c r="M2661" s="4">
        <v>5994.5300000000007</v>
      </c>
      <c r="N2661" s="4">
        <v>76.53</v>
      </c>
      <c r="O2661" s="4">
        <v>76.52</v>
      </c>
      <c r="P2661" s="4">
        <v>1544.97</v>
      </c>
      <c r="Q2661" s="4">
        <v>102</v>
      </c>
      <c r="S2661" s="8">
        <f t="shared" si="123"/>
        <v>1274.3500000000001</v>
      </c>
      <c r="T2661" s="8">
        <f t="shared" si="124"/>
        <v>-1274.3500000000001</v>
      </c>
      <c r="U2661" s="9">
        <f t="shared" si="125"/>
        <v>-1</v>
      </c>
    </row>
    <row r="2662" spans="1:21" outlineLevel="2">
      <c r="A2662" t="s">
        <v>642</v>
      </c>
      <c r="B2662" t="s">
        <v>643</v>
      </c>
      <c r="C2662" t="s">
        <v>83</v>
      </c>
      <c r="D2662" t="s">
        <v>84</v>
      </c>
      <c r="E2662" s="4">
        <v>348.36</v>
      </c>
      <c r="F2662" s="4">
        <v>29.11</v>
      </c>
      <c r="G2662" s="4">
        <v>83.52</v>
      </c>
      <c r="H2662" s="4">
        <v>0</v>
      </c>
      <c r="I2662" s="4">
        <v>0</v>
      </c>
      <c r="J2662" s="4">
        <v>0</v>
      </c>
      <c r="K2662" s="4">
        <v>0</v>
      </c>
      <c r="L2662" s="4">
        <v>0</v>
      </c>
      <c r="M2662" s="4">
        <v>0</v>
      </c>
      <c r="N2662" s="4">
        <v>0</v>
      </c>
      <c r="O2662" s="4">
        <v>0</v>
      </c>
      <c r="P2662" s="4">
        <v>0</v>
      </c>
      <c r="Q2662" s="4">
        <v>0</v>
      </c>
      <c r="S2662" s="8">
        <f t="shared" si="123"/>
        <v>0</v>
      </c>
      <c r="T2662" s="8">
        <f t="shared" si="124"/>
        <v>0</v>
      </c>
      <c r="U2662" s="9" t="e">
        <f t="shared" si="125"/>
        <v>#DIV/0!</v>
      </c>
    </row>
    <row r="2663" spans="1:21" outlineLevel="2">
      <c r="A2663" t="s">
        <v>642</v>
      </c>
      <c r="B2663" t="s">
        <v>643</v>
      </c>
      <c r="C2663" t="s">
        <v>198</v>
      </c>
      <c r="D2663" t="s">
        <v>199</v>
      </c>
      <c r="E2663" s="4">
        <v>0</v>
      </c>
      <c r="F2663" s="4">
        <v>0</v>
      </c>
      <c r="G2663" s="4">
        <v>0</v>
      </c>
      <c r="H2663" s="4">
        <v>0</v>
      </c>
      <c r="I2663" s="4">
        <v>0</v>
      </c>
      <c r="J2663" s="4">
        <v>0</v>
      </c>
      <c r="K2663" s="4">
        <v>0</v>
      </c>
      <c r="L2663" s="4">
        <v>-1114.97</v>
      </c>
      <c r="M2663" s="4">
        <v>0</v>
      </c>
      <c r="N2663" s="4">
        <v>0</v>
      </c>
      <c r="O2663" s="4">
        <v>0</v>
      </c>
      <c r="P2663" s="4">
        <v>0</v>
      </c>
      <c r="Q2663" s="4">
        <v>0</v>
      </c>
      <c r="S2663" s="8">
        <f t="shared" si="123"/>
        <v>-185.82833333333335</v>
      </c>
      <c r="T2663" s="8">
        <f t="shared" si="124"/>
        <v>185.82833333333335</v>
      </c>
      <c r="U2663" s="9">
        <f t="shared" si="125"/>
        <v>-1</v>
      </c>
    </row>
    <row r="2664" spans="1:21" outlineLevel="2">
      <c r="A2664" t="s">
        <v>642</v>
      </c>
      <c r="B2664" t="s">
        <v>643</v>
      </c>
      <c r="C2664" t="s">
        <v>111</v>
      </c>
      <c r="D2664" t="s">
        <v>112</v>
      </c>
      <c r="E2664" s="4">
        <v>0</v>
      </c>
      <c r="F2664" s="4">
        <v>0</v>
      </c>
      <c r="G2664" s="4">
        <v>-30356.060000000005</v>
      </c>
      <c r="H2664" s="4">
        <v>-36660.400000000001</v>
      </c>
      <c r="I2664" s="4">
        <v>0</v>
      </c>
      <c r="J2664" s="4">
        <v>0</v>
      </c>
      <c r="K2664" s="4">
        <v>67016.459999999992</v>
      </c>
      <c r="L2664" s="4">
        <v>-0.01</v>
      </c>
      <c r="M2664" s="4">
        <v>0</v>
      </c>
      <c r="N2664" s="4">
        <v>0</v>
      </c>
      <c r="O2664" s="4">
        <v>0</v>
      </c>
      <c r="P2664" s="4">
        <v>0</v>
      </c>
      <c r="Q2664" s="4">
        <v>0</v>
      </c>
      <c r="S2664" s="8">
        <f t="shared" si="123"/>
        <v>-1.6666666666666668E-3</v>
      </c>
      <c r="T2664" s="8">
        <f t="shared" si="124"/>
        <v>1.6666666666666668E-3</v>
      </c>
      <c r="U2664" s="9">
        <f t="shared" si="125"/>
        <v>-1</v>
      </c>
    </row>
    <row r="2665" spans="1:21" outlineLevel="2">
      <c r="A2665" t="s">
        <v>642</v>
      </c>
      <c r="B2665" t="s">
        <v>643</v>
      </c>
      <c r="C2665" t="s">
        <v>127</v>
      </c>
      <c r="D2665" t="s">
        <v>120</v>
      </c>
      <c r="E2665" s="4">
        <v>0</v>
      </c>
      <c r="F2665" s="4">
        <v>0</v>
      </c>
      <c r="G2665" s="4">
        <v>0</v>
      </c>
      <c r="H2665" s="4">
        <v>0</v>
      </c>
      <c r="I2665" s="4">
        <v>0</v>
      </c>
      <c r="J2665" s="4">
        <v>0</v>
      </c>
      <c r="K2665" s="4">
        <v>0</v>
      </c>
      <c r="L2665" s="4">
        <v>0</v>
      </c>
      <c r="M2665" s="4">
        <v>0</v>
      </c>
      <c r="N2665" s="4">
        <v>0</v>
      </c>
      <c r="O2665" s="4">
        <v>0</v>
      </c>
      <c r="P2665" s="4">
        <v>26.77</v>
      </c>
      <c r="Q2665" s="4">
        <v>0</v>
      </c>
      <c r="S2665" s="8">
        <f t="shared" si="123"/>
        <v>4.4616666666666669</v>
      </c>
      <c r="T2665" s="8">
        <f t="shared" si="124"/>
        <v>-4.4616666666666669</v>
      </c>
      <c r="U2665" s="9">
        <f t="shared" si="125"/>
        <v>-1</v>
      </c>
    </row>
    <row r="2666" spans="1:21" outlineLevel="1">
      <c r="A2666" s="1" t="s">
        <v>868</v>
      </c>
      <c r="E2666" s="4">
        <f>SUBTOTAL(9,E2653:E2665)</f>
        <v>2007.08</v>
      </c>
      <c r="F2666" s="4">
        <f>SUBTOTAL(9,F2653:F2665)</f>
        <v>5336.67</v>
      </c>
      <c r="G2666" s="4">
        <f>SUBTOTAL(9,G2653:G2665)</f>
        <v>-29268.220000000005</v>
      </c>
      <c r="H2666" s="4">
        <f>SUBTOTAL(9,H2653:H2665)</f>
        <v>-35047.200000000004</v>
      </c>
      <c r="I2666" s="4">
        <f>SUBTOTAL(9,I2653:I2665)</f>
        <v>-4304.33</v>
      </c>
      <c r="J2666" s="4">
        <f>SUBTOTAL(9,J2653:J2665)</f>
        <v>1278.3599999999999</v>
      </c>
      <c r="K2666" s="4">
        <f>SUBTOTAL(9,K2653:K2665)</f>
        <v>71233.389999999985</v>
      </c>
      <c r="L2666" s="4">
        <f>SUBTOTAL(9,L2653:L2665)</f>
        <v>-770.59000000000015</v>
      </c>
      <c r="M2666" s="4">
        <f>SUBTOTAL(9,M2653:M2665)</f>
        <v>6931.380000000001</v>
      </c>
      <c r="N2666" s="4">
        <f>SUBTOTAL(9,N2653:N2665)</f>
        <v>1092.18</v>
      </c>
      <c r="O2666" s="4">
        <f>SUBTOTAL(9,O2653:O2665)</f>
        <v>101.52</v>
      </c>
      <c r="P2666" s="4">
        <f>SUBTOTAL(9,P2653:P2665)</f>
        <v>3644.03</v>
      </c>
      <c r="Q2666" s="4">
        <f>SUBTOTAL(9,Q2653:Q2665)</f>
        <v>376.15</v>
      </c>
      <c r="R2666" s="4">
        <f>SUBTOTAL(9,R2653:R2665)</f>
        <v>279.7</v>
      </c>
      <c r="S2666" s="8">
        <f t="shared" si="123"/>
        <v>1895.7783333333336</v>
      </c>
      <c r="T2666" s="8">
        <f t="shared" si="124"/>
        <v>-1616.0783333333336</v>
      </c>
      <c r="U2666" s="9">
        <f t="shared" si="125"/>
        <v>-0.85246165383259476</v>
      </c>
    </row>
    <row r="2667" spans="1:21" outlineLevel="2">
      <c r="A2667" t="s">
        <v>644</v>
      </c>
      <c r="B2667" t="s">
        <v>273</v>
      </c>
      <c r="C2667" t="s">
        <v>21</v>
      </c>
      <c r="D2667" t="s">
        <v>22</v>
      </c>
      <c r="E2667" s="4">
        <v>0</v>
      </c>
      <c r="F2667" s="4">
        <v>0</v>
      </c>
      <c r="G2667" s="4">
        <v>0</v>
      </c>
      <c r="H2667" s="4">
        <v>0</v>
      </c>
      <c r="I2667" s="4">
        <v>0</v>
      </c>
      <c r="J2667" s="4">
        <v>0</v>
      </c>
      <c r="K2667" s="4">
        <v>0</v>
      </c>
      <c r="L2667" s="4">
        <v>0</v>
      </c>
      <c r="M2667" s="4">
        <v>0</v>
      </c>
      <c r="N2667" s="4">
        <v>0</v>
      </c>
      <c r="O2667" s="4">
        <v>0</v>
      </c>
      <c r="P2667" s="4">
        <v>0</v>
      </c>
      <c r="Q2667" s="4">
        <v>12203.22</v>
      </c>
      <c r="S2667" s="8">
        <f t="shared" si="123"/>
        <v>2033.87</v>
      </c>
      <c r="T2667" s="8">
        <f t="shared" si="124"/>
        <v>-2033.87</v>
      </c>
      <c r="U2667" s="9">
        <f t="shared" si="125"/>
        <v>-1</v>
      </c>
    </row>
    <row r="2668" spans="1:21" outlineLevel="2">
      <c r="A2668" t="s">
        <v>644</v>
      </c>
      <c r="B2668" t="s">
        <v>273</v>
      </c>
      <c r="C2668" t="s">
        <v>23</v>
      </c>
      <c r="D2668" t="s">
        <v>24</v>
      </c>
      <c r="E2668" s="4">
        <v>0</v>
      </c>
      <c r="F2668" s="4">
        <v>0</v>
      </c>
      <c r="G2668" s="4">
        <v>0</v>
      </c>
      <c r="H2668" s="4">
        <v>0</v>
      </c>
      <c r="I2668" s="4">
        <v>0</v>
      </c>
      <c r="J2668" s="4">
        <v>0</v>
      </c>
      <c r="K2668" s="4">
        <v>0</v>
      </c>
      <c r="L2668" s="4">
        <v>0</v>
      </c>
      <c r="M2668" s="4">
        <v>0</v>
      </c>
      <c r="N2668" s="4">
        <v>0</v>
      </c>
      <c r="O2668" s="4">
        <v>0</v>
      </c>
      <c r="P2668" s="4">
        <v>0</v>
      </c>
      <c r="Q2668" s="4">
        <v>0</v>
      </c>
      <c r="S2668" s="8">
        <f t="shared" si="123"/>
        <v>0</v>
      </c>
      <c r="T2668" s="8">
        <f t="shared" si="124"/>
        <v>0</v>
      </c>
      <c r="U2668" s="9" t="e">
        <f t="shared" si="125"/>
        <v>#DIV/0!</v>
      </c>
    </row>
    <row r="2669" spans="1:21" outlineLevel="2">
      <c r="A2669" t="s">
        <v>644</v>
      </c>
      <c r="B2669" t="s">
        <v>273</v>
      </c>
      <c r="C2669" t="s">
        <v>83</v>
      </c>
      <c r="D2669" t="s">
        <v>84</v>
      </c>
      <c r="E2669" s="4">
        <v>0</v>
      </c>
      <c r="F2669" s="4">
        <v>0</v>
      </c>
      <c r="G2669" s="4">
        <v>0</v>
      </c>
      <c r="H2669" s="4">
        <v>0</v>
      </c>
      <c r="I2669" s="4">
        <v>0</v>
      </c>
      <c r="J2669" s="4">
        <v>0</v>
      </c>
      <c r="K2669" s="4">
        <v>0</v>
      </c>
      <c r="L2669" s="4">
        <v>0</v>
      </c>
      <c r="M2669" s="4">
        <v>0</v>
      </c>
      <c r="N2669" s="4">
        <v>0</v>
      </c>
      <c r="O2669" s="4">
        <v>0</v>
      </c>
      <c r="P2669" s="4">
        <v>0</v>
      </c>
      <c r="Q2669" s="4">
        <v>5850.01</v>
      </c>
      <c r="S2669" s="8">
        <f t="shared" si="123"/>
        <v>975.00166666666667</v>
      </c>
      <c r="T2669" s="8">
        <f t="shared" si="124"/>
        <v>-975.00166666666667</v>
      </c>
      <c r="U2669" s="9">
        <f t="shared" si="125"/>
        <v>-1</v>
      </c>
    </row>
    <row r="2670" spans="1:21" outlineLevel="2">
      <c r="A2670" t="s">
        <v>644</v>
      </c>
      <c r="B2670" t="s">
        <v>273</v>
      </c>
      <c r="C2670" t="s">
        <v>93</v>
      </c>
      <c r="D2670" t="s">
        <v>94</v>
      </c>
      <c r="E2670" s="4">
        <v>0</v>
      </c>
      <c r="F2670" s="4">
        <v>0</v>
      </c>
      <c r="G2670" s="4">
        <v>0</v>
      </c>
      <c r="H2670" s="4">
        <v>0</v>
      </c>
      <c r="I2670" s="4">
        <v>0</v>
      </c>
      <c r="J2670" s="4">
        <v>0</v>
      </c>
      <c r="K2670" s="4">
        <v>0</v>
      </c>
      <c r="L2670" s="4">
        <v>0</v>
      </c>
      <c r="M2670" s="4">
        <v>0</v>
      </c>
      <c r="N2670" s="4">
        <v>0</v>
      </c>
      <c r="O2670" s="4">
        <v>0</v>
      </c>
      <c r="P2670" s="4">
        <v>0</v>
      </c>
      <c r="Q2670" s="4">
        <v>100</v>
      </c>
      <c r="S2670" s="8">
        <f t="shared" si="123"/>
        <v>16.666666666666668</v>
      </c>
      <c r="T2670" s="8">
        <f t="shared" si="124"/>
        <v>-16.666666666666668</v>
      </c>
      <c r="U2670" s="9">
        <f t="shared" si="125"/>
        <v>-1</v>
      </c>
    </row>
    <row r="2671" spans="1:21" outlineLevel="1">
      <c r="A2671" s="1" t="s">
        <v>869</v>
      </c>
      <c r="E2671" s="4">
        <f>SUBTOTAL(9,E2667:E2670)</f>
        <v>0</v>
      </c>
      <c r="F2671" s="4">
        <f>SUBTOTAL(9,F2667:F2670)</f>
        <v>0</v>
      </c>
      <c r="G2671" s="4">
        <f>SUBTOTAL(9,G2667:G2670)</f>
        <v>0</v>
      </c>
      <c r="H2671" s="4">
        <f>SUBTOTAL(9,H2667:H2670)</f>
        <v>0</v>
      </c>
      <c r="I2671" s="4">
        <f>SUBTOTAL(9,I2667:I2670)</f>
        <v>0</v>
      </c>
      <c r="J2671" s="4">
        <f>SUBTOTAL(9,J2667:J2670)</f>
        <v>0</v>
      </c>
      <c r="K2671" s="4">
        <f>SUBTOTAL(9,K2667:K2670)</f>
        <v>0</v>
      </c>
      <c r="L2671" s="4">
        <f>SUBTOTAL(9,L2667:L2670)</f>
        <v>0</v>
      </c>
      <c r="M2671" s="4">
        <f>SUBTOTAL(9,M2667:M2670)</f>
        <v>0</v>
      </c>
      <c r="N2671" s="4">
        <f>SUBTOTAL(9,N2667:N2670)</f>
        <v>0</v>
      </c>
      <c r="O2671" s="4">
        <f>SUBTOTAL(9,O2667:O2670)</f>
        <v>0</v>
      </c>
      <c r="P2671" s="4">
        <f>SUBTOTAL(9,P2667:P2670)</f>
        <v>0</v>
      </c>
      <c r="Q2671" s="4">
        <f>SUBTOTAL(9,Q2667:Q2670)</f>
        <v>18153.23</v>
      </c>
      <c r="R2671" s="4">
        <f>SUBTOTAL(9,R2667:R2670)</f>
        <v>0</v>
      </c>
      <c r="S2671" s="8">
        <f t="shared" si="123"/>
        <v>3025.5383333333334</v>
      </c>
      <c r="T2671" s="8">
        <f t="shared" si="124"/>
        <v>-3025.5383333333334</v>
      </c>
      <c r="U2671" s="9">
        <f t="shared" si="125"/>
        <v>-1</v>
      </c>
    </row>
    <row r="2672" spans="1:21" outlineLevel="2">
      <c r="A2672" t="s">
        <v>645</v>
      </c>
      <c r="B2672" t="s">
        <v>646</v>
      </c>
      <c r="C2672" t="s">
        <v>21</v>
      </c>
      <c r="D2672" t="s">
        <v>22</v>
      </c>
      <c r="E2672" s="4">
        <v>1126.22</v>
      </c>
      <c r="F2672" s="4">
        <v>17.420000000000002</v>
      </c>
      <c r="G2672" s="4">
        <v>0</v>
      </c>
      <c r="H2672" s="4">
        <v>0</v>
      </c>
      <c r="I2672" s="4">
        <v>0</v>
      </c>
      <c r="J2672" s="4">
        <v>0</v>
      </c>
      <c r="K2672" s="4">
        <v>0</v>
      </c>
      <c r="L2672" s="4">
        <v>0</v>
      </c>
      <c r="M2672" s="4">
        <v>0</v>
      </c>
      <c r="N2672" s="4">
        <v>183.32</v>
      </c>
      <c r="O2672" s="4">
        <v>0</v>
      </c>
      <c r="P2672" s="4">
        <v>272.8</v>
      </c>
      <c r="Q2672" s="4">
        <v>95.99</v>
      </c>
      <c r="S2672" s="8">
        <f t="shared" si="123"/>
        <v>92.018333333333331</v>
      </c>
      <c r="T2672" s="8">
        <f t="shared" si="124"/>
        <v>-92.018333333333331</v>
      </c>
      <c r="U2672" s="9">
        <f t="shared" si="125"/>
        <v>-1</v>
      </c>
    </row>
    <row r="2673" spans="1:21" outlineLevel="2">
      <c r="A2673" t="s">
        <v>645</v>
      </c>
      <c r="B2673" t="s">
        <v>646</v>
      </c>
      <c r="C2673" t="s">
        <v>23</v>
      </c>
      <c r="D2673" t="s">
        <v>24</v>
      </c>
      <c r="E2673" s="4">
        <v>276.52999999999997</v>
      </c>
      <c r="F2673" s="4">
        <v>0</v>
      </c>
      <c r="G2673" s="4">
        <v>0</v>
      </c>
      <c r="H2673" s="4">
        <v>0</v>
      </c>
      <c r="I2673" s="4">
        <v>0</v>
      </c>
      <c r="J2673" s="4">
        <v>0</v>
      </c>
      <c r="K2673" s="4">
        <v>0</v>
      </c>
      <c r="L2673" s="4">
        <v>0</v>
      </c>
      <c r="M2673" s="4">
        <v>217.32</v>
      </c>
      <c r="N2673" s="4">
        <v>0</v>
      </c>
      <c r="O2673" s="4">
        <v>0</v>
      </c>
      <c r="P2673" s="4">
        <v>160</v>
      </c>
      <c r="Q2673" s="4">
        <v>179.95</v>
      </c>
      <c r="S2673" s="8">
        <f t="shared" si="123"/>
        <v>92.87833333333333</v>
      </c>
      <c r="T2673" s="8">
        <f t="shared" si="124"/>
        <v>-92.87833333333333</v>
      </c>
      <c r="U2673" s="9">
        <f t="shared" si="125"/>
        <v>-1</v>
      </c>
    </row>
    <row r="2674" spans="1:21" outlineLevel="2">
      <c r="A2674" t="s">
        <v>645</v>
      </c>
      <c r="B2674" t="s">
        <v>646</v>
      </c>
      <c r="C2674" t="s">
        <v>25</v>
      </c>
      <c r="D2674" t="s">
        <v>26</v>
      </c>
      <c r="E2674" s="4">
        <v>1535.73</v>
      </c>
      <c r="F2674" s="4">
        <v>0</v>
      </c>
      <c r="G2674" s="4">
        <v>0</v>
      </c>
      <c r="H2674" s="4">
        <v>0</v>
      </c>
      <c r="I2674" s="4">
        <v>0</v>
      </c>
      <c r="J2674" s="4">
        <v>0</v>
      </c>
      <c r="K2674" s="4">
        <v>0</v>
      </c>
      <c r="L2674" s="4">
        <v>0</v>
      </c>
      <c r="M2674" s="4">
        <v>0</v>
      </c>
      <c r="N2674" s="4">
        <v>0</v>
      </c>
      <c r="O2674" s="4">
        <v>0</v>
      </c>
      <c r="P2674" s="4">
        <v>282.21000000000004</v>
      </c>
      <c r="Q2674" s="4">
        <v>369.15</v>
      </c>
      <c r="S2674" s="8">
        <f t="shared" si="123"/>
        <v>108.56</v>
      </c>
      <c r="T2674" s="8">
        <f t="shared" si="124"/>
        <v>-108.56</v>
      </c>
      <c r="U2674" s="9">
        <f t="shared" si="125"/>
        <v>-1</v>
      </c>
    </row>
    <row r="2675" spans="1:21" outlineLevel="2">
      <c r="A2675" t="s">
        <v>645</v>
      </c>
      <c r="B2675" t="s">
        <v>646</v>
      </c>
      <c r="C2675" t="s">
        <v>27</v>
      </c>
      <c r="D2675" t="s">
        <v>28</v>
      </c>
      <c r="E2675" s="4">
        <v>576.04</v>
      </c>
      <c r="F2675" s="4">
        <v>0</v>
      </c>
      <c r="G2675" s="4">
        <v>0</v>
      </c>
      <c r="H2675" s="4">
        <v>0</v>
      </c>
      <c r="I2675" s="4">
        <v>0</v>
      </c>
      <c r="J2675" s="4">
        <v>0</v>
      </c>
      <c r="K2675" s="4">
        <v>0</v>
      </c>
      <c r="L2675" s="4">
        <v>0</v>
      </c>
      <c r="M2675" s="4">
        <v>442.97</v>
      </c>
      <c r="N2675" s="4">
        <v>0</v>
      </c>
      <c r="O2675" s="4">
        <v>0</v>
      </c>
      <c r="P2675" s="4">
        <v>65.23</v>
      </c>
      <c r="Q2675" s="4">
        <v>636.24</v>
      </c>
      <c r="S2675" s="8">
        <f t="shared" si="123"/>
        <v>190.74</v>
      </c>
      <c r="T2675" s="8">
        <f t="shared" si="124"/>
        <v>-190.74</v>
      </c>
      <c r="U2675" s="9">
        <f t="shared" si="125"/>
        <v>-1</v>
      </c>
    </row>
    <row r="2676" spans="1:21" outlineLevel="2">
      <c r="A2676" t="s">
        <v>645</v>
      </c>
      <c r="B2676" t="s">
        <v>646</v>
      </c>
      <c r="C2676" t="s">
        <v>47</v>
      </c>
      <c r="D2676" t="s">
        <v>48</v>
      </c>
      <c r="E2676" s="4">
        <v>0</v>
      </c>
      <c r="F2676" s="4">
        <v>0</v>
      </c>
      <c r="G2676" s="4">
        <v>0</v>
      </c>
      <c r="H2676" s="4">
        <v>0</v>
      </c>
      <c r="I2676" s="4">
        <v>0</v>
      </c>
      <c r="J2676" s="4">
        <v>0</v>
      </c>
      <c r="K2676" s="4">
        <v>0</v>
      </c>
      <c r="L2676" s="4">
        <v>0</v>
      </c>
      <c r="M2676" s="4">
        <v>0</v>
      </c>
      <c r="N2676" s="4">
        <v>53.63</v>
      </c>
      <c r="O2676" s="4">
        <v>0</v>
      </c>
      <c r="P2676" s="4">
        <v>0</v>
      </c>
      <c r="Q2676" s="4">
        <v>0</v>
      </c>
      <c r="S2676" s="8">
        <f t="shared" si="123"/>
        <v>8.9383333333333344</v>
      </c>
      <c r="T2676" s="8">
        <f t="shared" si="124"/>
        <v>-8.9383333333333344</v>
      </c>
      <c r="U2676" s="9">
        <f t="shared" si="125"/>
        <v>-1</v>
      </c>
    </row>
    <row r="2677" spans="1:21" outlineLevel="2">
      <c r="A2677" t="s">
        <v>645</v>
      </c>
      <c r="B2677" t="s">
        <v>646</v>
      </c>
      <c r="C2677" t="s">
        <v>51</v>
      </c>
      <c r="D2677" t="s">
        <v>52</v>
      </c>
      <c r="E2677" s="4">
        <v>0</v>
      </c>
      <c r="F2677" s="4">
        <v>0</v>
      </c>
      <c r="G2677" s="4">
        <v>0</v>
      </c>
      <c r="H2677" s="4">
        <v>0</v>
      </c>
      <c r="I2677" s="4">
        <v>0</v>
      </c>
      <c r="J2677" s="4">
        <v>0</v>
      </c>
      <c r="K2677" s="4">
        <v>0</v>
      </c>
      <c r="L2677" s="4">
        <v>0</v>
      </c>
      <c r="M2677" s="4">
        <v>0</v>
      </c>
      <c r="N2677" s="4">
        <v>650</v>
      </c>
      <c r="O2677" s="4">
        <v>0</v>
      </c>
      <c r="P2677" s="4">
        <v>75.069999999999993</v>
      </c>
      <c r="Q2677" s="4">
        <v>0</v>
      </c>
      <c r="S2677" s="8">
        <f t="shared" si="123"/>
        <v>120.84499999999998</v>
      </c>
      <c r="T2677" s="8">
        <f t="shared" si="124"/>
        <v>-120.84499999999998</v>
      </c>
      <c r="U2677" s="9">
        <f t="shared" si="125"/>
        <v>-1</v>
      </c>
    </row>
    <row r="2678" spans="1:21" outlineLevel="2">
      <c r="A2678" t="s">
        <v>645</v>
      </c>
      <c r="B2678" t="s">
        <v>646</v>
      </c>
      <c r="C2678" t="s">
        <v>101</v>
      </c>
      <c r="D2678" t="s">
        <v>102</v>
      </c>
      <c r="E2678" s="4">
        <v>0</v>
      </c>
      <c r="F2678" s="4">
        <v>0</v>
      </c>
      <c r="G2678" s="4">
        <v>0</v>
      </c>
      <c r="H2678" s="4">
        <v>0</v>
      </c>
      <c r="I2678" s="4">
        <v>0</v>
      </c>
      <c r="J2678" s="4">
        <v>0</v>
      </c>
      <c r="K2678" s="4">
        <v>0</v>
      </c>
      <c r="L2678" s="4">
        <v>0</v>
      </c>
      <c r="M2678" s="4">
        <v>0</v>
      </c>
      <c r="N2678" s="4">
        <v>0</v>
      </c>
      <c r="O2678" s="4">
        <v>0</v>
      </c>
      <c r="P2678" s="4">
        <v>0</v>
      </c>
      <c r="Q2678" s="4">
        <v>0</v>
      </c>
      <c r="S2678" s="8">
        <f t="shared" si="123"/>
        <v>0</v>
      </c>
      <c r="T2678" s="8">
        <f t="shared" si="124"/>
        <v>0</v>
      </c>
      <c r="U2678" s="9" t="e">
        <f t="shared" si="125"/>
        <v>#DIV/0!</v>
      </c>
    </row>
    <row r="2679" spans="1:21" outlineLevel="2">
      <c r="A2679" t="s">
        <v>645</v>
      </c>
      <c r="B2679" t="s">
        <v>646</v>
      </c>
      <c r="C2679" t="s">
        <v>127</v>
      </c>
      <c r="D2679" t="s">
        <v>120</v>
      </c>
      <c r="E2679" s="4">
        <v>0</v>
      </c>
      <c r="F2679" s="4">
        <v>0</v>
      </c>
      <c r="G2679" s="4">
        <v>0</v>
      </c>
      <c r="H2679" s="4">
        <v>0</v>
      </c>
      <c r="I2679" s="4">
        <v>0</v>
      </c>
      <c r="J2679" s="4">
        <v>0</v>
      </c>
      <c r="K2679" s="4">
        <v>0</v>
      </c>
      <c r="L2679" s="4">
        <v>0</v>
      </c>
      <c r="M2679" s="4">
        <v>0</v>
      </c>
      <c r="N2679" s="4">
        <v>0</v>
      </c>
      <c r="O2679" s="4">
        <v>0</v>
      </c>
      <c r="P2679" s="4">
        <v>4.21</v>
      </c>
      <c r="Q2679" s="4">
        <v>0</v>
      </c>
      <c r="S2679" s="8">
        <f t="shared" si="123"/>
        <v>0.70166666666666666</v>
      </c>
      <c r="T2679" s="8">
        <f t="shared" si="124"/>
        <v>-0.70166666666666666</v>
      </c>
      <c r="U2679" s="9">
        <f t="shared" si="125"/>
        <v>-1</v>
      </c>
    </row>
    <row r="2680" spans="1:21" outlineLevel="1">
      <c r="A2680" s="1" t="s">
        <v>870</v>
      </c>
      <c r="E2680" s="4">
        <f>SUBTOTAL(9,E2672:E2679)</f>
        <v>3514.52</v>
      </c>
      <c r="F2680" s="4">
        <f>SUBTOTAL(9,F2672:F2679)</f>
        <v>17.420000000000002</v>
      </c>
      <c r="G2680" s="4">
        <f>SUBTOTAL(9,G2672:G2679)</f>
        <v>0</v>
      </c>
      <c r="H2680" s="4">
        <f>SUBTOTAL(9,H2672:H2679)</f>
        <v>0</v>
      </c>
      <c r="I2680" s="4">
        <f>SUBTOTAL(9,I2672:I2679)</f>
        <v>0</v>
      </c>
      <c r="J2680" s="4">
        <f>SUBTOTAL(9,J2672:J2679)</f>
        <v>0</v>
      </c>
      <c r="K2680" s="4">
        <f>SUBTOTAL(9,K2672:K2679)</f>
        <v>0</v>
      </c>
      <c r="L2680" s="4">
        <f>SUBTOTAL(9,L2672:L2679)</f>
        <v>0</v>
      </c>
      <c r="M2680" s="4">
        <f>SUBTOTAL(9,M2672:M2679)</f>
        <v>660.29</v>
      </c>
      <c r="N2680" s="4">
        <f>SUBTOTAL(9,N2672:N2679)</f>
        <v>886.95</v>
      </c>
      <c r="O2680" s="4">
        <f>SUBTOTAL(9,O2672:O2679)</f>
        <v>0</v>
      </c>
      <c r="P2680" s="4">
        <f>SUBTOTAL(9,P2672:P2679)</f>
        <v>859.52</v>
      </c>
      <c r="Q2680" s="4">
        <f>SUBTOTAL(9,Q2672:Q2679)</f>
        <v>1281.33</v>
      </c>
      <c r="R2680" s="4">
        <f>SUBTOTAL(9,R2672:R2679)</f>
        <v>0</v>
      </c>
      <c r="S2680" s="8">
        <f t="shared" si="123"/>
        <v>614.68166666666673</v>
      </c>
      <c r="T2680" s="8">
        <f t="shared" si="124"/>
        <v>-614.68166666666673</v>
      </c>
      <c r="U2680" s="9">
        <f t="shared" si="125"/>
        <v>-1</v>
      </c>
    </row>
    <row r="2681" spans="1:21" outlineLevel="2">
      <c r="A2681" t="s">
        <v>647</v>
      </c>
      <c r="B2681" t="s">
        <v>648</v>
      </c>
      <c r="C2681" t="s">
        <v>19</v>
      </c>
      <c r="D2681" t="s">
        <v>20</v>
      </c>
      <c r="E2681" s="4">
        <v>0</v>
      </c>
      <c r="F2681" s="4">
        <v>12327.310000000001</v>
      </c>
      <c r="G2681" s="4">
        <v>-12327.310000000005</v>
      </c>
      <c r="H2681" s="4">
        <v>0</v>
      </c>
      <c r="I2681" s="4">
        <v>730.94</v>
      </c>
      <c r="J2681" s="4">
        <v>13348.920000000002</v>
      </c>
      <c r="K2681" s="4">
        <v>-1.77315939708933E-11</v>
      </c>
      <c r="L2681" s="4">
        <v>-14079.859999999999</v>
      </c>
      <c r="M2681" s="4">
        <v>-1.7042367517206003E-11</v>
      </c>
      <c r="N2681" s="4">
        <v>0</v>
      </c>
      <c r="O2681" s="4">
        <v>0</v>
      </c>
      <c r="P2681" s="4">
        <v>7.2759576141834259E-12</v>
      </c>
      <c r="Q2681" s="4">
        <v>3.637978807091713E-12</v>
      </c>
      <c r="S2681" s="8">
        <f t="shared" si="123"/>
        <v>-2346.6433333333339</v>
      </c>
      <c r="T2681" s="8">
        <f t="shared" si="124"/>
        <v>2346.6433333333339</v>
      </c>
      <c r="U2681" s="9">
        <f t="shared" si="125"/>
        <v>-1</v>
      </c>
    </row>
    <row r="2682" spans="1:21" outlineLevel="2">
      <c r="A2682" t="s">
        <v>647</v>
      </c>
      <c r="B2682" t="s">
        <v>648</v>
      </c>
      <c r="C2682" t="s">
        <v>21</v>
      </c>
      <c r="D2682" t="s">
        <v>22</v>
      </c>
      <c r="E2682" s="4">
        <v>229.71</v>
      </c>
      <c r="F2682" s="4">
        <v>275.7</v>
      </c>
      <c r="G2682" s="4">
        <v>2128.2599999999993</v>
      </c>
      <c r="H2682" s="4">
        <v>372.67999999999995</v>
      </c>
      <c r="I2682" s="4">
        <v>989.13000000000011</v>
      </c>
      <c r="J2682" s="4">
        <v>311.69</v>
      </c>
      <c r="K2682" s="4">
        <v>3526.1100000000006</v>
      </c>
      <c r="L2682" s="4">
        <v>2261.66</v>
      </c>
      <c r="M2682" s="4">
        <v>886.0200000000001</v>
      </c>
      <c r="N2682" s="4">
        <v>2542.3499999999995</v>
      </c>
      <c r="O2682" s="4">
        <v>835.14999999999975</v>
      </c>
      <c r="P2682" s="4">
        <v>1125.26</v>
      </c>
      <c r="Q2682" s="4">
        <v>0</v>
      </c>
      <c r="S2682" s="8">
        <f t="shared" si="123"/>
        <v>1275.073333333333</v>
      </c>
      <c r="T2682" s="8">
        <f t="shared" si="124"/>
        <v>-1275.073333333333</v>
      </c>
      <c r="U2682" s="9">
        <f t="shared" si="125"/>
        <v>-1</v>
      </c>
    </row>
    <row r="2683" spans="1:21" outlineLevel="2">
      <c r="A2683" t="s">
        <v>647</v>
      </c>
      <c r="B2683" t="s">
        <v>648</v>
      </c>
      <c r="C2683" t="s">
        <v>23</v>
      </c>
      <c r="D2683" t="s">
        <v>24</v>
      </c>
      <c r="E2683" s="4">
        <v>983.04</v>
      </c>
      <c r="F2683" s="4">
        <v>1455.74</v>
      </c>
      <c r="G2683" s="4">
        <v>7561.9399999999978</v>
      </c>
      <c r="H2683" s="4">
        <v>4443.95</v>
      </c>
      <c r="I2683" s="4">
        <v>7876.4699999999993</v>
      </c>
      <c r="J2683" s="4">
        <v>935.51</v>
      </c>
      <c r="K2683" s="4">
        <v>15757.209999999972</v>
      </c>
      <c r="L2683" s="4">
        <v>9949.6000000000058</v>
      </c>
      <c r="M2683" s="4">
        <v>22.96</v>
      </c>
      <c r="N2683" s="4">
        <v>0</v>
      </c>
      <c r="O2683" s="4">
        <v>603.63</v>
      </c>
      <c r="P2683" s="4">
        <v>0</v>
      </c>
      <c r="Q2683" s="4">
        <v>0</v>
      </c>
      <c r="S2683" s="8">
        <f t="shared" si="123"/>
        <v>1762.6983333333339</v>
      </c>
      <c r="T2683" s="8">
        <f t="shared" si="124"/>
        <v>-1762.6983333333339</v>
      </c>
      <c r="U2683" s="9">
        <f t="shared" si="125"/>
        <v>-1</v>
      </c>
    </row>
    <row r="2684" spans="1:21" outlineLevel="2">
      <c r="A2684" t="s">
        <v>647</v>
      </c>
      <c r="B2684" t="s">
        <v>648</v>
      </c>
      <c r="C2684" t="s">
        <v>25</v>
      </c>
      <c r="D2684" t="s">
        <v>26</v>
      </c>
      <c r="E2684" s="4">
        <v>0</v>
      </c>
      <c r="F2684" s="4">
        <v>0</v>
      </c>
      <c r="G2684" s="4">
        <v>0</v>
      </c>
      <c r="H2684" s="4">
        <v>0</v>
      </c>
      <c r="I2684" s="4">
        <v>0</v>
      </c>
      <c r="J2684" s="4">
        <v>0</v>
      </c>
      <c r="K2684" s="4">
        <v>0</v>
      </c>
      <c r="L2684" s="4">
        <v>0</v>
      </c>
      <c r="M2684" s="4">
        <v>3245.4399999999991</v>
      </c>
      <c r="N2684" s="4">
        <v>7622.88</v>
      </c>
      <c r="O2684" s="4">
        <v>6968.08</v>
      </c>
      <c r="P2684" s="4">
        <v>3578.829999999999</v>
      </c>
      <c r="Q2684" s="4">
        <v>0</v>
      </c>
      <c r="S2684" s="8">
        <f t="shared" si="123"/>
        <v>3569.2049999999999</v>
      </c>
      <c r="T2684" s="8">
        <f t="shared" si="124"/>
        <v>-3569.2049999999999</v>
      </c>
      <c r="U2684" s="9">
        <f t="shared" si="125"/>
        <v>-1</v>
      </c>
    </row>
    <row r="2685" spans="1:21" outlineLevel="2">
      <c r="A2685" t="s">
        <v>647</v>
      </c>
      <c r="B2685" t="s">
        <v>648</v>
      </c>
      <c r="C2685" t="s">
        <v>27</v>
      </c>
      <c r="D2685" t="s">
        <v>28</v>
      </c>
      <c r="E2685" s="4">
        <v>0</v>
      </c>
      <c r="F2685" s="4">
        <v>0</v>
      </c>
      <c r="G2685" s="4">
        <v>0</v>
      </c>
      <c r="H2685" s="4">
        <v>0</v>
      </c>
      <c r="I2685" s="4">
        <v>0</v>
      </c>
      <c r="J2685" s="4">
        <v>0</v>
      </c>
      <c r="K2685" s="4">
        <v>0</v>
      </c>
      <c r="L2685" s="4">
        <v>0</v>
      </c>
      <c r="M2685" s="4">
        <v>55.629999999999995</v>
      </c>
      <c r="N2685" s="4">
        <v>0</v>
      </c>
      <c r="O2685" s="4">
        <v>606.97</v>
      </c>
      <c r="P2685" s="4">
        <v>0</v>
      </c>
      <c r="Q2685" s="4">
        <v>0</v>
      </c>
      <c r="S2685" s="8">
        <f t="shared" si="123"/>
        <v>110.43333333333334</v>
      </c>
      <c r="T2685" s="8">
        <f t="shared" si="124"/>
        <v>-110.43333333333334</v>
      </c>
      <c r="U2685" s="9">
        <f t="shared" si="125"/>
        <v>-1</v>
      </c>
    </row>
    <row r="2686" spans="1:21" outlineLevel="2">
      <c r="A2686" t="s">
        <v>647</v>
      </c>
      <c r="B2686" t="s">
        <v>648</v>
      </c>
      <c r="C2686" t="s">
        <v>140</v>
      </c>
      <c r="D2686" t="s">
        <v>141</v>
      </c>
      <c r="E2686" s="4">
        <v>-2068.2399999999998</v>
      </c>
      <c r="F2686" s="4">
        <v>0</v>
      </c>
      <c r="G2686" s="4">
        <v>-2432.52</v>
      </c>
      <c r="H2686" s="4">
        <v>0</v>
      </c>
      <c r="I2686" s="4">
        <v>0</v>
      </c>
      <c r="J2686" s="4">
        <v>-19740</v>
      </c>
      <c r="K2686" s="4">
        <v>0</v>
      </c>
      <c r="L2686" s="4">
        <v>-6392</v>
      </c>
      <c r="M2686" s="4">
        <v>-13254</v>
      </c>
      <c r="N2686" s="4">
        <v>-20304</v>
      </c>
      <c r="O2686" s="4">
        <v>-6311.28</v>
      </c>
      <c r="P2686" s="4">
        <v>0</v>
      </c>
      <c r="Q2686" s="4">
        <v>0</v>
      </c>
      <c r="S2686" s="8">
        <f t="shared" si="123"/>
        <v>-7710.2133333333331</v>
      </c>
      <c r="T2686" s="8">
        <f t="shared" si="124"/>
        <v>7710.2133333333331</v>
      </c>
      <c r="U2686" s="9">
        <f t="shared" si="125"/>
        <v>-1</v>
      </c>
    </row>
    <row r="2687" spans="1:21" outlineLevel="2">
      <c r="A2687" t="s">
        <v>647</v>
      </c>
      <c r="B2687" t="s">
        <v>648</v>
      </c>
      <c r="C2687" t="s">
        <v>33</v>
      </c>
      <c r="D2687" t="s">
        <v>34</v>
      </c>
      <c r="E2687" s="4">
        <v>1895</v>
      </c>
      <c r="F2687" s="4">
        <v>695</v>
      </c>
      <c r="G2687" s="4">
        <v>0</v>
      </c>
      <c r="H2687" s="4">
        <v>0</v>
      </c>
      <c r="I2687" s="4">
        <v>0</v>
      </c>
      <c r="J2687" s="4">
        <v>50</v>
      </c>
      <c r="K2687" s="4">
        <v>0</v>
      </c>
      <c r="L2687" s="4">
        <v>0</v>
      </c>
      <c r="M2687" s="4">
        <v>0</v>
      </c>
      <c r="N2687" s="4">
        <v>0</v>
      </c>
      <c r="O2687" s="4">
        <v>0</v>
      </c>
      <c r="P2687" s="4">
        <v>0</v>
      </c>
      <c r="Q2687" s="4">
        <v>0</v>
      </c>
      <c r="S2687" s="8">
        <f t="shared" si="123"/>
        <v>0</v>
      </c>
      <c r="T2687" s="8">
        <f t="shared" si="124"/>
        <v>0</v>
      </c>
      <c r="U2687" s="9" t="e">
        <f t="shared" si="125"/>
        <v>#DIV/0!</v>
      </c>
    </row>
    <row r="2688" spans="1:21" outlineLevel="2">
      <c r="A2688" t="s">
        <v>647</v>
      </c>
      <c r="B2688" t="s">
        <v>648</v>
      </c>
      <c r="C2688" t="s">
        <v>180</v>
      </c>
      <c r="D2688" t="s">
        <v>181</v>
      </c>
      <c r="E2688" s="4">
        <v>17.46</v>
      </c>
      <c r="F2688" s="4">
        <v>573.55999999999995</v>
      </c>
      <c r="G2688" s="4">
        <v>89.28</v>
      </c>
      <c r="H2688" s="4">
        <v>128.05000000000001</v>
      </c>
      <c r="I2688" s="4">
        <v>202.8</v>
      </c>
      <c r="J2688" s="4">
        <v>0</v>
      </c>
      <c r="K2688" s="4">
        <v>0</v>
      </c>
      <c r="L2688" s="4">
        <v>-177.63</v>
      </c>
      <c r="M2688" s="4">
        <v>0</v>
      </c>
      <c r="N2688" s="4">
        <v>59.99</v>
      </c>
      <c r="O2688" s="4">
        <v>0</v>
      </c>
      <c r="P2688" s="4">
        <v>0</v>
      </c>
      <c r="Q2688" s="4">
        <v>0</v>
      </c>
      <c r="S2688" s="8">
        <f t="shared" si="123"/>
        <v>-19.606666666666666</v>
      </c>
      <c r="T2688" s="8">
        <f t="shared" si="124"/>
        <v>19.606666666666666</v>
      </c>
      <c r="U2688" s="9">
        <f t="shared" si="125"/>
        <v>-1</v>
      </c>
    </row>
    <row r="2689" spans="1:22" outlineLevel="2">
      <c r="A2689" t="s">
        <v>647</v>
      </c>
      <c r="B2689" t="s">
        <v>648</v>
      </c>
      <c r="C2689" t="s">
        <v>43</v>
      </c>
      <c r="D2689" t="s">
        <v>44</v>
      </c>
      <c r="E2689" s="4">
        <v>0</v>
      </c>
      <c r="F2689" s="4">
        <v>0</v>
      </c>
      <c r="G2689" s="4">
        <v>0</v>
      </c>
      <c r="H2689" s="4">
        <v>-8.7254647951340303E-12</v>
      </c>
      <c r="I2689" s="4">
        <v>0</v>
      </c>
      <c r="J2689" s="4">
        <v>-1.4551915228366852E-11</v>
      </c>
      <c r="K2689" s="4">
        <v>-1.5702994460298214E-11</v>
      </c>
      <c r="L2689" s="4">
        <v>-1.4551915228366852E-11</v>
      </c>
      <c r="M2689" s="4">
        <v>-7.2759576141834259E-12</v>
      </c>
      <c r="N2689" s="4">
        <v>-2.3590018827235326E-12</v>
      </c>
      <c r="O2689" s="4">
        <v>2.9103830456733704E-11</v>
      </c>
      <c r="P2689" s="4">
        <v>0</v>
      </c>
      <c r="Q2689" s="4">
        <v>3.637978807091713E-12</v>
      </c>
      <c r="S2689" s="8">
        <f t="shared" si="123"/>
        <v>1.4258224230919343E-12</v>
      </c>
      <c r="T2689" s="8">
        <f t="shared" si="124"/>
        <v>-1.4258224230919343E-12</v>
      </c>
      <c r="U2689" s="9">
        <f t="shared" si="125"/>
        <v>-1</v>
      </c>
    </row>
    <row r="2690" spans="1:22" outlineLevel="2">
      <c r="A2690" t="s">
        <v>647</v>
      </c>
      <c r="B2690" t="s">
        <v>648</v>
      </c>
      <c r="C2690" t="s">
        <v>47</v>
      </c>
      <c r="D2690" t="s">
        <v>48</v>
      </c>
      <c r="E2690" s="4">
        <v>3450.12</v>
      </c>
      <c r="F2690" s="4">
        <v>5365.25</v>
      </c>
      <c r="G2690" s="4">
        <v>3575.74</v>
      </c>
      <c r="H2690" s="4">
        <v>3446.55</v>
      </c>
      <c r="I2690" s="4">
        <v>5405.4</v>
      </c>
      <c r="J2690" s="4">
        <v>3444.59</v>
      </c>
      <c r="K2690" s="4">
        <v>3294.08</v>
      </c>
      <c r="L2690" s="4">
        <v>3443.110000000001</v>
      </c>
      <c r="M2690" s="4">
        <v>3802.52</v>
      </c>
      <c r="N2690" s="4">
        <v>4646.9400000000005</v>
      </c>
      <c r="O2690" s="4">
        <v>5034.96</v>
      </c>
      <c r="P2690" s="4">
        <v>4003.96</v>
      </c>
      <c r="Q2690" s="4">
        <v>0</v>
      </c>
      <c r="S2690" s="8">
        <f t="shared" si="123"/>
        <v>3488.5816666666669</v>
      </c>
      <c r="T2690" s="8">
        <f t="shared" si="124"/>
        <v>-3488.5816666666669</v>
      </c>
      <c r="U2690" s="9">
        <f t="shared" si="125"/>
        <v>-1</v>
      </c>
    </row>
    <row r="2691" spans="1:22" outlineLevel="2">
      <c r="A2691" t="s">
        <v>647</v>
      </c>
      <c r="B2691" t="s">
        <v>648</v>
      </c>
      <c r="C2691" t="s">
        <v>49</v>
      </c>
      <c r="D2691" t="s">
        <v>50</v>
      </c>
      <c r="E2691" s="4">
        <v>-25.560000000000002</v>
      </c>
      <c r="F2691" s="4">
        <v>2252.3200000000002</v>
      </c>
      <c r="G2691" s="4">
        <v>4492.6899999999996</v>
      </c>
      <c r="H2691" s="4">
        <v>2224.75</v>
      </c>
      <c r="I2691" s="4">
        <v>522.56000000000006</v>
      </c>
      <c r="J2691" s="4">
        <v>121.75</v>
      </c>
      <c r="K2691" s="4">
        <v>119.15</v>
      </c>
      <c r="L2691" s="4">
        <v>-1874.1</v>
      </c>
      <c r="M2691" s="4">
        <v>1860.86</v>
      </c>
      <c r="N2691" s="4">
        <v>120.67</v>
      </c>
      <c r="O2691" s="4">
        <v>895.82</v>
      </c>
      <c r="P2691" s="4">
        <v>-9186.2800000000007</v>
      </c>
      <c r="Q2691" s="4">
        <v>0</v>
      </c>
      <c r="S2691" s="8">
        <f t="shared" ref="S2691:S2754" si="126">AVERAGE(L2691:Q2691)</f>
        <v>-1363.8383333333334</v>
      </c>
      <c r="T2691" s="8">
        <f t="shared" ref="T2691:T2754" si="127">R2691-S2691</f>
        <v>1363.8383333333334</v>
      </c>
      <c r="U2691" s="9">
        <f t="shared" ref="U2691:U2754" si="128">(R2691-S2691)/S2691</f>
        <v>-1</v>
      </c>
    </row>
    <row r="2692" spans="1:22" outlineLevel="2">
      <c r="A2692" t="s">
        <v>647</v>
      </c>
      <c r="B2692" t="s">
        <v>648</v>
      </c>
      <c r="C2692" t="s">
        <v>51</v>
      </c>
      <c r="D2692" t="s">
        <v>52</v>
      </c>
      <c r="E2692" s="4">
        <v>0</v>
      </c>
      <c r="F2692" s="4">
        <v>0</v>
      </c>
      <c r="G2692" s="4">
        <v>0</v>
      </c>
      <c r="H2692" s="4">
        <v>0</v>
      </c>
      <c r="I2692" s="4">
        <v>0</v>
      </c>
      <c r="J2692" s="4">
        <v>0</v>
      </c>
      <c r="K2692" s="4">
        <v>0</v>
      </c>
      <c r="L2692" s="4">
        <v>0</v>
      </c>
      <c r="M2692" s="4">
        <v>557.75</v>
      </c>
      <c r="N2692" s="4">
        <v>0</v>
      </c>
      <c r="O2692" s="4">
        <v>0</v>
      </c>
      <c r="P2692" s="4">
        <v>35</v>
      </c>
      <c r="Q2692" s="4">
        <v>0</v>
      </c>
      <c r="S2692" s="8">
        <f t="shared" si="126"/>
        <v>98.791666666666671</v>
      </c>
      <c r="T2692" s="8">
        <f t="shared" si="127"/>
        <v>-98.791666666666671</v>
      </c>
      <c r="U2692" s="9">
        <f t="shared" si="128"/>
        <v>-1</v>
      </c>
    </row>
    <row r="2693" spans="1:22" outlineLevel="2">
      <c r="A2693" t="s">
        <v>647</v>
      </c>
      <c r="B2693" t="s">
        <v>648</v>
      </c>
      <c r="C2693" t="s">
        <v>55</v>
      </c>
      <c r="D2693" t="s">
        <v>56</v>
      </c>
      <c r="E2693" s="4">
        <v>0</v>
      </c>
      <c r="F2693" s="4">
        <v>0</v>
      </c>
      <c r="G2693" s="4">
        <v>212.46</v>
      </c>
      <c r="H2693" s="4">
        <v>0</v>
      </c>
      <c r="I2693" s="4">
        <v>59.03</v>
      </c>
      <c r="J2693" s="4">
        <v>0</v>
      </c>
      <c r="K2693" s="4">
        <v>0</v>
      </c>
      <c r="L2693" s="4">
        <v>101.13</v>
      </c>
      <c r="M2693" s="4">
        <v>0</v>
      </c>
      <c r="N2693" s="4">
        <v>0</v>
      </c>
      <c r="O2693" s="4">
        <v>0</v>
      </c>
      <c r="P2693" s="4">
        <v>18.829999999999998</v>
      </c>
      <c r="Q2693" s="4">
        <v>0</v>
      </c>
      <c r="S2693" s="8">
        <f t="shared" si="126"/>
        <v>19.993333333333332</v>
      </c>
      <c r="T2693" s="8">
        <f t="shared" si="127"/>
        <v>-19.993333333333332</v>
      </c>
      <c r="U2693" s="9">
        <f t="shared" si="128"/>
        <v>-1</v>
      </c>
    </row>
    <row r="2694" spans="1:22" outlineLevel="2">
      <c r="A2694" t="s">
        <v>647</v>
      </c>
      <c r="B2694" t="s">
        <v>648</v>
      </c>
      <c r="C2694" t="s">
        <v>59</v>
      </c>
      <c r="D2694" t="s">
        <v>60</v>
      </c>
      <c r="E2694" s="4">
        <v>0</v>
      </c>
      <c r="F2694" s="4">
        <v>0</v>
      </c>
      <c r="G2694" s="4">
        <v>837.08</v>
      </c>
      <c r="H2694" s="4">
        <v>-837.08</v>
      </c>
      <c r="I2694" s="4">
        <v>0</v>
      </c>
      <c r="J2694" s="4">
        <v>0</v>
      </c>
      <c r="K2694" s="4">
        <v>0</v>
      </c>
      <c r="L2694" s="4">
        <v>0</v>
      </c>
      <c r="M2694" s="4">
        <v>0</v>
      </c>
      <c r="N2694" s="4">
        <v>0</v>
      </c>
      <c r="O2694" s="4">
        <v>0</v>
      </c>
      <c r="P2694" s="4">
        <v>0</v>
      </c>
      <c r="Q2694" s="4">
        <v>0</v>
      </c>
      <c r="S2694" s="8">
        <f t="shared" si="126"/>
        <v>0</v>
      </c>
      <c r="T2694" s="8">
        <f t="shared" si="127"/>
        <v>0</v>
      </c>
      <c r="U2694" s="9" t="e">
        <f t="shared" si="128"/>
        <v>#DIV/0!</v>
      </c>
    </row>
    <row r="2695" spans="1:22" outlineLevel="2">
      <c r="A2695" t="s">
        <v>647</v>
      </c>
      <c r="B2695" t="s">
        <v>648</v>
      </c>
      <c r="C2695" t="s">
        <v>61</v>
      </c>
      <c r="D2695" t="s">
        <v>62</v>
      </c>
      <c r="E2695" s="4">
        <v>0</v>
      </c>
      <c r="F2695" s="4">
        <v>0</v>
      </c>
      <c r="G2695" s="4">
        <v>0</v>
      </c>
      <c r="H2695" s="4">
        <v>0</v>
      </c>
      <c r="I2695" s="4">
        <v>0</v>
      </c>
      <c r="J2695" s="4">
        <v>0</v>
      </c>
      <c r="K2695" s="4">
        <v>0</v>
      </c>
      <c r="L2695" s="4">
        <v>0</v>
      </c>
      <c r="M2695" s="4">
        <v>0</v>
      </c>
      <c r="N2695" s="4">
        <v>0</v>
      </c>
      <c r="O2695" s="4">
        <v>0</v>
      </c>
      <c r="P2695" s="4">
        <v>0</v>
      </c>
      <c r="Q2695" s="4">
        <v>1074.52</v>
      </c>
      <c r="S2695" s="8">
        <f t="shared" si="126"/>
        <v>179.08666666666667</v>
      </c>
      <c r="T2695" s="8">
        <f t="shared" si="127"/>
        <v>-179.08666666666667</v>
      </c>
      <c r="U2695" s="9">
        <f t="shared" si="128"/>
        <v>-1</v>
      </c>
    </row>
    <row r="2696" spans="1:22" outlineLevel="2">
      <c r="A2696" t="s">
        <v>647</v>
      </c>
      <c r="B2696" t="s">
        <v>648</v>
      </c>
      <c r="C2696" t="s">
        <v>63</v>
      </c>
      <c r="D2696" t="s">
        <v>64</v>
      </c>
      <c r="E2696" s="4">
        <v>1114.79</v>
      </c>
      <c r="F2696" s="4">
        <v>5134.83</v>
      </c>
      <c r="G2696" s="4">
        <v>7481.6500000000005</v>
      </c>
      <c r="H2696" s="4">
        <v>5534.25</v>
      </c>
      <c r="I2696" s="4">
        <v>210.67</v>
      </c>
      <c r="J2696" s="4">
        <v>24.97</v>
      </c>
      <c r="K2696" s="4">
        <v>1948.07</v>
      </c>
      <c r="L2696" s="4">
        <v>-2658.04</v>
      </c>
      <c r="M2696" s="4">
        <v>-3.56</v>
      </c>
      <c r="N2696" s="4">
        <v>231.92000000000002</v>
      </c>
      <c r="O2696" s="4">
        <v>5.9099999999999993</v>
      </c>
      <c r="P2696" s="4">
        <v>-0.27</v>
      </c>
      <c r="Q2696" s="4">
        <v>911.37</v>
      </c>
      <c r="S2696" s="8">
        <f t="shared" si="126"/>
        <v>-252.11166666666668</v>
      </c>
      <c r="T2696" s="8">
        <f t="shared" si="127"/>
        <v>252.11166666666668</v>
      </c>
      <c r="U2696" s="9">
        <f t="shared" si="128"/>
        <v>-1</v>
      </c>
    </row>
    <row r="2697" spans="1:22" outlineLevel="2">
      <c r="A2697" t="s">
        <v>647</v>
      </c>
      <c r="B2697" t="s">
        <v>648</v>
      </c>
      <c r="C2697" t="s">
        <v>65</v>
      </c>
      <c r="D2697" t="s">
        <v>66</v>
      </c>
      <c r="E2697" s="4">
        <v>91.67</v>
      </c>
      <c r="F2697" s="4">
        <v>54.25</v>
      </c>
      <c r="G2697" s="4">
        <v>26</v>
      </c>
      <c r="H2697" s="4">
        <v>75.739999999999995</v>
      </c>
      <c r="I2697" s="4">
        <v>861.82999999999993</v>
      </c>
      <c r="J2697" s="4">
        <v>55.72</v>
      </c>
      <c r="K2697" s="4">
        <v>85.6</v>
      </c>
      <c r="L2697" s="4">
        <v>165.57999999999998</v>
      </c>
      <c r="M2697" s="4">
        <v>0</v>
      </c>
      <c r="N2697" s="4">
        <v>19.79</v>
      </c>
      <c r="O2697" s="4">
        <v>162.30000000000001</v>
      </c>
      <c r="P2697" s="4">
        <v>224.92000000000002</v>
      </c>
      <c r="Q2697" s="4">
        <v>0</v>
      </c>
      <c r="S2697" s="8">
        <f t="shared" si="126"/>
        <v>95.431666666666658</v>
      </c>
      <c r="T2697" s="8">
        <f t="shared" si="127"/>
        <v>-95.431666666666658</v>
      </c>
      <c r="U2697" s="9">
        <f t="shared" si="128"/>
        <v>-1</v>
      </c>
    </row>
    <row r="2698" spans="1:22" outlineLevel="2">
      <c r="A2698" t="s">
        <v>647</v>
      </c>
      <c r="B2698" t="s">
        <v>648</v>
      </c>
      <c r="C2698" t="s">
        <v>71</v>
      </c>
      <c r="D2698" t="s">
        <v>72</v>
      </c>
      <c r="E2698" s="4">
        <v>0</v>
      </c>
      <c r="F2698" s="4">
        <v>0</v>
      </c>
      <c r="G2698" s="4">
        <v>0</v>
      </c>
      <c r="H2698" s="4">
        <v>-1525.22</v>
      </c>
      <c r="I2698" s="4">
        <v>0</v>
      </c>
      <c r="J2698" s="4">
        <v>0</v>
      </c>
      <c r="K2698" s="4">
        <v>0</v>
      </c>
      <c r="L2698" s="4">
        <v>-422</v>
      </c>
      <c r="M2698" s="4">
        <v>0</v>
      </c>
      <c r="N2698" s="4">
        <v>0</v>
      </c>
      <c r="O2698" s="4">
        <v>0</v>
      </c>
      <c r="P2698" s="4">
        <v>0</v>
      </c>
      <c r="Q2698" s="4">
        <v>0</v>
      </c>
      <c r="S2698" s="8">
        <f t="shared" si="126"/>
        <v>-70.333333333333329</v>
      </c>
      <c r="T2698" s="8">
        <f t="shared" si="127"/>
        <v>70.333333333333329</v>
      </c>
      <c r="U2698" s="9">
        <f t="shared" si="128"/>
        <v>-1</v>
      </c>
    </row>
    <row r="2699" spans="1:22" outlineLevel="2">
      <c r="A2699" t="s">
        <v>647</v>
      </c>
      <c r="B2699" t="s">
        <v>648</v>
      </c>
      <c r="C2699" t="s">
        <v>73</v>
      </c>
      <c r="D2699" t="s">
        <v>74</v>
      </c>
      <c r="E2699" s="4">
        <v>0</v>
      </c>
      <c r="F2699" s="4">
        <v>15785</v>
      </c>
      <c r="G2699" s="4">
        <v>1192.95</v>
      </c>
      <c r="H2699" s="4">
        <v>5641.3</v>
      </c>
      <c r="I2699" s="4">
        <v>0</v>
      </c>
      <c r="J2699" s="4">
        <v>-4396.13</v>
      </c>
      <c r="K2699" s="4">
        <v>0</v>
      </c>
      <c r="L2699" s="4">
        <v>0</v>
      </c>
      <c r="M2699" s="4">
        <v>0</v>
      </c>
      <c r="N2699" s="4">
        <v>0</v>
      </c>
      <c r="O2699" s="4">
        <v>0</v>
      </c>
      <c r="P2699" s="4">
        <v>0</v>
      </c>
      <c r="Q2699" s="4">
        <v>0</v>
      </c>
      <c r="S2699" s="8">
        <f t="shared" si="126"/>
        <v>0</v>
      </c>
      <c r="T2699" s="8">
        <f t="shared" si="127"/>
        <v>0</v>
      </c>
      <c r="U2699" s="9" t="e">
        <f t="shared" si="128"/>
        <v>#DIV/0!</v>
      </c>
    </row>
    <row r="2700" spans="1:22" outlineLevel="2">
      <c r="A2700" t="s">
        <v>647</v>
      </c>
      <c r="B2700" t="s">
        <v>648</v>
      </c>
      <c r="C2700" t="s">
        <v>87</v>
      </c>
      <c r="D2700" t="s">
        <v>88</v>
      </c>
      <c r="E2700" s="4">
        <v>107.1</v>
      </c>
      <c r="F2700" s="4">
        <v>0</v>
      </c>
      <c r="G2700" s="4">
        <v>268.90999999999997</v>
      </c>
      <c r="H2700" s="4">
        <v>774.63000000000011</v>
      </c>
      <c r="I2700" s="4">
        <v>264.60999999999996</v>
      </c>
      <c r="J2700" s="4">
        <v>595.95000000000005</v>
      </c>
      <c r="K2700" s="4">
        <v>135.62</v>
      </c>
      <c r="L2700" s="4">
        <v>-1914.7100000000003</v>
      </c>
      <c r="M2700" s="4">
        <v>43.24</v>
      </c>
      <c r="N2700" s="4">
        <v>0</v>
      </c>
      <c r="O2700" s="4">
        <v>0</v>
      </c>
      <c r="P2700" s="4">
        <v>0</v>
      </c>
      <c r="Q2700" s="4">
        <v>0</v>
      </c>
      <c r="S2700" s="8">
        <f t="shared" si="126"/>
        <v>-311.91166666666669</v>
      </c>
      <c r="T2700" s="8">
        <f t="shared" si="127"/>
        <v>311.91166666666669</v>
      </c>
      <c r="U2700" s="9">
        <f t="shared" si="128"/>
        <v>-1</v>
      </c>
    </row>
    <row r="2701" spans="1:22" outlineLevel="2">
      <c r="A2701" t="s">
        <v>647</v>
      </c>
      <c r="B2701" t="s">
        <v>648</v>
      </c>
      <c r="C2701" t="s">
        <v>166</v>
      </c>
      <c r="D2701" t="s">
        <v>167</v>
      </c>
      <c r="E2701" s="4">
        <v>0</v>
      </c>
      <c r="F2701" s="4">
        <v>0</v>
      </c>
      <c r="G2701" s="4">
        <v>0</v>
      </c>
      <c r="H2701" s="4">
        <v>0</v>
      </c>
      <c r="I2701" s="4">
        <v>0</v>
      </c>
      <c r="J2701" s="4">
        <v>0</v>
      </c>
      <c r="K2701" s="4">
        <v>188</v>
      </c>
      <c r="L2701" s="4">
        <v>0</v>
      </c>
      <c r="M2701" s="4">
        <v>0</v>
      </c>
      <c r="N2701" s="4">
        <v>0</v>
      </c>
      <c r="O2701" s="4">
        <v>0</v>
      </c>
      <c r="P2701" s="4">
        <v>0</v>
      </c>
      <c r="Q2701" s="4">
        <v>0</v>
      </c>
      <c r="S2701" s="8">
        <f t="shared" si="126"/>
        <v>0</v>
      </c>
      <c r="T2701" s="8">
        <f t="shared" si="127"/>
        <v>0</v>
      </c>
      <c r="U2701" s="9" t="e">
        <f t="shared" si="128"/>
        <v>#DIV/0!</v>
      </c>
    </row>
    <row r="2702" spans="1:22" outlineLevel="2">
      <c r="A2702" t="s">
        <v>647</v>
      </c>
      <c r="B2702" t="s">
        <v>648</v>
      </c>
      <c r="C2702" t="s">
        <v>93</v>
      </c>
      <c r="D2702" t="s">
        <v>94</v>
      </c>
      <c r="E2702" s="4">
        <v>140.04</v>
      </c>
      <c r="F2702" s="4">
        <v>0</v>
      </c>
      <c r="G2702" s="4">
        <v>667.55</v>
      </c>
      <c r="H2702" s="4">
        <v>0</v>
      </c>
      <c r="I2702" s="4">
        <v>27.65</v>
      </c>
      <c r="J2702" s="4">
        <v>76.06</v>
      </c>
      <c r="K2702" s="4">
        <v>2818.24</v>
      </c>
      <c r="L2702" s="4">
        <v>0</v>
      </c>
      <c r="M2702" s="4">
        <v>0</v>
      </c>
      <c r="N2702" s="4">
        <v>0</v>
      </c>
      <c r="O2702" s="4">
        <v>0</v>
      </c>
      <c r="P2702" s="4">
        <v>21.73</v>
      </c>
      <c r="Q2702" s="4">
        <v>0</v>
      </c>
      <c r="S2702" s="8">
        <f t="shared" si="126"/>
        <v>3.6216666666666666</v>
      </c>
      <c r="T2702" s="8">
        <f t="shared" si="127"/>
        <v>-3.6216666666666666</v>
      </c>
      <c r="U2702" s="9">
        <f t="shared" si="128"/>
        <v>-1</v>
      </c>
    </row>
    <row r="2703" spans="1:22" outlineLevel="2">
      <c r="A2703" t="s">
        <v>647</v>
      </c>
      <c r="B2703" t="s">
        <v>648</v>
      </c>
      <c r="C2703" t="s">
        <v>184</v>
      </c>
      <c r="D2703" t="s">
        <v>185</v>
      </c>
      <c r="E2703" s="4">
        <v>0</v>
      </c>
      <c r="F2703" s="4">
        <v>0</v>
      </c>
      <c r="G2703" s="4">
        <v>0</v>
      </c>
      <c r="H2703" s="4">
        <v>0</v>
      </c>
      <c r="I2703" s="4">
        <v>0</v>
      </c>
      <c r="J2703" s="4">
        <v>0</v>
      </c>
      <c r="K2703" s="4">
        <v>0</v>
      </c>
      <c r="L2703" s="4">
        <v>0</v>
      </c>
      <c r="M2703" s="4">
        <v>0</v>
      </c>
      <c r="N2703" s="4">
        <v>0</v>
      </c>
      <c r="O2703" s="4">
        <v>0</v>
      </c>
      <c r="P2703" s="4">
        <v>0</v>
      </c>
      <c r="Q2703" s="4">
        <v>0</v>
      </c>
      <c r="S2703" s="8">
        <f t="shared" si="126"/>
        <v>0</v>
      </c>
      <c r="T2703" s="8">
        <f t="shared" si="127"/>
        <v>0</v>
      </c>
      <c r="U2703" s="9" t="e">
        <f t="shared" si="128"/>
        <v>#DIV/0!</v>
      </c>
    </row>
    <row r="2704" spans="1:22" outlineLevel="2">
      <c r="A2704" t="s">
        <v>647</v>
      </c>
      <c r="B2704" t="s">
        <v>648</v>
      </c>
      <c r="C2704" t="s">
        <v>101</v>
      </c>
      <c r="D2704" t="s">
        <v>102</v>
      </c>
      <c r="E2704" s="4">
        <v>3.1832314562052488E-12</v>
      </c>
      <c r="F2704" s="4">
        <v>4973.68</v>
      </c>
      <c r="G2704" s="4">
        <v>-4973.2400000000052</v>
      </c>
      <c r="H2704" s="4">
        <v>-2149.2399999999752</v>
      </c>
      <c r="I2704" s="4">
        <v>118736.78999999998</v>
      </c>
      <c r="J2704" s="4">
        <v>30323.110000000008</v>
      </c>
      <c r="K2704" s="4">
        <v>-146910.65999999992</v>
      </c>
      <c r="L2704" s="4">
        <v>1.1641532182693481E-10</v>
      </c>
      <c r="M2704" s="4">
        <v>4.638422979041934E-11</v>
      </c>
      <c r="N2704" s="4">
        <v>0</v>
      </c>
      <c r="O2704" s="4">
        <v>0</v>
      </c>
      <c r="P2704" s="4">
        <v>0</v>
      </c>
      <c r="Q2704" s="4">
        <v>0</v>
      </c>
      <c r="R2704" s="4">
        <v>551739.31999999995</v>
      </c>
      <c r="S2704" s="8">
        <f t="shared" si="126"/>
        <v>2.7133258602892358E-11</v>
      </c>
      <c r="T2704" s="8">
        <f t="shared" si="127"/>
        <v>551739.31999999995</v>
      </c>
      <c r="U2704" s="9">
        <f t="shared" si="128"/>
        <v>2.03344289779181E+16</v>
      </c>
      <c r="V2704" t="s">
        <v>896</v>
      </c>
    </row>
    <row r="2705" spans="1:22" outlineLevel="2">
      <c r="A2705" t="s">
        <v>647</v>
      </c>
      <c r="B2705" t="s">
        <v>648</v>
      </c>
      <c r="C2705" t="s">
        <v>111</v>
      </c>
      <c r="D2705" t="s">
        <v>112</v>
      </c>
      <c r="E2705" s="4">
        <v>0</v>
      </c>
      <c r="F2705" s="4">
        <v>0</v>
      </c>
      <c r="G2705" s="4">
        <v>0</v>
      </c>
      <c r="H2705" s="4">
        <v>0</v>
      </c>
      <c r="I2705" s="4">
        <v>6568.54</v>
      </c>
      <c r="J2705" s="4">
        <v>0</v>
      </c>
      <c r="K2705" s="4">
        <v>0</v>
      </c>
      <c r="L2705" s="4">
        <v>0</v>
      </c>
      <c r="M2705" s="4">
        <v>0</v>
      </c>
      <c r="N2705" s="4">
        <v>0</v>
      </c>
      <c r="O2705" s="4">
        <v>0</v>
      </c>
      <c r="P2705" s="4">
        <v>0</v>
      </c>
      <c r="Q2705" s="4">
        <v>0</v>
      </c>
      <c r="S2705" s="8">
        <f t="shared" si="126"/>
        <v>0</v>
      </c>
      <c r="T2705" s="8">
        <f t="shared" si="127"/>
        <v>0</v>
      </c>
      <c r="U2705" s="9" t="e">
        <f t="shared" si="128"/>
        <v>#DIV/0!</v>
      </c>
    </row>
    <row r="2706" spans="1:22" outlineLevel="2">
      <c r="A2706" t="s">
        <v>647</v>
      </c>
      <c r="B2706" t="s">
        <v>648</v>
      </c>
      <c r="C2706" t="s">
        <v>121</v>
      </c>
      <c r="D2706" t="s">
        <v>122</v>
      </c>
      <c r="E2706" s="4">
        <v>0</v>
      </c>
      <c r="F2706" s="4">
        <v>0</v>
      </c>
      <c r="G2706" s="4">
        <v>0</v>
      </c>
      <c r="H2706" s="4">
        <v>0</v>
      </c>
      <c r="I2706" s="4">
        <v>0</v>
      </c>
      <c r="J2706" s="4">
        <v>0</v>
      </c>
      <c r="K2706" s="4">
        <v>0</v>
      </c>
      <c r="L2706" s="4">
        <v>-86.19999999999942</v>
      </c>
      <c r="M2706" s="4">
        <v>0</v>
      </c>
      <c r="N2706" s="4">
        <v>0</v>
      </c>
      <c r="O2706" s="4">
        <v>0</v>
      </c>
      <c r="P2706" s="4">
        <v>0</v>
      </c>
      <c r="Q2706" s="4">
        <v>0</v>
      </c>
      <c r="S2706" s="8">
        <f t="shared" si="126"/>
        <v>-14.366666666666569</v>
      </c>
      <c r="T2706" s="8">
        <f t="shared" si="127"/>
        <v>14.366666666666569</v>
      </c>
      <c r="U2706" s="9">
        <f t="shared" si="128"/>
        <v>-1</v>
      </c>
    </row>
    <row r="2707" spans="1:22" outlineLevel="2">
      <c r="A2707" t="s">
        <v>647</v>
      </c>
      <c r="B2707" t="s">
        <v>648</v>
      </c>
      <c r="C2707" t="s">
        <v>127</v>
      </c>
      <c r="D2707" t="s">
        <v>120</v>
      </c>
      <c r="E2707" s="4">
        <v>18</v>
      </c>
      <c r="F2707" s="4">
        <v>114.16</v>
      </c>
      <c r="G2707" s="4">
        <v>122.4</v>
      </c>
      <c r="H2707" s="4">
        <v>763.51</v>
      </c>
      <c r="I2707" s="4">
        <v>0</v>
      </c>
      <c r="J2707" s="4">
        <v>0</v>
      </c>
      <c r="K2707" s="4">
        <v>164.91000000000003</v>
      </c>
      <c r="L2707" s="4">
        <v>203.6</v>
      </c>
      <c r="M2707" s="4">
        <v>5145.33</v>
      </c>
      <c r="N2707" s="4">
        <v>37.9</v>
      </c>
      <c r="O2707" s="4">
        <v>0</v>
      </c>
      <c r="P2707" s="4">
        <v>18</v>
      </c>
      <c r="Q2707" s="4">
        <v>0</v>
      </c>
      <c r="S2707" s="8">
        <f t="shared" si="126"/>
        <v>900.80499999999995</v>
      </c>
      <c r="T2707" s="8">
        <f t="shared" si="127"/>
        <v>-900.80499999999995</v>
      </c>
      <c r="U2707" s="9">
        <f t="shared" si="128"/>
        <v>-1</v>
      </c>
    </row>
    <row r="2708" spans="1:22" outlineLevel="2">
      <c r="A2708" t="s">
        <v>647</v>
      </c>
      <c r="B2708" t="s">
        <v>648</v>
      </c>
      <c r="C2708" t="s">
        <v>132</v>
      </c>
      <c r="D2708" t="s">
        <v>133</v>
      </c>
      <c r="E2708" s="4">
        <v>2068.2399999999998</v>
      </c>
      <c r="F2708" s="4">
        <v>21197.360000000001</v>
      </c>
      <c r="G2708" s="4">
        <v>2432.52</v>
      </c>
      <c r="H2708" s="4">
        <v>0</v>
      </c>
      <c r="I2708" s="4">
        <v>0</v>
      </c>
      <c r="J2708" s="4">
        <v>19740</v>
      </c>
      <c r="K2708" s="4">
        <v>0</v>
      </c>
      <c r="L2708" s="4">
        <v>6392</v>
      </c>
      <c r="M2708" s="4">
        <v>13254</v>
      </c>
      <c r="N2708" s="4">
        <v>20304</v>
      </c>
      <c r="O2708" s="4">
        <v>6311.2800000000007</v>
      </c>
      <c r="P2708" s="4">
        <v>4606</v>
      </c>
      <c r="Q2708" s="4">
        <v>0</v>
      </c>
      <c r="S2708" s="8">
        <f t="shared" si="126"/>
        <v>8477.8799999999992</v>
      </c>
      <c r="T2708" s="8">
        <f t="shared" si="127"/>
        <v>-8477.8799999999992</v>
      </c>
      <c r="U2708" s="9">
        <f t="shared" si="128"/>
        <v>-1</v>
      </c>
    </row>
    <row r="2709" spans="1:22" outlineLevel="1">
      <c r="A2709" s="1" t="s">
        <v>871</v>
      </c>
      <c r="E2709" s="4">
        <f>SUBTOTAL(9,E2681:E2708)</f>
        <v>8021.3700000000026</v>
      </c>
      <c r="F2709" s="4">
        <f>SUBTOTAL(9,F2681:F2708)</f>
        <v>70204.160000000003</v>
      </c>
      <c r="G2709" s="4">
        <f>SUBTOTAL(9,G2681:G2708)</f>
        <v>11356.359999999986</v>
      </c>
      <c r="H2709" s="4">
        <f>SUBTOTAL(9,H2681:H2708)</f>
        <v>18893.870000000017</v>
      </c>
      <c r="I2709" s="4">
        <f>SUBTOTAL(9,I2681:I2708)</f>
        <v>142456.41999999998</v>
      </c>
      <c r="J2709" s="4">
        <f>SUBTOTAL(9,J2681:J2708)</f>
        <v>44892.14</v>
      </c>
      <c r="K2709" s="4">
        <f>SUBTOTAL(9,K2681:K2708)</f>
        <v>-118873.66999999997</v>
      </c>
      <c r="L2709" s="4">
        <f>SUBTOTAL(9,L2681:L2708)</f>
        <v>-5087.8599999998896</v>
      </c>
      <c r="M2709" s="4">
        <f>SUBTOTAL(9,M2681:M2708)</f>
        <v>15616.190000000021</v>
      </c>
      <c r="N2709" s="4">
        <f>SUBTOTAL(9,N2681:N2708)</f>
        <v>15282.439999999999</v>
      </c>
      <c r="O2709" s="4">
        <f>SUBTOTAL(9,O2681:O2708)</f>
        <v>15112.820000000029</v>
      </c>
      <c r="P2709" s="4">
        <f>SUBTOTAL(9,P2681:P2708)</f>
        <v>4445.9800000000059</v>
      </c>
      <c r="Q2709" s="4">
        <f>SUBTOTAL(9,Q2681:Q2708)</f>
        <v>1985.8900000000071</v>
      </c>
      <c r="R2709" s="4">
        <f>SUBTOTAL(9,R2681:R2708)</f>
        <v>551739.31999999995</v>
      </c>
      <c r="S2709" s="8">
        <f t="shared" si="126"/>
        <v>7892.5766666666941</v>
      </c>
      <c r="T2709" s="8">
        <f t="shared" si="127"/>
        <v>543846.74333333329</v>
      </c>
      <c r="U2709" s="9">
        <f t="shared" si="128"/>
        <v>68.906108398059871</v>
      </c>
      <c r="V2709" t="s">
        <v>896</v>
      </c>
    </row>
    <row r="2710" spans="1:22" outlineLevel="2">
      <c r="A2710" t="s">
        <v>649</v>
      </c>
      <c r="B2710" t="s">
        <v>650</v>
      </c>
      <c r="C2710" t="s">
        <v>21</v>
      </c>
      <c r="D2710" t="s">
        <v>22</v>
      </c>
      <c r="E2710" s="4">
        <v>0</v>
      </c>
      <c r="F2710" s="4">
        <v>483.21</v>
      </c>
      <c r="G2710" s="4">
        <v>12.98</v>
      </c>
      <c r="H2710" s="4">
        <v>106.86</v>
      </c>
      <c r="I2710" s="4">
        <v>0</v>
      </c>
      <c r="J2710" s="4">
        <v>127.01</v>
      </c>
      <c r="K2710" s="4">
        <v>76.150000000000006</v>
      </c>
      <c r="L2710" s="4">
        <v>192.68</v>
      </c>
      <c r="M2710" s="4">
        <v>184.53</v>
      </c>
      <c r="N2710" s="4">
        <v>0</v>
      </c>
      <c r="O2710" s="4">
        <v>263.45</v>
      </c>
      <c r="P2710" s="4">
        <v>64.739999999999995</v>
      </c>
      <c r="Q2710" s="4">
        <v>0</v>
      </c>
      <c r="S2710" s="8">
        <f t="shared" si="126"/>
        <v>117.56666666666668</v>
      </c>
      <c r="T2710" s="8">
        <f t="shared" si="127"/>
        <v>-117.56666666666668</v>
      </c>
      <c r="U2710" s="9">
        <f t="shared" si="128"/>
        <v>-1</v>
      </c>
    </row>
    <row r="2711" spans="1:22" outlineLevel="2">
      <c r="A2711" t="s">
        <v>649</v>
      </c>
      <c r="B2711" t="s">
        <v>650</v>
      </c>
      <c r="C2711" t="s">
        <v>23</v>
      </c>
      <c r="D2711" t="s">
        <v>24</v>
      </c>
      <c r="E2711" s="4">
        <v>0</v>
      </c>
      <c r="F2711" s="4">
        <v>1607.36</v>
      </c>
      <c r="G2711" s="4">
        <v>552.20000000000005</v>
      </c>
      <c r="H2711" s="4">
        <v>1204.5</v>
      </c>
      <c r="I2711" s="4">
        <v>116.57</v>
      </c>
      <c r="J2711" s="4">
        <v>849.34</v>
      </c>
      <c r="K2711" s="4">
        <v>825.79</v>
      </c>
      <c r="L2711" s="4">
        <v>119.85</v>
      </c>
      <c r="M2711" s="4">
        <v>356.03</v>
      </c>
      <c r="N2711" s="4">
        <v>0</v>
      </c>
      <c r="O2711" s="4">
        <v>0</v>
      </c>
      <c r="P2711" s="4">
        <v>0</v>
      </c>
      <c r="Q2711" s="4">
        <v>0</v>
      </c>
      <c r="S2711" s="8">
        <f t="shared" si="126"/>
        <v>79.313333333333333</v>
      </c>
      <c r="T2711" s="8">
        <f t="shared" si="127"/>
        <v>-79.313333333333333</v>
      </c>
      <c r="U2711" s="9">
        <f t="shared" si="128"/>
        <v>-1</v>
      </c>
    </row>
    <row r="2712" spans="1:22" outlineLevel="2">
      <c r="A2712" t="s">
        <v>649</v>
      </c>
      <c r="B2712" t="s">
        <v>650</v>
      </c>
      <c r="C2712" t="s">
        <v>25</v>
      </c>
      <c r="D2712" t="s">
        <v>26</v>
      </c>
      <c r="E2712" s="4">
        <v>1010.79</v>
      </c>
      <c r="F2712" s="4">
        <v>0</v>
      </c>
      <c r="G2712" s="4">
        <v>0</v>
      </c>
      <c r="H2712" s="4">
        <v>0</v>
      </c>
      <c r="I2712" s="4">
        <v>0</v>
      </c>
      <c r="J2712" s="4">
        <v>0</v>
      </c>
      <c r="K2712" s="4">
        <v>0</v>
      </c>
      <c r="L2712" s="4">
        <v>0</v>
      </c>
      <c r="M2712" s="4">
        <v>1010.17</v>
      </c>
      <c r="N2712" s="4">
        <v>0</v>
      </c>
      <c r="O2712" s="4">
        <v>846.38</v>
      </c>
      <c r="P2712" s="4">
        <v>1102.17</v>
      </c>
      <c r="Q2712" s="4">
        <v>0</v>
      </c>
      <c r="S2712" s="8">
        <f t="shared" si="126"/>
        <v>493.12000000000006</v>
      </c>
      <c r="T2712" s="8">
        <f t="shared" si="127"/>
        <v>-493.12000000000006</v>
      </c>
      <c r="U2712" s="9">
        <f t="shared" si="128"/>
        <v>-1</v>
      </c>
    </row>
    <row r="2713" spans="1:22" outlineLevel="2">
      <c r="A2713" t="s">
        <v>649</v>
      </c>
      <c r="B2713" t="s">
        <v>650</v>
      </c>
      <c r="C2713" t="s">
        <v>27</v>
      </c>
      <c r="D2713" t="s">
        <v>28</v>
      </c>
      <c r="E2713" s="4">
        <v>1056.47</v>
      </c>
      <c r="F2713" s="4">
        <v>608.26</v>
      </c>
      <c r="G2713" s="4">
        <v>0</v>
      </c>
      <c r="H2713" s="4">
        <v>0</v>
      </c>
      <c r="I2713" s="4">
        <v>0</v>
      </c>
      <c r="J2713" s="4">
        <v>0</v>
      </c>
      <c r="K2713" s="4">
        <v>607.09999999999991</v>
      </c>
      <c r="L2713" s="4">
        <v>1717.38</v>
      </c>
      <c r="M2713" s="4">
        <v>146.02999999999997</v>
      </c>
      <c r="N2713" s="4">
        <v>560.58000000000004</v>
      </c>
      <c r="O2713" s="4">
        <v>-1004.8</v>
      </c>
      <c r="P2713" s="4">
        <v>355.82</v>
      </c>
      <c r="Q2713" s="4">
        <v>103.18</v>
      </c>
      <c r="S2713" s="8">
        <f t="shared" si="126"/>
        <v>313.03166666666669</v>
      </c>
      <c r="T2713" s="8">
        <f t="shared" si="127"/>
        <v>-313.03166666666669</v>
      </c>
      <c r="U2713" s="9">
        <f t="shared" si="128"/>
        <v>-1</v>
      </c>
    </row>
    <row r="2714" spans="1:22" outlineLevel="2">
      <c r="A2714" t="s">
        <v>649</v>
      </c>
      <c r="B2714" t="s">
        <v>650</v>
      </c>
      <c r="C2714" t="s">
        <v>136</v>
      </c>
      <c r="D2714" t="s">
        <v>137</v>
      </c>
      <c r="E2714" s="4">
        <v>247270.87</v>
      </c>
      <c r="F2714" s="4">
        <v>340574.52</v>
      </c>
      <c r="G2714" s="4">
        <v>340488.63</v>
      </c>
      <c r="H2714" s="4">
        <v>311376.44</v>
      </c>
      <c r="I2714" s="4">
        <v>325241.31999999995</v>
      </c>
      <c r="J2714" s="4">
        <v>314749.66000000003</v>
      </c>
      <c r="K2714" s="4">
        <v>336720.16000000003</v>
      </c>
      <c r="L2714" s="4">
        <v>335555.14999999997</v>
      </c>
      <c r="M2714" s="4">
        <v>324730.63</v>
      </c>
      <c r="N2714" s="4">
        <v>320473.38999999996</v>
      </c>
      <c r="O2714" s="4">
        <v>303491.53999999998</v>
      </c>
      <c r="P2714" s="4">
        <v>261590.79</v>
      </c>
      <c r="Q2714" s="4">
        <v>20432.589999999997</v>
      </c>
      <c r="S2714" s="8">
        <f t="shared" si="126"/>
        <v>261045.68166666667</v>
      </c>
      <c r="T2714" s="8">
        <f t="shared" si="127"/>
        <v>-261045.68166666667</v>
      </c>
      <c r="U2714" s="9">
        <f t="shared" si="128"/>
        <v>-1</v>
      </c>
    </row>
    <row r="2715" spans="1:22" outlineLevel="2">
      <c r="A2715" t="s">
        <v>649</v>
      </c>
      <c r="B2715" t="s">
        <v>650</v>
      </c>
      <c r="C2715" t="s">
        <v>138</v>
      </c>
      <c r="D2715" t="s">
        <v>139</v>
      </c>
      <c r="E2715" s="4">
        <v>7994.62</v>
      </c>
      <c r="F2715" s="4">
        <v>27850.620000000003</v>
      </c>
      <c r="G2715" s="4">
        <v>17638.879999999997</v>
      </c>
      <c r="H2715" s="4">
        <v>17044.36</v>
      </c>
      <c r="I2715" s="4">
        <v>16886.11</v>
      </c>
      <c r="J2715" s="4">
        <v>17199.59</v>
      </c>
      <c r="K2715" s="4">
        <v>18223.02</v>
      </c>
      <c r="L2715" s="4">
        <v>17444.509999999998</v>
      </c>
      <c r="M2715" s="4">
        <v>17205.53</v>
      </c>
      <c r="N2715" s="4">
        <v>17753.330000000002</v>
      </c>
      <c r="O2715" s="4">
        <v>17007.310000000001</v>
      </c>
      <c r="P2715" s="4">
        <v>23254.54</v>
      </c>
      <c r="Q2715" s="4">
        <v>6218.18</v>
      </c>
      <c r="S2715" s="8">
        <f t="shared" si="126"/>
        <v>16480.566666666666</v>
      </c>
      <c r="T2715" s="8">
        <f t="shared" si="127"/>
        <v>-16480.566666666666</v>
      </c>
      <c r="U2715" s="9">
        <f t="shared" si="128"/>
        <v>-1</v>
      </c>
    </row>
    <row r="2716" spans="1:22" outlineLevel="2">
      <c r="A2716" t="s">
        <v>649</v>
      </c>
      <c r="B2716" t="s">
        <v>650</v>
      </c>
      <c r="C2716" t="s">
        <v>29</v>
      </c>
      <c r="D2716" t="s">
        <v>30</v>
      </c>
      <c r="E2716" s="4">
        <v>443.27</v>
      </c>
      <c r="F2716" s="4">
        <v>2760.43</v>
      </c>
      <c r="G2716" s="4">
        <v>1895.89</v>
      </c>
      <c r="H2716" s="4">
        <v>1234.77</v>
      </c>
      <c r="I2716" s="4">
        <v>3175.67</v>
      </c>
      <c r="J2716" s="4">
        <v>1077.9000000000001</v>
      </c>
      <c r="K2716" s="4">
        <v>874.84</v>
      </c>
      <c r="L2716" s="4">
        <v>2097.89</v>
      </c>
      <c r="M2716" s="4">
        <v>1835.21</v>
      </c>
      <c r="N2716" s="4">
        <v>1819.91</v>
      </c>
      <c r="O2716" s="4">
        <v>1960.64</v>
      </c>
      <c r="P2716" s="4">
        <v>1549.4599999999998</v>
      </c>
      <c r="Q2716" s="4">
        <v>0</v>
      </c>
      <c r="S2716" s="8">
        <f t="shared" si="126"/>
        <v>1543.8516666666667</v>
      </c>
      <c r="T2716" s="8">
        <f t="shared" si="127"/>
        <v>-1543.8516666666667</v>
      </c>
      <c r="U2716" s="9">
        <f t="shared" si="128"/>
        <v>-1</v>
      </c>
    </row>
    <row r="2717" spans="1:22" outlineLevel="2">
      <c r="A2717" t="s">
        <v>649</v>
      </c>
      <c r="B2717" t="s">
        <v>650</v>
      </c>
      <c r="C2717" t="s">
        <v>140</v>
      </c>
      <c r="D2717" t="s">
        <v>141</v>
      </c>
      <c r="E2717" s="4">
        <v>-30567.559999999998</v>
      </c>
      <c r="F2717" s="4">
        <v>-104661.34</v>
      </c>
      <c r="G2717" s="4">
        <v>-68432</v>
      </c>
      <c r="H2717" s="4">
        <v>-32383</v>
      </c>
      <c r="I2717" s="4">
        <v>-76375</v>
      </c>
      <c r="J2717" s="4">
        <v>-67821</v>
      </c>
      <c r="K2717" s="4">
        <v>-39198</v>
      </c>
      <c r="L2717" s="4">
        <v>-18612</v>
      </c>
      <c r="M2717" s="4">
        <v>-48222</v>
      </c>
      <c r="N2717" s="4">
        <v>846</v>
      </c>
      <c r="O2717" s="4">
        <v>-1645</v>
      </c>
      <c r="P2717" s="4">
        <v>-3008</v>
      </c>
      <c r="Q2717" s="4">
        <v>-3948</v>
      </c>
      <c r="S2717" s="8">
        <f t="shared" si="126"/>
        <v>-12431.5</v>
      </c>
      <c r="T2717" s="8">
        <f t="shared" si="127"/>
        <v>12431.5</v>
      </c>
      <c r="U2717" s="9">
        <f t="shared" si="128"/>
        <v>-1</v>
      </c>
    </row>
    <row r="2718" spans="1:22" outlineLevel="2">
      <c r="A2718" t="s">
        <v>649</v>
      </c>
      <c r="B2718" t="s">
        <v>650</v>
      </c>
      <c r="C2718" t="s">
        <v>144</v>
      </c>
      <c r="D2718" t="s">
        <v>145</v>
      </c>
      <c r="E2718" s="4">
        <v>-187144.74</v>
      </c>
      <c r="F2718" s="4">
        <v>554933.59</v>
      </c>
      <c r="G2718" s="4">
        <v>-415912.27</v>
      </c>
      <c r="H2718" s="4">
        <v>644757.88</v>
      </c>
      <c r="I2718" s="4">
        <v>52285.439999999995</v>
      </c>
      <c r="J2718" s="4">
        <v>176923.68999999997</v>
      </c>
      <c r="K2718" s="4">
        <v>-85251.390000000014</v>
      </c>
      <c r="L2718" s="4">
        <v>191087.48</v>
      </c>
      <c r="M2718" s="4">
        <v>-375332.75</v>
      </c>
      <c r="N2718" s="4">
        <v>120662.2</v>
      </c>
      <c r="O2718" s="4">
        <v>-42837.079999999994</v>
      </c>
      <c r="P2718" s="4">
        <v>181834.2</v>
      </c>
      <c r="Q2718" s="4">
        <v>214217.99</v>
      </c>
      <c r="S2718" s="8">
        <f t="shared" si="126"/>
        <v>48272.006666666675</v>
      </c>
      <c r="T2718" s="8">
        <f t="shared" si="127"/>
        <v>-48272.006666666675</v>
      </c>
      <c r="U2718" s="9">
        <f t="shared" si="128"/>
        <v>-1</v>
      </c>
    </row>
    <row r="2719" spans="1:22" outlineLevel="2">
      <c r="A2719" t="s">
        <v>649</v>
      </c>
      <c r="B2719" t="s">
        <v>650</v>
      </c>
      <c r="C2719" t="s">
        <v>146</v>
      </c>
      <c r="D2719" t="s">
        <v>147</v>
      </c>
      <c r="E2719" s="4">
        <v>22825.17</v>
      </c>
      <c r="F2719" s="4">
        <v>33003.82</v>
      </c>
      <c r="G2719" s="4">
        <v>62709.19</v>
      </c>
      <c r="H2719" s="4">
        <v>27764.339999999997</v>
      </c>
      <c r="I2719" s="4">
        <v>29818.589999999997</v>
      </c>
      <c r="J2719" s="4">
        <v>29782.32</v>
      </c>
      <c r="K2719" s="4">
        <v>32626.899999999998</v>
      </c>
      <c r="L2719" s="4">
        <v>32877.269999999997</v>
      </c>
      <c r="M2719" s="4">
        <v>44742.83</v>
      </c>
      <c r="N2719" s="4">
        <v>30585.5</v>
      </c>
      <c r="O2719" s="4">
        <v>30181.67</v>
      </c>
      <c r="P2719" s="4">
        <v>24354.120000000003</v>
      </c>
      <c r="Q2719" s="4">
        <v>2665.0699999999997</v>
      </c>
      <c r="S2719" s="8">
        <f t="shared" si="126"/>
        <v>27567.743333333336</v>
      </c>
      <c r="T2719" s="8">
        <f t="shared" si="127"/>
        <v>-27567.743333333336</v>
      </c>
      <c r="U2719" s="9">
        <f t="shared" si="128"/>
        <v>-1</v>
      </c>
    </row>
    <row r="2720" spans="1:22" outlineLevel="2">
      <c r="A2720" t="s">
        <v>649</v>
      </c>
      <c r="B2720" t="s">
        <v>650</v>
      </c>
      <c r="C2720" t="s">
        <v>372</v>
      </c>
      <c r="D2720" t="s">
        <v>373</v>
      </c>
      <c r="E2720" s="4">
        <v>550.54</v>
      </c>
      <c r="F2720" s="4">
        <v>3918.92</v>
      </c>
      <c r="G2720" s="4">
        <v>3918.92</v>
      </c>
      <c r="H2720" s="4">
        <v>3918.92</v>
      </c>
      <c r="I2720" s="4">
        <v>3918.92</v>
      </c>
      <c r="J2720" s="4">
        <v>3918.92</v>
      </c>
      <c r="K2720" s="4">
        <v>3918.92</v>
      </c>
      <c r="L2720" s="4">
        <v>3918.92</v>
      </c>
      <c r="M2720" s="4">
        <v>3918.92</v>
      </c>
      <c r="N2720" s="4">
        <v>3918.92</v>
      </c>
      <c r="O2720" s="4">
        <v>3918.92</v>
      </c>
      <c r="P2720" s="4">
        <v>419195.13</v>
      </c>
      <c r="Q2720" s="4">
        <v>70174.58</v>
      </c>
      <c r="R2720" s="4">
        <v>70174.58</v>
      </c>
      <c r="S2720" s="8">
        <f t="shared" si="126"/>
        <v>84174.231666666674</v>
      </c>
      <c r="T2720" s="8">
        <f t="shared" si="127"/>
        <v>-13999.651666666672</v>
      </c>
      <c r="U2720" s="9">
        <f t="shared" si="128"/>
        <v>-0.16631754623084477</v>
      </c>
      <c r="V2720" t="s">
        <v>896</v>
      </c>
    </row>
    <row r="2721" spans="1:22" outlineLevel="2">
      <c r="A2721" t="s">
        <v>649</v>
      </c>
      <c r="B2721" t="s">
        <v>650</v>
      </c>
      <c r="C2721" t="s">
        <v>148</v>
      </c>
      <c r="D2721" t="s">
        <v>149</v>
      </c>
      <c r="E2721" s="4">
        <v>0</v>
      </c>
      <c r="F2721" s="4">
        <v>0</v>
      </c>
      <c r="G2721" s="4">
        <v>46400</v>
      </c>
      <c r="H2721" s="4">
        <v>0</v>
      </c>
      <c r="I2721" s="4">
        <v>0</v>
      </c>
      <c r="J2721" s="4">
        <v>0</v>
      </c>
      <c r="K2721" s="4">
        <v>0</v>
      </c>
      <c r="L2721" s="4">
        <v>0</v>
      </c>
      <c r="M2721" s="4">
        <v>0</v>
      </c>
      <c r="N2721" s="4">
        <v>0</v>
      </c>
      <c r="O2721" s="4">
        <v>0</v>
      </c>
      <c r="P2721" s="4">
        <v>0</v>
      </c>
      <c r="Q2721" s="4">
        <v>0</v>
      </c>
      <c r="S2721" s="8">
        <f t="shared" si="126"/>
        <v>0</v>
      </c>
      <c r="T2721" s="8">
        <f t="shared" si="127"/>
        <v>0</v>
      </c>
      <c r="U2721" s="9" t="e">
        <f t="shared" si="128"/>
        <v>#DIV/0!</v>
      </c>
    </row>
    <row r="2722" spans="1:22" outlineLevel="2">
      <c r="A2722" t="s">
        <v>649</v>
      </c>
      <c r="B2722" t="s">
        <v>650</v>
      </c>
      <c r="C2722" t="s">
        <v>208</v>
      </c>
      <c r="D2722" t="s">
        <v>209</v>
      </c>
      <c r="E2722" s="4">
        <v>-16080</v>
      </c>
      <c r="F2722" s="4">
        <v>-16080.38</v>
      </c>
      <c r="G2722" s="4">
        <v>-20122.7</v>
      </c>
      <c r="H2722" s="4">
        <v>-16080.38</v>
      </c>
      <c r="I2722" s="4">
        <v>-16080.38</v>
      </c>
      <c r="J2722" s="4">
        <v>-16795.849999999999</v>
      </c>
      <c r="K2722" s="4">
        <v>-16080.38</v>
      </c>
      <c r="L2722" s="4">
        <v>-16080.38</v>
      </c>
      <c r="M2722" s="4">
        <v>-16012.59</v>
      </c>
      <c r="N2722" s="4">
        <v>-17390.580000000002</v>
      </c>
      <c r="O2722" s="4">
        <v>-17390.580000000002</v>
      </c>
      <c r="P2722" s="4">
        <v>-17206.8</v>
      </c>
      <c r="Q2722" s="4">
        <v>-18767.66</v>
      </c>
      <c r="R2722" s="4">
        <v>-18767.66</v>
      </c>
      <c r="S2722" s="8">
        <f t="shared" si="126"/>
        <v>-17141.431666666667</v>
      </c>
      <c r="T2722" s="8">
        <f t="shared" si="127"/>
        <v>-1626.2283333333326</v>
      </c>
      <c r="U2722" s="9">
        <f t="shared" si="128"/>
        <v>9.4871208248941435E-2</v>
      </c>
      <c r="V2722" t="s">
        <v>897</v>
      </c>
    </row>
    <row r="2723" spans="1:22" outlineLevel="2">
      <c r="A2723" t="s">
        <v>649</v>
      </c>
      <c r="B2723" t="s">
        <v>650</v>
      </c>
      <c r="C2723" t="s">
        <v>152</v>
      </c>
      <c r="D2723" t="s">
        <v>153</v>
      </c>
      <c r="E2723" s="4">
        <v>18832.71</v>
      </c>
      <c r="F2723" s="4">
        <v>27534.2</v>
      </c>
      <c r="G2723" s="4">
        <v>51617.02</v>
      </c>
      <c r="H2723" s="4">
        <v>25106</v>
      </c>
      <c r="I2723" s="4">
        <v>25545.379999999997</v>
      </c>
      <c r="J2723" s="4">
        <v>41445.39</v>
      </c>
      <c r="K2723" s="4">
        <v>23975.919999999998</v>
      </c>
      <c r="L2723" s="4">
        <v>23682.86</v>
      </c>
      <c r="M2723" s="4">
        <v>22873.379999999997</v>
      </c>
      <c r="N2723" s="4">
        <v>18722.3</v>
      </c>
      <c r="O2723" s="4">
        <v>18500.04</v>
      </c>
      <c r="P2723" s="4">
        <v>16132.34</v>
      </c>
      <c r="Q2723" s="4">
        <v>1964.75</v>
      </c>
      <c r="S2723" s="8">
        <f t="shared" si="126"/>
        <v>16979.278333333332</v>
      </c>
      <c r="T2723" s="8">
        <f t="shared" si="127"/>
        <v>-16979.278333333332</v>
      </c>
      <c r="U2723" s="9">
        <f t="shared" si="128"/>
        <v>-1</v>
      </c>
    </row>
    <row r="2724" spans="1:22" outlineLevel="2">
      <c r="A2724" t="s">
        <v>649</v>
      </c>
      <c r="B2724" t="s">
        <v>650</v>
      </c>
      <c r="C2724" t="s">
        <v>154</v>
      </c>
      <c r="D2724" t="s">
        <v>155</v>
      </c>
      <c r="E2724" s="4">
        <v>4447.55</v>
      </c>
      <c r="F2724" s="4">
        <v>1948.42</v>
      </c>
      <c r="G2724" s="4">
        <v>156.55000000000001</v>
      </c>
      <c r="H2724" s="4">
        <v>42.99</v>
      </c>
      <c r="I2724" s="4">
        <v>-16.740000000000002</v>
      </c>
      <c r="J2724" s="4">
        <v>0</v>
      </c>
      <c r="K2724" s="4">
        <v>0</v>
      </c>
      <c r="L2724" s="4">
        <v>0</v>
      </c>
      <c r="M2724" s="4">
        <v>0</v>
      </c>
      <c r="N2724" s="4">
        <v>52.5</v>
      </c>
      <c r="O2724" s="4">
        <v>0</v>
      </c>
      <c r="P2724" s="4">
        <v>0</v>
      </c>
      <c r="Q2724" s="4">
        <v>417.70000000000027</v>
      </c>
      <c r="S2724" s="8">
        <f t="shared" si="126"/>
        <v>78.366666666666717</v>
      </c>
      <c r="T2724" s="8">
        <f t="shared" si="127"/>
        <v>-78.366666666666717</v>
      </c>
      <c r="U2724" s="9">
        <f t="shared" si="128"/>
        <v>-1</v>
      </c>
    </row>
    <row r="2725" spans="1:22" outlineLevel="2">
      <c r="A2725" t="s">
        <v>649</v>
      </c>
      <c r="B2725" t="s">
        <v>650</v>
      </c>
      <c r="C2725" t="s">
        <v>33</v>
      </c>
      <c r="D2725" t="s">
        <v>34</v>
      </c>
      <c r="E2725" s="4">
        <v>887</v>
      </c>
      <c r="F2725" s="4">
        <v>0</v>
      </c>
      <c r="G2725" s="4">
        <v>0</v>
      </c>
      <c r="H2725" s="4">
        <v>0</v>
      </c>
      <c r="I2725" s="4">
        <v>0</v>
      </c>
      <c r="J2725" s="4">
        <v>0</v>
      </c>
      <c r="K2725" s="4">
        <v>0</v>
      </c>
      <c r="L2725" s="4">
        <v>0</v>
      </c>
      <c r="M2725" s="4">
        <v>0</v>
      </c>
      <c r="N2725" s="4">
        <v>0</v>
      </c>
      <c r="O2725" s="4">
        <v>0</v>
      </c>
      <c r="P2725" s="4">
        <v>0</v>
      </c>
      <c r="Q2725" s="4">
        <v>0</v>
      </c>
      <c r="S2725" s="8">
        <f t="shared" si="126"/>
        <v>0</v>
      </c>
      <c r="T2725" s="8">
        <f t="shared" si="127"/>
        <v>0</v>
      </c>
      <c r="U2725" s="9" t="e">
        <f t="shared" si="128"/>
        <v>#DIV/0!</v>
      </c>
    </row>
    <row r="2726" spans="1:22" outlineLevel="2">
      <c r="A2726" t="s">
        <v>649</v>
      </c>
      <c r="B2726" t="s">
        <v>650</v>
      </c>
      <c r="C2726" t="s">
        <v>156</v>
      </c>
      <c r="D2726" t="s">
        <v>157</v>
      </c>
      <c r="E2726" s="4">
        <v>1493.57</v>
      </c>
      <c r="F2726" s="4">
        <v>364.3</v>
      </c>
      <c r="G2726" s="4">
        <v>0</v>
      </c>
      <c r="H2726" s="4">
        <v>0</v>
      </c>
      <c r="I2726" s="4">
        <v>0</v>
      </c>
      <c r="J2726" s="4">
        <v>0</v>
      </c>
      <c r="K2726" s="4">
        <v>0</v>
      </c>
      <c r="L2726" s="4">
        <v>0</v>
      </c>
      <c r="M2726" s="4">
        <v>0</v>
      </c>
      <c r="N2726" s="4">
        <v>0</v>
      </c>
      <c r="O2726" s="4">
        <v>0</v>
      </c>
      <c r="P2726" s="4">
        <v>0</v>
      </c>
      <c r="Q2726" s="4">
        <v>0</v>
      </c>
      <c r="S2726" s="8">
        <f t="shared" si="126"/>
        <v>0</v>
      </c>
      <c r="T2726" s="8">
        <f t="shared" si="127"/>
        <v>0</v>
      </c>
      <c r="U2726" s="9" t="e">
        <f t="shared" si="128"/>
        <v>#DIV/0!</v>
      </c>
    </row>
    <row r="2727" spans="1:22" outlineLevel="2">
      <c r="A2727" t="s">
        <v>649</v>
      </c>
      <c r="B2727" t="s">
        <v>650</v>
      </c>
      <c r="C2727" t="s">
        <v>304</v>
      </c>
      <c r="D2727" t="s">
        <v>305</v>
      </c>
      <c r="E2727" s="4">
        <v>0</v>
      </c>
      <c r="F2727" s="4">
        <v>0</v>
      </c>
      <c r="G2727" s="4">
        <v>0</v>
      </c>
      <c r="H2727" s="4">
        <v>0</v>
      </c>
      <c r="I2727" s="4">
        <v>0</v>
      </c>
      <c r="J2727" s="4">
        <v>0</v>
      </c>
      <c r="K2727" s="4">
        <v>0</v>
      </c>
      <c r="L2727" s="4">
        <v>0</v>
      </c>
      <c r="M2727" s="4">
        <v>0</v>
      </c>
      <c r="N2727" s="4">
        <v>0</v>
      </c>
      <c r="O2727" s="4">
        <v>0</v>
      </c>
      <c r="P2727" s="4">
        <v>0</v>
      </c>
      <c r="Q2727" s="4">
        <v>0</v>
      </c>
      <c r="S2727" s="8">
        <f t="shared" si="126"/>
        <v>0</v>
      </c>
      <c r="T2727" s="8">
        <f t="shared" si="127"/>
        <v>0</v>
      </c>
      <c r="U2727" s="9" t="e">
        <f t="shared" si="128"/>
        <v>#DIV/0!</v>
      </c>
    </row>
    <row r="2728" spans="1:22" outlineLevel="2">
      <c r="A2728" t="s">
        <v>649</v>
      </c>
      <c r="B2728" t="s">
        <v>650</v>
      </c>
      <c r="C2728" t="s">
        <v>180</v>
      </c>
      <c r="D2728" t="s">
        <v>181</v>
      </c>
      <c r="E2728" s="4">
        <v>0</v>
      </c>
      <c r="F2728" s="4">
        <v>356.09</v>
      </c>
      <c r="G2728" s="4">
        <v>175</v>
      </c>
      <c r="H2728" s="4">
        <v>0</v>
      </c>
      <c r="I2728" s="4">
        <v>366.66</v>
      </c>
      <c r="J2728" s="4">
        <v>0</v>
      </c>
      <c r="K2728" s="4">
        <v>0</v>
      </c>
      <c r="L2728" s="4">
        <v>0</v>
      </c>
      <c r="M2728" s="4">
        <v>0</v>
      </c>
      <c r="N2728" s="4">
        <v>0</v>
      </c>
      <c r="O2728" s="4">
        <v>0</v>
      </c>
      <c r="P2728" s="4">
        <v>0</v>
      </c>
      <c r="Q2728" s="4">
        <v>0</v>
      </c>
      <c r="S2728" s="8">
        <f t="shared" si="126"/>
        <v>0</v>
      </c>
      <c r="T2728" s="8">
        <f t="shared" si="127"/>
        <v>0</v>
      </c>
      <c r="U2728" s="9" t="e">
        <f t="shared" si="128"/>
        <v>#DIV/0!</v>
      </c>
    </row>
    <row r="2729" spans="1:22" outlineLevel="2">
      <c r="A2729" t="s">
        <v>649</v>
      </c>
      <c r="B2729" t="s">
        <v>650</v>
      </c>
      <c r="C2729" t="s">
        <v>47</v>
      </c>
      <c r="D2729" t="s">
        <v>48</v>
      </c>
      <c r="E2729" s="4">
        <v>3732.09</v>
      </c>
      <c r="F2729" s="4">
        <v>36751.56</v>
      </c>
      <c r="G2729" s="4">
        <v>-29365.49</v>
      </c>
      <c r="H2729" s="4">
        <v>3971.95</v>
      </c>
      <c r="I2729" s="4">
        <v>2710.83</v>
      </c>
      <c r="J2729" s="4">
        <v>3147.3999999999996</v>
      </c>
      <c r="K2729" s="4">
        <v>2893.3200000000006</v>
      </c>
      <c r="L2729" s="4">
        <v>2837.6799999999967</v>
      </c>
      <c r="M2729" s="4">
        <v>2865.31</v>
      </c>
      <c r="N2729" s="4">
        <v>2865.31</v>
      </c>
      <c r="O2729" s="4">
        <v>2865.31</v>
      </c>
      <c r="P2729" s="4">
        <v>2865.31</v>
      </c>
      <c r="Q2729" s="4">
        <v>3624.91</v>
      </c>
      <c r="R2729" s="4">
        <v>2807.91</v>
      </c>
      <c r="S2729" s="8">
        <f t="shared" si="126"/>
        <v>2987.3049999999989</v>
      </c>
      <c r="T2729" s="8">
        <f t="shared" si="127"/>
        <v>-179.39499999999907</v>
      </c>
      <c r="U2729" s="9">
        <f t="shared" si="128"/>
        <v>-6.0052455306705922E-2</v>
      </c>
    </row>
    <row r="2730" spans="1:22" outlineLevel="2">
      <c r="A2730" t="s">
        <v>649</v>
      </c>
      <c r="B2730" t="s">
        <v>650</v>
      </c>
      <c r="C2730" t="s">
        <v>49</v>
      </c>
      <c r="D2730" t="s">
        <v>50</v>
      </c>
      <c r="E2730" s="4">
        <v>26.79</v>
      </c>
      <c r="F2730" s="4">
        <v>211.5</v>
      </c>
      <c r="G2730" s="4">
        <v>45123.12</v>
      </c>
      <c r="H2730" s="4">
        <v>5921.29</v>
      </c>
      <c r="I2730" s="4">
        <v>-26573.58</v>
      </c>
      <c r="J2730" s="4">
        <v>6000</v>
      </c>
      <c r="K2730" s="4">
        <v>0</v>
      </c>
      <c r="L2730" s="4">
        <v>5985.53</v>
      </c>
      <c r="M2730" s="4">
        <v>6000</v>
      </c>
      <c r="N2730" s="4">
        <v>6000</v>
      </c>
      <c r="O2730" s="4">
        <v>6000</v>
      </c>
      <c r="P2730" s="4">
        <v>6000</v>
      </c>
      <c r="Q2730" s="4">
        <v>0</v>
      </c>
      <c r="S2730" s="8">
        <f t="shared" si="126"/>
        <v>4997.5883333333331</v>
      </c>
      <c r="T2730" s="8">
        <f t="shared" si="127"/>
        <v>-4997.5883333333331</v>
      </c>
      <c r="U2730" s="9">
        <f t="shared" si="128"/>
        <v>-1</v>
      </c>
    </row>
    <row r="2731" spans="1:22" outlineLevel="2">
      <c r="A2731" t="s">
        <v>649</v>
      </c>
      <c r="B2731" t="s">
        <v>650</v>
      </c>
      <c r="C2731" t="s">
        <v>164</v>
      </c>
      <c r="D2731" t="s">
        <v>165</v>
      </c>
      <c r="E2731" s="4">
        <v>350</v>
      </c>
      <c r="F2731" s="4">
        <v>280</v>
      </c>
      <c r="G2731" s="4">
        <v>350</v>
      </c>
      <c r="H2731" s="4">
        <v>350</v>
      </c>
      <c r="I2731" s="4">
        <v>420</v>
      </c>
      <c r="J2731" s="4">
        <v>420</v>
      </c>
      <c r="K2731" s="4">
        <v>420</v>
      </c>
      <c r="L2731" s="4">
        <v>630</v>
      </c>
      <c r="M2731" s="4">
        <v>420</v>
      </c>
      <c r="N2731" s="4">
        <v>420</v>
      </c>
      <c r="O2731" s="4">
        <v>385</v>
      </c>
      <c r="P2731" s="4">
        <v>350</v>
      </c>
      <c r="Q2731" s="4">
        <v>315</v>
      </c>
      <c r="S2731" s="8">
        <f t="shared" si="126"/>
        <v>420</v>
      </c>
      <c r="T2731" s="8">
        <f t="shared" si="127"/>
        <v>-420</v>
      </c>
      <c r="U2731" s="9">
        <f t="shared" si="128"/>
        <v>-1</v>
      </c>
    </row>
    <row r="2732" spans="1:22" outlineLevel="2">
      <c r="A2732" t="s">
        <v>649</v>
      </c>
      <c r="B2732" t="s">
        <v>650</v>
      </c>
      <c r="C2732" t="s">
        <v>53</v>
      </c>
      <c r="D2732" t="s">
        <v>54</v>
      </c>
      <c r="E2732" s="4">
        <v>3300</v>
      </c>
      <c r="F2732" s="4">
        <v>0</v>
      </c>
      <c r="G2732" s="4">
        <v>0</v>
      </c>
      <c r="H2732" s="4">
        <v>-12480</v>
      </c>
      <c r="I2732" s="4">
        <v>-970</v>
      </c>
      <c r="J2732" s="4">
        <v>-970</v>
      </c>
      <c r="K2732" s="4">
        <v>-970</v>
      </c>
      <c r="L2732" s="4">
        <v>-970</v>
      </c>
      <c r="M2732" s="4">
        <v>-970</v>
      </c>
      <c r="N2732" s="4">
        <v>-970</v>
      </c>
      <c r="O2732" s="4">
        <v>-970</v>
      </c>
      <c r="P2732" s="4">
        <v>-970</v>
      </c>
      <c r="Q2732" s="4">
        <v>-970</v>
      </c>
      <c r="R2732" s="4">
        <v>-970</v>
      </c>
      <c r="S2732" s="8">
        <f t="shared" si="126"/>
        <v>-970</v>
      </c>
      <c r="T2732" s="8">
        <f t="shared" si="127"/>
        <v>0</v>
      </c>
      <c r="U2732" s="9">
        <f t="shared" si="128"/>
        <v>0</v>
      </c>
    </row>
    <row r="2733" spans="1:22" outlineLevel="2">
      <c r="A2733" t="s">
        <v>649</v>
      </c>
      <c r="B2733" t="s">
        <v>650</v>
      </c>
      <c r="C2733" t="s">
        <v>55</v>
      </c>
      <c r="D2733" t="s">
        <v>56</v>
      </c>
      <c r="E2733" s="4">
        <v>1773.68</v>
      </c>
      <c r="F2733" s="4">
        <v>0</v>
      </c>
      <c r="G2733" s="4">
        <v>0</v>
      </c>
      <c r="H2733" s="4">
        <v>0</v>
      </c>
      <c r="I2733" s="4">
        <v>0</v>
      </c>
      <c r="J2733" s="4">
        <v>0</v>
      </c>
      <c r="K2733" s="4">
        <v>0</v>
      </c>
      <c r="L2733" s="4">
        <v>0</v>
      </c>
      <c r="M2733" s="4">
        <v>0</v>
      </c>
      <c r="N2733" s="4">
        <v>0</v>
      </c>
      <c r="O2733" s="4">
        <v>0</v>
      </c>
      <c r="P2733" s="4">
        <v>0</v>
      </c>
      <c r="Q2733" s="4">
        <v>0</v>
      </c>
      <c r="S2733" s="8">
        <f t="shared" si="126"/>
        <v>0</v>
      </c>
      <c r="T2733" s="8">
        <f t="shared" si="127"/>
        <v>0</v>
      </c>
      <c r="U2733" s="9" t="e">
        <f t="shared" si="128"/>
        <v>#DIV/0!</v>
      </c>
    </row>
    <row r="2734" spans="1:22" outlineLevel="2">
      <c r="A2734" t="s">
        <v>649</v>
      </c>
      <c r="B2734" t="s">
        <v>650</v>
      </c>
      <c r="C2734" t="s">
        <v>59</v>
      </c>
      <c r="D2734" t="s">
        <v>60</v>
      </c>
      <c r="E2734" s="4">
        <v>0</v>
      </c>
      <c r="F2734" s="4">
        <v>0</v>
      </c>
      <c r="G2734" s="4">
        <v>0</v>
      </c>
      <c r="H2734" s="4">
        <v>0</v>
      </c>
      <c r="I2734" s="4">
        <v>0</v>
      </c>
      <c r="J2734" s="4">
        <v>0</v>
      </c>
      <c r="K2734" s="4">
        <v>0</v>
      </c>
      <c r="L2734" s="4">
        <v>0</v>
      </c>
      <c r="M2734" s="4">
        <v>0</v>
      </c>
      <c r="N2734" s="4">
        <v>0</v>
      </c>
      <c r="O2734" s="4">
        <v>0</v>
      </c>
      <c r="P2734" s="4">
        <v>0</v>
      </c>
      <c r="Q2734" s="4">
        <v>0</v>
      </c>
      <c r="S2734" s="8">
        <f t="shared" si="126"/>
        <v>0</v>
      </c>
      <c r="T2734" s="8">
        <f t="shared" si="127"/>
        <v>0</v>
      </c>
      <c r="U2734" s="9" t="e">
        <f t="shared" si="128"/>
        <v>#DIV/0!</v>
      </c>
    </row>
    <row r="2735" spans="1:22" outlineLevel="2">
      <c r="A2735" t="s">
        <v>649</v>
      </c>
      <c r="B2735" t="s">
        <v>650</v>
      </c>
      <c r="C2735" t="s">
        <v>63</v>
      </c>
      <c r="D2735" t="s">
        <v>64</v>
      </c>
      <c r="E2735" s="4">
        <v>83.94</v>
      </c>
      <c r="F2735" s="4">
        <v>101.44</v>
      </c>
      <c r="G2735" s="4">
        <v>19.98</v>
      </c>
      <c r="H2735" s="4">
        <v>77.740000000000009</v>
      </c>
      <c r="I2735" s="4">
        <v>0</v>
      </c>
      <c r="J2735" s="4">
        <v>236.95999999999998</v>
      </c>
      <c r="K2735" s="4">
        <v>698.44999999999993</v>
      </c>
      <c r="L2735" s="4">
        <v>0</v>
      </c>
      <c r="M2735" s="4">
        <v>179.3</v>
      </c>
      <c r="N2735" s="4">
        <v>1649.48</v>
      </c>
      <c r="O2735" s="4">
        <v>51</v>
      </c>
      <c r="P2735" s="4">
        <v>119.5</v>
      </c>
      <c r="Q2735" s="4">
        <v>51</v>
      </c>
      <c r="S2735" s="8">
        <f t="shared" si="126"/>
        <v>341.71333333333331</v>
      </c>
      <c r="T2735" s="8">
        <f t="shared" si="127"/>
        <v>-341.71333333333331</v>
      </c>
      <c r="U2735" s="9">
        <f t="shared" si="128"/>
        <v>-1</v>
      </c>
    </row>
    <row r="2736" spans="1:22" outlineLevel="2">
      <c r="A2736" t="s">
        <v>649</v>
      </c>
      <c r="B2736" t="s">
        <v>650</v>
      </c>
      <c r="C2736" t="s">
        <v>65</v>
      </c>
      <c r="D2736" t="s">
        <v>66</v>
      </c>
      <c r="E2736" s="4">
        <v>17.39</v>
      </c>
      <c r="F2736" s="4">
        <v>133524</v>
      </c>
      <c r="G2736" s="4">
        <v>-133524</v>
      </c>
      <c r="H2736" s="4">
        <v>0</v>
      </c>
      <c r="I2736" s="4">
        <v>0</v>
      </c>
      <c r="J2736" s="4">
        <v>0</v>
      </c>
      <c r="K2736" s="4">
        <v>-1.3869794202037156E-11</v>
      </c>
      <c r="L2736" s="4">
        <v>-0.5</v>
      </c>
      <c r="M2736" s="4">
        <v>0</v>
      </c>
      <c r="N2736" s="4">
        <v>0</v>
      </c>
      <c r="O2736" s="4">
        <v>0</v>
      </c>
      <c r="P2736" s="4">
        <v>0</v>
      </c>
      <c r="Q2736" s="4">
        <v>0</v>
      </c>
      <c r="S2736" s="8">
        <f t="shared" si="126"/>
        <v>-8.3333333333333329E-2</v>
      </c>
      <c r="T2736" s="8">
        <f t="shared" si="127"/>
        <v>8.3333333333333329E-2</v>
      </c>
      <c r="U2736" s="9">
        <f t="shared" si="128"/>
        <v>-1</v>
      </c>
    </row>
    <row r="2737" spans="1:22" outlineLevel="2">
      <c r="A2737" t="s">
        <v>649</v>
      </c>
      <c r="B2737" t="s">
        <v>650</v>
      </c>
      <c r="C2737" t="s">
        <v>83</v>
      </c>
      <c r="D2737" t="s">
        <v>84</v>
      </c>
      <c r="E2737" s="4">
        <v>0</v>
      </c>
      <c r="F2737" s="4">
        <v>0</v>
      </c>
      <c r="G2737" s="4">
        <v>0</v>
      </c>
      <c r="H2737" s="4">
        <v>0</v>
      </c>
      <c r="I2737" s="4">
        <v>532.54</v>
      </c>
      <c r="J2737" s="4">
        <v>0</v>
      </c>
      <c r="K2737" s="4">
        <v>0</v>
      </c>
      <c r="L2737" s="4">
        <v>361.66</v>
      </c>
      <c r="M2737" s="4">
        <v>1595.24</v>
      </c>
      <c r="N2737" s="4">
        <v>0</v>
      </c>
      <c r="O2737" s="4">
        <v>5100.6000000000004</v>
      </c>
      <c r="P2737" s="4">
        <v>1382.85</v>
      </c>
      <c r="Q2737" s="4">
        <v>0</v>
      </c>
      <c r="S2737" s="8">
        <f t="shared" si="126"/>
        <v>1406.7250000000001</v>
      </c>
      <c r="T2737" s="8">
        <f t="shared" si="127"/>
        <v>-1406.7250000000001</v>
      </c>
      <c r="U2737" s="9">
        <f t="shared" si="128"/>
        <v>-1</v>
      </c>
    </row>
    <row r="2738" spans="1:22" outlineLevel="2">
      <c r="A2738" t="s">
        <v>649</v>
      </c>
      <c r="B2738" t="s">
        <v>650</v>
      </c>
      <c r="C2738" t="s">
        <v>93</v>
      </c>
      <c r="D2738" t="s">
        <v>94</v>
      </c>
      <c r="E2738" s="4">
        <v>1072.9100000000001</v>
      </c>
      <c r="F2738" s="4">
        <v>328.96</v>
      </c>
      <c r="G2738" s="4">
        <v>0</v>
      </c>
      <c r="H2738" s="4">
        <v>0</v>
      </c>
      <c r="I2738" s="4">
        <v>0</v>
      </c>
      <c r="J2738" s="4">
        <v>0</v>
      </c>
      <c r="K2738" s="4">
        <v>0</v>
      </c>
      <c r="L2738" s="4">
        <v>0</v>
      </c>
      <c r="M2738" s="4">
        <v>0</v>
      </c>
      <c r="N2738" s="4">
        <v>0</v>
      </c>
      <c r="O2738" s="4">
        <v>0</v>
      </c>
      <c r="P2738" s="4">
        <v>0</v>
      </c>
      <c r="Q2738" s="4">
        <v>0</v>
      </c>
      <c r="S2738" s="8">
        <f t="shared" si="126"/>
        <v>0</v>
      </c>
      <c r="T2738" s="8">
        <f t="shared" si="127"/>
        <v>0</v>
      </c>
      <c r="U2738" s="9" t="e">
        <f t="shared" si="128"/>
        <v>#DIV/0!</v>
      </c>
    </row>
    <row r="2739" spans="1:22" outlineLevel="2">
      <c r="A2739" t="s">
        <v>649</v>
      </c>
      <c r="B2739" t="s">
        <v>650</v>
      </c>
      <c r="C2739" t="s">
        <v>168</v>
      </c>
      <c r="D2739" t="s">
        <v>169</v>
      </c>
      <c r="E2739" s="4">
        <v>0</v>
      </c>
      <c r="F2739" s="4">
        <v>0</v>
      </c>
      <c r="G2739" s="4">
        <v>0</v>
      </c>
      <c r="H2739" s="4">
        <v>0</v>
      </c>
      <c r="I2739" s="4">
        <v>0</v>
      </c>
      <c r="J2739" s="4">
        <v>0</v>
      </c>
      <c r="K2739" s="4">
        <v>0</v>
      </c>
      <c r="L2739" s="4">
        <v>0</v>
      </c>
      <c r="M2739" s="4">
        <v>0</v>
      </c>
      <c r="N2739" s="4">
        <v>0</v>
      </c>
      <c r="O2739" s="4">
        <v>1823</v>
      </c>
      <c r="P2739" s="4">
        <v>425.5</v>
      </c>
      <c r="Q2739" s="4">
        <v>359</v>
      </c>
      <c r="R2739" s="4">
        <v>325</v>
      </c>
      <c r="S2739" s="8">
        <f t="shared" si="126"/>
        <v>434.58333333333331</v>
      </c>
      <c r="T2739" s="8">
        <f t="shared" si="127"/>
        <v>-109.58333333333331</v>
      </c>
      <c r="U2739" s="9">
        <f t="shared" si="128"/>
        <v>-0.25215723873441992</v>
      </c>
    </row>
    <row r="2740" spans="1:22" outlineLevel="2">
      <c r="A2740" t="s">
        <v>649</v>
      </c>
      <c r="B2740" t="s">
        <v>650</v>
      </c>
      <c r="C2740" t="s">
        <v>99</v>
      </c>
      <c r="D2740" t="s">
        <v>100</v>
      </c>
      <c r="E2740" s="4">
        <v>0</v>
      </c>
      <c r="F2740" s="4">
        <v>0</v>
      </c>
      <c r="G2740" s="4">
        <v>0</v>
      </c>
      <c r="H2740" s="4">
        <v>4655.95</v>
      </c>
      <c r="I2740" s="4">
        <v>564.24</v>
      </c>
      <c r="J2740" s="4">
        <v>19289.400000000001</v>
      </c>
      <c r="K2740" s="4">
        <v>13597.92</v>
      </c>
      <c r="L2740" s="4">
        <v>0</v>
      </c>
      <c r="M2740" s="4">
        <v>0</v>
      </c>
      <c r="N2740" s="4">
        <v>0</v>
      </c>
      <c r="O2740" s="4">
        <v>0</v>
      </c>
      <c r="P2740" s="4">
        <v>1591.3700000000008</v>
      </c>
      <c r="Q2740" s="4">
        <v>0</v>
      </c>
      <c r="S2740" s="8">
        <f t="shared" si="126"/>
        <v>265.22833333333347</v>
      </c>
      <c r="T2740" s="8">
        <f t="shared" si="127"/>
        <v>-265.22833333333347</v>
      </c>
      <c r="U2740" s="9">
        <f t="shared" si="128"/>
        <v>-1</v>
      </c>
    </row>
    <row r="2741" spans="1:22" outlineLevel="2">
      <c r="A2741" t="s">
        <v>649</v>
      </c>
      <c r="B2741" t="s">
        <v>650</v>
      </c>
      <c r="C2741" t="s">
        <v>101</v>
      </c>
      <c r="D2741" t="s">
        <v>102</v>
      </c>
      <c r="E2741" s="4">
        <v>0</v>
      </c>
      <c r="F2741" s="4">
        <v>0</v>
      </c>
      <c r="G2741" s="4">
        <v>0</v>
      </c>
      <c r="H2741" s="4">
        <v>3113.6700000000005</v>
      </c>
      <c r="I2741" s="4">
        <v>0</v>
      </c>
      <c r="J2741" s="4">
        <v>0</v>
      </c>
      <c r="K2741" s="4">
        <v>0</v>
      </c>
      <c r="L2741" s="4">
        <v>0</v>
      </c>
      <c r="M2741" s="4">
        <v>0</v>
      </c>
      <c r="N2741" s="4">
        <v>-3113.67</v>
      </c>
      <c r="O2741" s="4">
        <v>0</v>
      </c>
      <c r="P2741" s="4">
        <v>0</v>
      </c>
      <c r="Q2741" s="4">
        <v>0</v>
      </c>
      <c r="S2741" s="8">
        <f t="shared" si="126"/>
        <v>-518.94500000000005</v>
      </c>
      <c r="T2741" s="8">
        <f t="shared" si="127"/>
        <v>518.94500000000005</v>
      </c>
      <c r="U2741" s="9">
        <f t="shared" si="128"/>
        <v>-1</v>
      </c>
    </row>
    <row r="2742" spans="1:22" outlineLevel="2">
      <c r="A2742" t="s">
        <v>649</v>
      </c>
      <c r="B2742" t="s">
        <v>650</v>
      </c>
      <c r="C2742" t="s">
        <v>170</v>
      </c>
      <c r="D2742" t="s">
        <v>171</v>
      </c>
      <c r="E2742" s="4">
        <v>1710</v>
      </c>
      <c r="F2742" s="4">
        <v>1980</v>
      </c>
      <c r="G2742" s="4">
        <v>1440</v>
      </c>
      <c r="H2742" s="4">
        <v>1485</v>
      </c>
      <c r="I2742" s="4">
        <v>1530</v>
      </c>
      <c r="J2742" s="4">
        <v>1530</v>
      </c>
      <c r="K2742" s="4">
        <v>1530</v>
      </c>
      <c r="L2742" s="4">
        <v>2295</v>
      </c>
      <c r="M2742" s="4">
        <v>1530</v>
      </c>
      <c r="N2742" s="4">
        <v>1440</v>
      </c>
      <c r="O2742" s="4">
        <v>1440</v>
      </c>
      <c r="P2742" s="4">
        <v>1440</v>
      </c>
      <c r="Q2742" s="4">
        <v>0</v>
      </c>
      <c r="S2742" s="8">
        <f t="shared" si="126"/>
        <v>1357.5</v>
      </c>
      <c r="T2742" s="8">
        <f t="shared" si="127"/>
        <v>-1357.5</v>
      </c>
      <c r="U2742" s="9">
        <f t="shared" si="128"/>
        <v>-1</v>
      </c>
    </row>
    <row r="2743" spans="1:22" outlineLevel="2">
      <c r="A2743" t="s">
        <v>649</v>
      </c>
      <c r="B2743" t="s">
        <v>650</v>
      </c>
      <c r="C2743" t="s">
        <v>236</v>
      </c>
      <c r="D2743" t="s">
        <v>237</v>
      </c>
      <c r="E2743" s="4">
        <v>337000</v>
      </c>
      <c r="F2743" s="4">
        <v>337000</v>
      </c>
      <c r="G2743" s="4">
        <v>337000</v>
      </c>
      <c r="H2743" s="4">
        <v>337000</v>
      </c>
      <c r="I2743" s="4">
        <v>337000</v>
      </c>
      <c r="J2743" s="4">
        <v>337000</v>
      </c>
      <c r="K2743" s="4">
        <v>1083333.33</v>
      </c>
      <c r="L2743" s="4">
        <v>1083333.33</v>
      </c>
      <c r="M2743" s="4">
        <v>1083333.33</v>
      </c>
      <c r="N2743" s="4">
        <v>1083333.33</v>
      </c>
      <c r="O2743" s="4">
        <v>1083333.33</v>
      </c>
      <c r="P2743" s="4">
        <v>1083333.33</v>
      </c>
      <c r="Q2743" s="4">
        <v>416666.63000000012</v>
      </c>
      <c r="R2743" s="4">
        <v>416666.63</v>
      </c>
      <c r="S2743" s="8">
        <f t="shared" si="126"/>
        <v>972222.21333333338</v>
      </c>
      <c r="T2743" s="8">
        <f t="shared" si="127"/>
        <v>-555555.58333333337</v>
      </c>
      <c r="U2743" s="9">
        <f t="shared" si="128"/>
        <v>-0.57142860522449013</v>
      </c>
      <c r="V2743" t="s">
        <v>896</v>
      </c>
    </row>
    <row r="2744" spans="1:22" outlineLevel="2">
      <c r="A2744" t="s">
        <v>649</v>
      </c>
      <c r="B2744" t="s">
        <v>650</v>
      </c>
      <c r="C2744" t="s">
        <v>240</v>
      </c>
      <c r="D2744" t="s">
        <v>241</v>
      </c>
      <c r="E2744" s="4">
        <v>223946.71</v>
      </c>
      <c r="F2744" s="4">
        <v>223946.71</v>
      </c>
      <c r="G2744" s="4">
        <v>124334.85</v>
      </c>
      <c r="H2744" s="4">
        <v>149237.81</v>
      </c>
      <c r="I2744" s="4">
        <v>149237.81</v>
      </c>
      <c r="J2744" s="4">
        <v>149237.81</v>
      </c>
      <c r="K2744" s="4">
        <v>219076.68</v>
      </c>
      <c r="L2744" s="4">
        <v>-1239018</v>
      </c>
      <c r="M2744" s="4">
        <v>0</v>
      </c>
      <c r="N2744" s="4">
        <v>0</v>
      </c>
      <c r="O2744" s="4">
        <v>0</v>
      </c>
      <c r="P2744" s="4">
        <v>0</v>
      </c>
      <c r="Q2744" s="4">
        <v>0</v>
      </c>
      <c r="S2744" s="8">
        <f t="shared" si="126"/>
        <v>-206503</v>
      </c>
      <c r="T2744" s="8">
        <f t="shared" si="127"/>
        <v>206503</v>
      </c>
      <c r="U2744" s="9">
        <f t="shared" si="128"/>
        <v>-1</v>
      </c>
    </row>
    <row r="2745" spans="1:22" outlineLevel="1">
      <c r="A2745" s="1" t="s">
        <v>872</v>
      </c>
      <c r="E2745" s="4">
        <f>SUBTOTAL(9,E2710:E2744)</f>
        <v>646033.77</v>
      </c>
      <c r="F2745" s="4">
        <f>SUBTOTAL(9,F2710:F2744)</f>
        <v>1609326.19</v>
      </c>
      <c r="G2745" s="4">
        <f>SUBTOTAL(9,G2710:G2744)</f>
        <v>366476.75</v>
      </c>
      <c r="H2745" s="4">
        <f>SUBTOTAL(9,H2710:H2744)</f>
        <v>1477427.09</v>
      </c>
      <c r="I2745" s="4">
        <f>SUBTOTAL(9,I2710:I2744)</f>
        <v>829334.37999999989</v>
      </c>
      <c r="J2745" s="4">
        <f>SUBTOTAL(9,J2710:J2744)</f>
        <v>1017348.54</v>
      </c>
      <c r="K2745" s="4">
        <f>SUBTOTAL(9,K2710:K2744)</f>
        <v>1597898.73</v>
      </c>
      <c r="L2745" s="4">
        <f>SUBTOTAL(9,L2710:L2744)</f>
        <v>429456.31000000006</v>
      </c>
      <c r="M2745" s="4">
        <f>SUBTOTAL(9,M2710:M2744)</f>
        <v>1072389.1000000001</v>
      </c>
      <c r="N2745" s="4">
        <f>SUBTOTAL(9,N2710:N2744)</f>
        <v>1589628.5</v>
      </c>
      <c r="O2745" s="4">
        <f>SUBTOTAL(9,O2710:O2744)</f>
        <v>1413320.73</v>
      </c>
      <c r="P2745" s="4">
        <f>SUBTOTAL(9,P2710:P2744)</f>
        <v>2005756.37</v>
      </c>
      <c r="Q2745" s="4">
        <f>SUBTOTAL(9,Q2710:Q2744)</f>
        <v>713524.92000000016</v>
      </c>
      <c r="R2745" s="4">
        <f>SUBTOTAL(9,R2710:R2744)</f>
        <v>470236.46</v>
      </c>
      <c r="S2745" s="8">
        <f t="shared" si="126"/>
        <v>1204012.655</v>
      </c>
      <c r="T2745" s="8">
        <f t="shared" si="127"/>
        <v>-733776.19500000007</v>
      </c>
      <c r="U2745" s="9">
        <f t="shared" si="128"/>
        <v>-0.60944226121942224</v>
      </c>
      <c r="V2745" t="s">
        <v>897</v>
      </c>
    </row>
    <row r="2746" spans="1:22" outlineLevel="2">
      <c r="A2746" t="s">
        <v>651</v>
      </c>
      <c r="B2746" t="s">
        <v>652</v>
      </c>
      <c r="C2746" t="s">
        <v>19</v>
      </c>
      <c r="D2746" t="s">
        <v>20</v>
      </c>
      <c r="E2746" s="4">
        <v>0</v>
      </c>
      <c r="F2746" s="4">
        <v>13940.510000000002</v>
      </c>
      <c r="G2746" s="4">
        <v>117.73</v>
      </c>
      <c r="H2746" s="4">
        <v>0</v>
      </c>
      <c r="I2746" s="4">
        <v>0</v>
      </c>
      <c r="J2746" s="4">
        <v>0</v>
      </c>
      <c r="K2746" s="4">
        <v>0</v>
      </c>
      <c r="L2746" s="4">
        <v>-14058.24</v>
      </c>
      <c r="M2746" s="4">
        <v>0</v>
      </c>
      <c r="N2746" s="4">
        <v>0</v>
      </c>
      <c r="O2746" s="4">
        <v>0</v>
      </c>
      <c r="P2746" s="4">
        <v>0</v>
      </c>
      <c r="Q2746" s="4">
        <v>0</v>
      </c>
      <c r="S2746" s="8">
        <f t="shared" si="126"/>
        <v>-2343.04</v>
      </c>
      <c r="T2746" s="8">
        <f t="shared" si="127"/>
        <v>2343.04</v>
      </c>
      <c r="U2746" s="9">
        <f t="shared" si="128"/>
        <v>-1</v>
      </c>
    </row>
    <row r="2747" spans="1:22" outlineLevel="2">
      <c r="A2747" t="s">
        <v>651</v>
      </c>
      <c r="B2747" t="s">
        <v>652</v>
      </c>
      <c r="C2747" t="s">
        <v>21</v>
      </c>
      <c r="D2747" t="s">
        <v>22</v>
      </c>
      <c r="E2747" s="4">
        <v>0</v>
      </c>
      <c r="F2747" s="4">
        <v>33.799999999999997</v>
      </c>
      <c r="G2747" s="4">
        <v>249.44000000000003</v>
      </c>
      <c r="H2747" s="4">
        <v>0</v>
      </c>
      <c r="I2747" s="4">
        <v>62.08</v>
      </c>
      <c r="J2747" s="4">
        <v>0</v>
      </c>
      <c r="K2747" s="4">
        <v>0</v>
      </c>
      <c r="L2747" s="4">
        <v>0</v>
      </c>
      <c r="M2747" s="4">
        <v>681.02</v>
      </c>
      <c r="N2747" s="4">
        <v>69.75</v>
      </c>
      <c r="O2747" s="4">
        <v>0</v>
      </c>
      <c r="P2747" s="4">
        <v>105.05000000000001</v>
      </c>
      <c r="Q2747" s="4">
        <v>0</v>
      </c>
      <c r="R2747" s="4">
        <v>20.82</v>
      </c>
      <c r="S2747" s="8">
        <f t="shared" si="126"/>
        <v>142.63666666666666</v>
      </c>
      <c r="T2747" s="8">
        <f t="shared" si="127"/>
        <v>-121.81666666666666</v>
      </c>
      <c r="U2747" s="9">
        <f t="shared" si="128"/>
        <v>-0.85403472692855975</v>
      </c>
    </row>
    <row r="2748" spans="1:22" outlineLevel="2">
      <c r="A2748" t="s">
        <v>651</v>
      </c>
      <c r="B2748" t="s">
        <v>652</v>
      </c>
      <c r="C2748" t="s">
        <v>23</v>
      </c>
      <c r="D2748" t="s">
        <v>24</v>
      </c>
      <c r="E2748" s="4">
        <v>0</v>
      </c>
      <c r="F2748" s="4">
        <v>676.11</v>
      </c>
      <c r="G2748" s="4">
        <v>1766.3400000000001</v>
      </c>
      <c r="H2748" s="4">
        <v>688.15</v>
      </c>
      <c r="I2748" s="4">
        <v>359.34000000000003</v>
      </c>
      <c r="J2748" s="4">
        <v>0</v>
      </c>
      <c r="K2748" s="4">
        <v>131.1</v>
      </c>
      <c r="L2748" s="4">
        <v>0</v>
      </c>
      <c r="M2748" s="4">
        <v>0</v>
      </c>
      <c r="N2748" s="4">
        <v>97.2</v>
      </c>
      <c r="O2748" s="4">
        <v>0</v>
      </c>
      <c r="P2748" s="4">
        <v>128</v>
      </c>
      <c r="Q2748" s="4">
        <v>0</v>
      </c>
      <c r="S2748" s="8">
        <f t="shared" si="126"/>
        <v>37.533333333333331</v>
      </c>
      <c r="T2748" s="8">
        <f t="shared" si="127"/>
        <v>-37.533333333333331</v>
      </c>
      <c r="U2748" s="9">
        <f t="shared" si="128"/>
        <v>-1</v>
      </c>
    </row>
    <row r="2749" spans="1:22" outlineLevel="2">
      <c r="A2749" t="s">
        <v>651</v>
      </c>
      <c r="B2749" t="s">
        <v>652</v>
      </c>
      <c r="C2749" t="s">
        <v>25</v>
      </c>
      <c r="D2749" t="s">
        <v>26</v>
      </c>
      <c r="E2749" s="4">
        <v>0</v>
      </c>
      <c r="F2749" s="4">
        <v>0</v>
      </c>
      <c r="G2749" s="4">
        <v>0</v>
      </c>
      <c r="H2749" s="4">
        <v>0</v>
      </c>
      <c r="I2749" s="4">
        <v>0</v>
      </c>
      <c r="J2749" s="4">
        <v>0</v>
      </c>
      <c r="K2749" s="4">
        <v>0</v>
      </c>
      <c r="L2749" s="4">
        <v>0</v>
      </c>
      <c r="M2749" s="4">
        <v>692.00999999999988</v>
      </c>
      <c r="N2749" s="4">
        <v>241.18</v>
      </c>
      <c r="O2749" s="4">
        <v>0</v>
      </c>
      <c r="P2749" s="4">
        <v>693.1</v>
      </c>
      <c r="Q2749" s="4">
        <v>0</v>
      </c>
      <c r="R2749" s="4">
        <v>262.2</v>
      </c>
      <c r="S2749" s="8">
        <f t="shared" si="126"/>
        <v>271.04833333333335</v>
      </c>
      <c r="T2749" s="8">
        <f t="shared" si="127"/>
        <v>-8.8483333333333576</v>
      </c>
      <c r="U2749" s="9">
        <f t="shared" si="128"/>
        <v>-3.264485423878899E-2</v>
      </c>
    </row>
    <row r="2750" spans="1:22" outlineLevel="2">
      <c r="A2750" t="s">
        <v>651</v>
      </c>
      <c r="B2750" t="s">
        <v>652</v>
      </c>
      <c r="C2750" t="s">
        <v>27</v>
      </c>
      <c r="D2750" t="s">
        <v>28</v>
      </c>
      <c r="E2750" s="4">
        <v>0</v>
      </c>
      <c r="F2750" s="4">
        <v>0</v>
      </c>
      <c r="G2750" s="4">
        <v>0</v>
      </c>
      <c r="H2750" s="4">
        <v>0</v>
      </c>
      <c r="I2750" s="4">
        <v>0</v>
      </c>
      <c r="J2750" s="4">
        <v>0</v>
      </c>
      <c r="K2750" s="4">
        <v>0</v>
      </c>
      <c r="L2750" s="4">
        <v>0</v>
      </c>
      <c r="M2750" s="4">
        <v>784.4899999999999</v>
      </c>
      <c r="N2750" s="4">
        <v>844</v>
      </c>
      <c r="O2750" s="4">
        <v>0</v>
      </c>
      <c r="P2750" s="4">
        <v>733.64</v>
      </c>
      <c r="Q2750" s="4">
        <v>0</v>
      </c>
      <c r="S2750" s="8">
        <f t="shared" si="126"/>
        <v>393.68833333333328</v>
      </c>
      <c r="T2750" s="8">
        <f t="shared" si="127"/>
        <v>-393.68833333333328</v>
      </c>
      <c r="U2750" s="9">
        <f t="shared" si="128"/>
        <v>-1</v>
      </c>
    </row>
    <row r="2751" spans="1:22" outlineLevel="2">
      <c r="A2751" t="s">
        <v>651</v>
      </c>
      <c r="B2751" t="s">
        <v>652</v>
      </c>
      <c r="C2751" t="s">
        <v>180</v>
      </c>
      <c r="D2751" t="s">
        <v>181</v>
      </c>
      <c r="E2751" s="4">
        <v>0</v>
      </c>
      <c r="F2751" s="4">
        <v>0</v>
      </c>
      <c r="G2751" s="4">
        <v>0</v>
      </c>
      <c r="H2751" s="4">
        <v>0</v>
      </c>
      <c r="I2751" s="4">
        <v>0</v>
      </c>
      <c r="J2751" s="4">
        <v>0</v>
      </c>
      <c r="K2751" s="4">
        <v>0</v>
      </c>
      <c r="L2751" s="4">
        <v>0</v>
      </c>
      <c r="M2751" s="4">
        <v>0</v>
      </c>
      <c r="N2751" s="4">
        <v>0</v>
      </c>
      <c r="O2751" s="4">
        <v>0</v>
      </c>
      <c r="P2751" s="4">
        <v>192.06</v>
      </c>
      <c r="Q2751" s="4">
        <v>-17.059999999999999</v>
      </c>
      <c r="S2751" s="8">
        <f t="shared" si="126"/>
        <v>29.166666666666668</v>
      </c>
      <c r="T2751" s="8">
        <f t="shared" si="127"/>
        <v>-29.166666666666668</v>
      </c>
      <c r="U2751" s="9">
        <f t="shared" si="128"/>
        <v>-1</v>
      </c>
    </row>
    <row r="2752" spans="1:22" outlineLevel="2">
      <c r="A2752" t="s">
        <v>651</v>
      </c>
      <c r="B2752" t="s">
        <v>652</v>
      </c>
      <c r="C2752" t="s">
        <v>47</v>
      </c>
      <c r="D2752" t="s">
        <v>48</v>
      </c>
      <c r="E2752" s="4">
        <v>2125.9499999999998</v>
      </c>
      <c r="F2752" s="4">
        <v>2136.5</v>
      </c>
      <c r="G2752" s="4">
        <v>2106.25</v>
      </c>
      <c r="H2752" s="4">
        <v>1271.8699999999999</v>
      </c>
      <c r="I2752" s="4">
        <v>2290.9699999999998</v>
      </c>
      <c r="J2752" s="4">
        <v>1242.1099999999999</v>
      </c>
      <c r="K2752" s="4">
        <v>1116.2599999999998</v>
      </c>
      <c r="L2752" s="4">
        <v>1241.4199999999996</v>
      </c>
      <c r="M2752" s="4">
        <v>1685.9099999999999</v>
      </c>
      <c r="N2752" s="4">
        <v>1232.81</v>
      </c>
      <c r="O2752" s="4">
        <v>1224.32</v>
      </c>
      <c r="P2752" s="4">
        <v>1224.3</v>
      </c>
      <c r="Q2752" s="4">
        <v>1199.3800000000001</v>
      </c>
      <c r="R2752" s="4">
        <v>1199.3200000000002</v>
      </c>
      <c r="S2752" s="8">
        <f t="shared" si="126"/>
        <v>1301.3566666666666</v>
      </c>
      <c r="T2752" s="8">
        <f t="shared" si="127"/>
        <v>-102.03666666666641</v>
      </c>
      <c r="U2752" s="9">
        <f t="shared" si="128"/>
        <v>-7.8407917890816317E-2</v>
      </c>
    </row>
    <row r="2753" spans="1:22" outlineLevel="2">
      <c r="A2753" t="s">
        <v>651</v>
      </c>
      <c r="B2753" t="s">
        <v>652</v>
      </c>
      <c r="C2753" t="s">
        <v>49</v>
      </c>
      <c r="D2753" t="s">
        <v>50</v>
      </c>
      <c r="E2753" s="4">
        <v>241.16</v>
      </c>
      <c r="F2753" s="4">
        <v>52.44</v>
      </c>
      <c r="G2753" s="4">
        <v>50</v>
      </c>
      <c r="H2753" s="4">
        <v>31.36</v>
      </c>
      <c r="I2753" s="4">
        <v>75</v>
      </c>
      <c r="J2753" s="4">
        <v>75</v>
      </c>
      <c r="K2753" s="4">
        <v>75</v>
      </c>
      <c r="L2753" s="4">
        <v>70.2</v>
      </c>
      <c r="M2753" s="4">
        <v>75</v>
      </c>
      <c r="N2753" s="4">
        <v>82.32</v>
      </c>
      <c r="O2753" s="4">
        <v>81.87</v>
      </c>
      <c r="P2753" s="4">
        <v>394.95000000000005</v>
      </c>
      <c r="Q2753" s="4">
        <v>161.5</v>
      </c>
      <c r="R2753" s="4">
        <v>560.05999999999995</v>
      </c>
      <c r="S2753" s="8">
        <f t="shared" si="126"/>
        <v>144.30666666666667</v>
      </c>
      <c r="T2753" s="8">
        <f t="shared" si="127"/>
        <v>415.75333333333327</v>
      </c>
      <c r="U2753" s="9">
        <f t="shared" si="128"/>
        <v>2.8810403769749602</v>
      </c>
    </row>
    <row r="2754" spans="1:22" outlineLevel="2">
      <c r="A2754" t="s">
        <v>651</v>
      </c>
      <c r="B2754" t="s">
        <v>652</v>
      </c>
      <c r="C2754" t="s">
        <v>51</v>
      </c>
      <c r="D2754" t="s">
        <v>52</v>
      </c>
      <c r="E2754" s="4">
        <v>0</v>
      </c>
      <c r="F2754" s="4">
        <v>0</v>
      </c>
      <c r="G2754" s="4">
        <v>4500</v>
      </c>
      <c r="H2754" s="4">
        <v>219015.34</v>
      </c>
      <c r="I2754" s="4">
        <v>-211434.84</v>
      </c>
      <c r="J2754" s="4">
        <v>0</v>
      </c>
      <c r="K2754" s="4">
        <v>0</v>
      </c>
      <c r="L2754" s="4">
        <v>0</v>
      </c>
      <c r="M2754" s="4">
        <v>0</v>
      </c>
      <c r="N2754" s="4">
        <v>151.60999999999999</v>
      </c>
      <c r="O2754" s="4">
        <v>0</v>
      </c>
      <c r="P2754" s="4">
        <v>0</v>
      </c>
      <c r="Q2754" s="4">
        <v>0</v>
      </c>
      <c r="S2754" s="8">
        <f t="shared" si="126"/>
        <v>25.268333333333331</v>
      </c>
      <c r="T2754" s="8">
        <f t="shared" si="127"/>
        <v>-25.268333333333331</v>
      </c>
      <c r="U2754" s="9">
        <f t="shared" si="128"/>
        <v>-1</v>
      </c>
    </row>
    <row r="2755" spans="1:22" outlineLevel="2">
      <c r="A2755" t="s">
        <v>651</v>
      </c>
      <c r="B2755" t="s">
        <v>652</v>
      </c>
      <c r="C2755" t="s">
        <v>63</v>
      </c>
      <c r="D2755" t="s">
        <v>64</v>
      </c>
      <c r="E2755" s="4">
        <v>370.90000000000003</v>
      </c>
      <c r="F2755" s="4">
        <v>664.21</v>
      </c>
      <c r="G2755" s="4">
        <v>49.059999999999995</v>
      </c>
      <c r="H2755" s="4">
        <v>2760.58</v>
      </c>
      <c r="I2755" s="4">
        <v>8.9999999999999969E-2</v>
      </c>
      <c r="J2755" s="4">
        <v>435.40999999999997</v>
      </c>
      <c r="K2755" s="4">
        <v>4217.33</v>
      </c>
      <c r="L2755" s="4">
        <v>-0.67999999999999994</v>
      </c>
      <c r="M2755" s="4">
        <v>0</v>
      </c>
      <c r="N2755" s="4">
        <v>6374.7800000000007</v>
      </c>
      <c r="O2755" s="4">
        <v>-0.28000000000000003</v>
      </c>
      <c r="P2755" s="4">
        <v>2420.65</v>
      </c>
      <c r="Q2755" s="4">
        <v>1629.26</v>
      </c>
      <c r="S2755" s="8">
        <f t="shared" ref="S2755:S2818" si="129">AVERAGE(L2755:Q2755)</f>
        <v>1737.2883333333336</v>
      </c>
      <c r="T2755" s="8">
        <f t="shared" ref="T2755:T2818" si="130">R2755-S2755</f>
        <v>-1737.2883333333336</v>
      </c>
      <c r="U2755" s="9">
        <f t="shared" ref="U2755:U2818" si="131">(R2755-S2755)/S2755</f>
        <v>-1</v>
      </c>
    </row>
    <row r="2756" spans="1:22" outlineLevel="2">
      <c r="A2756" t="s">
        <v>651</v>
      </c>
      <c r="B2756" t="s">
        <v>652</v>
      </c>
      <c r="C2756" t="s">
        <v>166</v>
      </c>
      <c r="D2756" t="s">
        <v>167</v>
      </c>
      <c r="E2756" s="4">
        <v>0</v>
      </c>
      <c r="F2756" s="4">
        <v>0</v>
      </c>
      <c r="G2756" s="4">
        <v>0</v>
      </c>
      <c r="H2756" s="4">
        <v>0</v>
      </c>
      <c r="I2756" s="4">
        <v>0</v>
      </c>
      <c r="J2756" s="4">
        <v>0</v>
      </c>
      <c r="K2756" s="4">
        <v>0</v>
      </c>
      <c r="L2756" s="4">
        <v>0</v>
      </c>
      <c r="M2756" s="4">
        <v>0</v>
      </c>
      <c r="N2756" s="4">
        <v>10</v>
      </c>
      <c r="O2756" s="4">
        <v>0</v>
      </c>
      <c r="P2756" s="4">
        <v>0</v>
      </c>
      <c r="Q2756" s="4">
        <v>0</v>
      </c>
      <c r="S2756" s="8">
        <f t="shared" si="129"/>
        <v>1.6666666666666667</v>
      </c>
      <c r="T2756" s="8">
        <f t="shared" si="130"/>
        <v>-1.6666666666666667</v>
      </c>
      <c r="U2756" s="9">
        <f t="shared" si="131"/>
        <v>-1</v>
      </c>
    </row>
    <row r="2757" spans="1:22" outlineLevel="2">
      <c r="A2757" t="s">
        <v>651</v>
      </c>
      <c r="B2757" t="s">
        <v>652</v>
      </c>
      <c r="C2757" t="s">
        <v>99</v>
      </c>
      <c r="D2757" t="s">
        <v>100</v>
      </c>
      <c r="E2757" s="4">
        <v>7500</v>
      </c>
      <c r="F2757" s="4">
        <v>12000.5</v>
      </c>
      <c r="G2757" s="4">
        <v>-12000</v>
      </c>
      <c r="H2757" s="4">
        <v>0</v>
      </c>
      <c r="I2757" s="4">
        <v>0</v>
      </c>
      <c r="J2757" s="4">
        <v>12000</v>
      </c>
      <c r="K2757" s="4">
        <v>0</v>
      </c>
      <c r="L2757" s="4">
        <v>0</v>
      </c>
      <c r="M2757" s="4">
        <v>0</v>
      </c>
      <c r="N2757" s="4">
        <v>0</v>
      </c>
      <c r="O2757" s="4">
        <v>0</v>
      </c>
      <c r="P2757" s="4">
        <v>0</v>
      </c>
      <c r="Q2757" s="4">
        <v>11150</v>
      </c>
      <c r="S2757" s="8">
        <f t="shared" si="129"/>
        <v>1858.3333333333333</v>
      </c>
      <c r="T2757" s="8">
        <f t="shared" si="130"/>
        <v>-1858.3333333333333</v>
      </c>
      <c r="U2757" s="9">
        <f t="shared" si="131"/>
        <v>-1</v>
      </c>
    </row>
    <row r="2758" spans="1:22" outlineLevel="2">
      <c r="A2758" t="s">
        <v>651</v>
      </c>
      <c r="B2758" t="s">
        <v>652</v>
      </c>
      <c r="C2758" t="s">
        <v>101</v>
      </c>
      <c r="D2758" t="s">
        <v>102</v>
      </c>
      <c r="E2758" s="4">
        <v>14540.77</v>
      </c>
      <c r="F2758" s="4">
        <v>0</v>
      </c>
      <c r="G2758" s="4">
        <v>4895</v>
      </c>
      <c r="H2758" s="4">
        <v>5430</v>
      </c>
      <c r="I2758" s="4">
        <v>0</v>
      </c>
      <c r="J2758" s="4">
        <v>0</v>
      </c>
      <c r="K2758" s="4">
        <v>6859.38</v>
      </c>
      <c r="L2758" s="4">
        <v>15530.11</v>
      </c>
      <c r="M2758" s="4">
        <v>0</v>
      </c>
      <c r="N2758" s="4">
        <v>939.95</v>
      </c>
      <c r="O2758" s="4">
        <v>0</v>
      </c>
      <c r="P2758" s="4">
        <v>16673</v>
      </c>
      <c r="Q2758" s="4">
        <v>0</v>
      </c>
      <c r="S2758" s="8">
        <f t="shared" si="129"/>
        <v>5523.8433333333332</v>
      </c>
      <c r="T2758" s="8">
        <f t="shared" si="130"/>
        <v>-5523.8433333333332</v>
      </c>
      <c r="U2758" s="9">
        <f t="shared" si="131"/>
        <v>-1</v>
      </c>
    </row>
    <row r="2759" spans="1:22" outlineLevel="2">
      <c r="A2759" t="s">
        <v>651</v>
      </c>
      <c r="B2759" t="s">
        <v>652</v>
      </c>
      <c r="C2759" t="s">
        <v>127</v>
      </c>
      <c r="D2759" t="s">
        <v>120</v>
      </c>
      <c r="E2759" s="4">
        <v>0</v>
      </c>
      <c r="F2759" s="4">
        <v>0</v>
      </c>
      <c r="G2759" s="4">
        <v>0</v>
      </c>
      <c r="H2759" s="4">
        <v>0</v>
      </c>
      <c r="I2759" s="4">
        <v>0</v>
      </c>
      <c r="J2759" s="4">
        <v>0</v>
      </c>
      <c r="K2759" s="4">
        <v>0</v>
      </c>
      <c r="L2759" s="4">
        <v>0</v>
      </c>
      <c r="M2759" s="4">
        <v>0</v>
      </c>
      <c r="N2759" s="4">
        <v>0</v>
      </c>
      <c r="O2759" s="4">
        <v>0</v>
      </c>
      <c r="P2759" s="4">
        <v>0</v>
      </c>
      <c r="Q2759" s="4">
        <v>0</v>
      </c>
      <c r="R2759" s="4">
        <v>159.35</v>
      </c>
      <c r="S2759" s="8">
        <f t="shared" si="129"/>
        <v>0</v>
      </c>
      <c r="T2759" s="8">
        <f t="shared" si="130"/>
        <v>159.35</v>
      </c>
      <c r="U2759" s="9" t="e">
        <f t="shared" si="131"/>
        <v>#DIV/0!</v>
      </c>
      <c r="V2759" t="s">
        <v>895</v>
      </c>
    </row>
    <row r="2760" spans="1:22" outlineLevel="2">
      <c r="A2760" t="s">
        <v>651</v>
      </c>
      <c r="B2760" t="s">
        <v>652</v>
      </c>
      <c r="C2760" t="s">
        <v>128</v>
      </c>
      <c r="D2760" t="s">
        <v>129</v>
      </c>
      <c r="E2760" s="4">
        <v>16411.490000000002</v>
      </c>
      <c r="F2760" s="4">
        <v>80</v>
      </c>
      <c r="G2760" s="4">
        <v>0</v>
      </c>
      <c r="H2760" s="4">
        <v>0</v>
      </c>
      <c r="I2760" s="4">
        <v>0</v>
      </c>
      <c r="J2760" s="4">
        <v>0</v>
      </c>
      <c r="K2760" s="4">
        <v>0</v>
      </c>
      <c r="L2760" s="4">
        <v>0</v>
      </c>
      <c r="M2760" s="4">
        <v>0</v>
      </c>
      <c r="N2760" s="4">
        <v>0</v>
      </c>
      <c r="O2760" s="4">
        <v>0</v>
      </c>
      <c r="P2760" s="4">
        <v>0</v>
      </c>
      <c r="Q2760" s="4">
        <v>0</v>
      </c>
      <c r="S2760" s="8">
        <f t="shared" si="129"/>
        <v>0</v>
      </c>
      <c r="T2760" s="8">
        <f t="shared" si="130"/>
        <v>0</v>
      </c>
      <c r="U2760" s="9" t="e">
        <f t="shared" si="131"/>
        <v>#DIV/0!</v>
      </c>
    </row>
    <row r="2761" spans="1:22" outlineLevel="1">
      <c r="A2761" s="1" t="s">
        <v>873</v>
      </c>
      <c r="E2761" s="4">
        <f>SUBTOTAL(9,E2746:E2760)</f>
        <v>41190.270000000004</v>
      </c>
      <c r="F2761" s="4">
        <f>SUBTOTAL(9,F2746:F2760)</f>
        <v>29584.07</v>
      </c>
      <c r="G2761" s="4">
        <f>SUBTOTAL(9,G2746:G2760)</f>
        <v>1733.8199999999997</v>
      </c>
      <c r="H2761" s="4">
        <f>SUBTOTAL(9,H2746:H2760)</f>
        <v>229197.3</v>
      </c>
      <c r="I2761" s="4">
        <f>SUBTOTAL(9,I2746:I2760)</f>
        <v>-208647.36</v>
      </c>
      <c r="J2761" s="4">
        <f>SUBTOTAL(9,J2746:J2760)</f>
        <v>13752.52</v>
      </c>
      <c r="K2761" s="4">
        <f>SUBTOTAL(9,K2746:K2760)</f>
        <v>12399.07</v>
      </c>
      <c r="L2761" s="4">
        <f>SUBTOTAL(9,L2746:L2760)</f>
        <v>2782.8100000000013</v>
      </c>
      <c r="M2761" s="4">
        <f>SUBTOTAL(9,M2746:M2760)</f>
        <v>3918.4299999999994</v>
      </c>
      <c r="N2761" s="4">
        <f>SUBTOTAL(9,N2746:N2760)</f>
        <v>10043.600000000002</v>
      </c>
      <c r="O2761" s="4">
        <f>SUBTOTAL(9,O2746:O2760)</f>
        <v>1305.9100000000001</v>
      </c>
      <c r="P2761" s="4">
        <f>SUBTOTAL(9,P2746:P2760)</f>
        <v>22564.75</v>
      </c>
      <c r="Q2761" s="4">
        <f>SUBTOTAL(9,Q2746:Q2760)</f>
        <v>14123.08</v>
      </c>
      <c r="R2761" s="4">
        <f>SUBTOTAL(9,R2746:R2760)</f>
        <v>2201.75</v>
      </c>
      <c r="S2761" s="8">
        <f t="shared" si="129"/>
        <v>9123.0966666666664</v>
      </c>
      <c r="T2761" s="8">
        <f t="shared" si="130"/>
        <v>-6921.3466666666664</v>
      </c>
      <c r="U2761" s="9">
        <f t="shared" si="131"/>
        <v>-0.75866198940491336</v>
      </c>
      <c r="V2761" t="s">
        <v>895</v>
      </c>
    </row>
    <row r="2762" spans="1:22" outlineLevel="2">
      <c r="A2762" t="s">
        <v>653</v>
      </c>
      <c r="B2762" t="s">
        <v>291</v>
      </c>
      <c r="C2762" t="s">
        <v>21</v>
      </c>
      <c r="D2762" t="s">
        <v>22</v>
      </c>
      <c r="E2762" s="4">
        <v>0</v>
      </c>
      <c r="F2762" s="4">
        <v>0</v>
      </c>
      <c r="G2762" s="4">
        <v>0</v>
      </c>
      <c r="H2762" s="4">
        <v>0</v>
      </c>
      <c r="I2762" s="4">
        <v>0</v>
      </c>
      <c r="J2762" s="4">
        <v>0</v>
      </c>
      <c r="K2762" s="4">
        <v>0</v>
      </c>
      <c r="L2762" s="4">
        <v>0</v>
      </c>
      <c r="M2762" s="4">
        <v>0</v>
      </c>
      <c r="N2762" s="4">
        <v>335.12</v>
      </c>
      <c r="O2762" s="4">
        <v>0</v>
      </c>
      <c r="P2762" s="4">
        <v>0</v>
      </c>
      <c r="Q2762" s="4">
        <v>750.8</v>
      </c>
      <c r="S2762" s="8">
        <f t="shared" si="129"/>
        <v>180.98666666666668</v>
      </c>
      <c r="T2762" s="8">
        <f t="shared" si="130"/>
        <v>-180.98666666666668</v>
      </c>
      <c r="U2762" s="9">
        <f t="shared" si="131"/>
        <v>-1</v>
      </c>
    </row>
    <row r="2763" spans="1:22" outlineLevel="2">
      <c r="A2763" t="s">
        <v>653</v>
      </c>
      <c r="B2763" t="s">
        <v>291</v>
      </c>
      <c r="C2763" t="s">
        <v>101</v>
      </c>
      <c r="D2763" t="s">
        <v>102</v>
      </c>
      <c r="E2763" s="4">
        <v>6500</v>
      </c>
      <c r="F2763" s="4">
        <v>0</v>
      </c>
      <c r="G2763" s="4">
        <v>0</v>
      </c>
      <c r="H2763" s="4">
        <v>0</v>
      </c>
      <c r="I2763" s="4">
        <v>0</v>
      </c>
      <c r="J2763" s="4">
        <v>-3.4800000000000004</v>
      </c>
      <c r="K2763" s="4">
        <v>6837.6</v>
      </c>
      <c r="L2763" s="4">
        <v>-2261.79</v>
      </c>
      <c r="M2763" s="4">
        <v>0</v>
      </c>
      <c r="N2763" s="4">
        <v>0</v>
      </c>
      <c r="O2763" s="4">
        <v>0</v>
      </c>
      <c r="P2763" s="4">
        <v>-4356.88</v>
      </c>
      <c r="Q2763" s="4">
        <v>0</v>
      </c>
      <c r="S2763" s="8">
        <f t="shared" si="129"/>
        <v>-1103.1116666666667</v>
      </c>
      <c r="T2763" s="8">
        <f t="shared" si="130"/>
        <v>1103.1116666666667</v>
      </c>
      <c r="U2763" s="9">
        <f t="shared" si="131"/>
        <v>-1</v>
      </c>
    </row>
    <row r="2764" spans="1:22" outlineLevel="1">
      <c r="A2764" s="1" t="s">
        <v>874</v>
      </c>
      <c r="E2764" s="4">
        <f>SUBTOTAL(9,E2762:E2763)</f>
        <v>6500</v>
      </c>
      <c r="F2764" s="4">
        <f>SUBTOTAL(9,F2762:F2763)</f>
        <v>0</v>
      </c>
      <c r="G2764" s="4">
        <f>SUBTOTAL(9,G2762:G2763)</f>
        <v>0</v>
      </c>
      <c r="H2764" s="4">
        <f>SUBTOTAL(9,H2762:H2763)</f>
        <v>0</v>
      </c>
      <c r="I2764" s="4">
        <f>SUBTOTAL(9,I2762:I2763)</f>
        <v>0</v>
      </c>
      <c r="J2764" s="4">
        <f>SUBTOTAL(9,J2762:J2763)</f>
        <v>-3.4800000000000004</v>
      </c>
      <c r="K2764" s="4">
        <f>SUBTOTAL(9,K2762:K2763)</f>
        <v>6837.6</v>
      </c>
      <c r="L2764" s="4">
        <f>SUBTOTAL(9,L2762:L2763)</f>
        <v>-2261.79</v>
      </c>
      <c r="M2764" s="4">
        <f>SUBTOTAL(9,M2762:M2763)</f>
        <v>0</v>
      </c>
      <c r="N2764" s="4">
        <f>SUBTOTAL(9,N2762:N2763)</f>
        <v>335.12</v>
      </c>
      <c r="O2764" s="4">
        <f>SUBTOTAL(9,O2762:O2763)</f>
        <v>0</v>
      </c>
      <c r="P2764" s="4">
        <f>SUBTOTAL(9,P2762:P2763)</f>
        <v>-4356.88</v>
      </c>
      <c r="Q2764" s="4">
        <f>SUBTOTAL(9,Q2762:Q2763)</f>
        <v>750.8</v>
      </c>
      <c r="R2764" s="4">
        <f>SUBTOTAL(9,R2762:R2763)</f>
        <v>0</v>
      </c>
      <c r="S2764" s="8">
        <f t="shared" si="129"/>
        <v>-922.125</v>
      </c>
      <c r="T2764" s="8">
        <f t="shared" si="130"/>
        <v>922.125</v>
      </c>
      <c r="U2764" s="9">
        <f t="shared" si="131"/>
        <v>-1</v>
      </c>
    </row>
    <row r="2765" spans="1:22" outlineLevel="2">
      <c r="A2765" t="s">
        <v>654</v>
      </c>
      <c r="B2765" t="s">
        <v>655</v>
      </c>
      <c r="C2765" t="s">
        <v>19</v>
      </c>
      <c r="D2765" t="s">
        <v>20</v>
      </c>
      <c r="E2765" s="4">
        <v>0</v>
      </c>
      <c r="F2765" s="4">
        <v>0</v>
      </c>
      <c r="G2765" s="4">
        <v>0</v>
      </c>
      <c r="H2765" s="4">
        <v>0</v>
      </c>
      <c r="I2765" s="4">
        <v>0</v>
      </c>
      <c r="J2765" s="4">
        <v>0</v>
      </c>
      <c r="K2765" s="4">
        <v>0</v>
      </c>
      <c r="L2765" s="4">
        <v>0</v>
      </c>
      <c r="M2765" s="4">
        <v>-7.2759576141834259E-12</v>
      </c>
      <c r="N2765" s="4">
        <v>0</v>
      </c>
      <c r="O2765" s="4">
        <v>0</v>
      </c>
      <c r="P2765" s="4">
        <v>-96430.95</v>
      </c>
      <c r="Q2765" s="4">
        <v>0</v>
      </c>
      <c r="R2765" s="4">
        <v>58512.59</v>
      </c>
      <c r="S2765" s="8">
        <f t="shared" si="129"/>
        <v>-16071.825000000003</v>
      </c>
      <c r="T2765" s="8">
        <f t="shared" si="130"/>
        <v>74584.414999999994</v>
      </c>
      <c r="U2765" s="9">
        <f t="shared" si="131"/>
        <v>-4.6406935740029516</v>
      </c>
      <c r="V2765" t="s">
        <v>896</v>
      </c>
    </row>
    <row r="2766" spans="1:22" outlineLevel="2">
      <c r="A2766" t="s">
        <v>654</v>
      </c>
      <c r="B2766" t="s">
        <v>655</v>
      </c>
      <c r="C2766" t="s">
        <v>21</v>
      </c>
      <c r="D2766" t="s">
        <v>22</v>
      </c>
      <c r="E2766" s="4">
        <v>0</v>
      </c>
      <c r="F2766" s="4">
        <v>0</v>
      </c>
      <c r="G2766" s="4">
        <v>0</v>
      </c>
      <c r="H2766" s="4">
        <v>0</v>
      </c>
      <c r="I2766" s="4">
        <v>1532.4</v>
      </c>
      <c r="J2766" s="4">
        <v>0</v>
      </c>
      <c r="K2766" s="4">
        <v>0</v>
      </c>
      <c r="L2766" s="4">
        <v>1506.95</v>
      </c>
      <c r="M2766" s="4">
        <v>0</v>
      </c>
      <c r="N2766" s="4">
        <v>1504.14</v>
      </c>
      <c r="O2766" s="4">
        <v>3970.56</v>
      </c>
      <c r="P2766" s="4">
        <v>0</v>
      </c>
      <c r="Q2766" s="4">
        <v>13314.110000000004</v>
      </c>
      <c r="R2766" s="4">
        <v>2172.4299999999998</v>
      </c>
      <c r="S2766" s="8">
        <f t="shared" si="129"/>
        <v>3382.626666666667</v>
      </c>
      <c r="T2766" s="8">
        <f t="shared" si="130"/>
        <v>-1210.1966666666672</v>
      </c>
      <c r="U2766" s="9">
        <f t="shared" si="131"/>
        <v>-0.35776832205347336</v>
      </c>
    </row>
    <row r="2767" spans="1:22" outlineLevel="2">
      <c r="A2767" t="s">
        <v>654</v>
      </c>
      <c r="B2767" t="s">
        <v>655</v>
      </c>
      <c r="C2767" t="s">
        <v>23</v>
      </c>
      <c r="D2767" t="s">
        <v>24</v>
      </c>
      <c r="E2767" s="4">
        <v>0</v>
      </c>
      <c r="F2767" s="4">
        <v>0</v>
      </c>
      <c r="G2767" s="4">
        <v>0</v>
      </c>
      <c r="H2767" s="4">
        <v>0</v>
      </c>
      <c r="I2767" s="4">
        <v>11342.279999999993</v>
      </c>
      <c r="J2767" s="4">
        <v>0</v>
      </c>
      <c r="K2767" s="4">
        <v>0</v>
      </c>
      <c r="L2767" s="4">
        <v>7175.09</v>
      </c>
      <c r="M2767" s="4">
        <v>418.18</v>
      </c>
      <c r="N2767" s="4">
        <v>2504.0700000000006</v>
      </c>
      <c r="O2767" s="4">
        <v>0</v>
      </c>
      <c r="P2767" s="4">
        <v>201.68</v>
      </c>
      <c r="Q2767" s="4">
        <v>1359.4200000000003</v>
      </c>
      <c r="R2767" s="4">
        <v>411.05</v>
      </c>
      <c r="S2767" s="8">
        <f t="shared" si="129"/>
        <v>1943.0733333333335</v>
      </c>
      <c r="T2767" s="8">
        <f t="shared" si="130"/>
        <v>-1532.0233333333335</v>
      </c>
      <c r="U2767" s="9">
        <f t="shared" si="131"/>
        <v>-0.78845368677112893</v>
      </c>
    </row>
    <row r="2768" spans="1:22" outlineLevel="2">
      <c r="A2768" t="s">
        <v>654</v>
      </c>
      <c r="B2768" t="s">
        <v>655</v>
      </c>
      <c r="C2768" t="s">
        <v>25</v>
      </c>
      <c r="D2768" t="s">
        <v>26</v>
      </c>
      <c r="E2768" s="4">
        <v>0</v>
      </c>
      <c r="F2768" s="4">
        <v>0</v>
      </c>
      <c r="G2768" s="4">
        <v>0</v>
      </c>
      <c r="H2768" s="4">
        <v>0</v>
      </c>
      <c r="I2768" s="4">
        <v>0</v>
      </c>
      <c r="J2768" s="4">
        <v>0</v>
      </c>
      <c r="K2768" s="4">
        <v>0</v>
      </c>
      <c r="L2768" s="4">
        <v>0</v>
      </c>
      <c r="M2768" s="4">
        <v>0</v>
      </c>
      <c r="N2768" s="4">
        <v>488.85</v>
      </c>
      <c r="O2768" s="4">
        <v>0</v>
      </c>
      <c r="P2768" s="4">
        <v>190.9</v>
      </c>
      <c r="Q2768" s="4">
        <v>12552.649999999998</v>
      </c>
      <c r="R2768" s="4">
        <v>586.7700000000001</v>
      </c>
      <c r="S2768" s="8">
        <f t="shared" si="129"/>
        <v>2205.3999999999996</v>
      </c>
      <c r="T2768" s="8">
        <f t="shared" si="130"/>
        <v>-1618.6299999999997</v>
      </c>
      <c r="U2768" s="9">
        <f t="shared" si="131"/>
        <v>-0.73393942142015045</v>
      </c>
    </row>
    <row r="2769" spans="1:22" outlineLevel="2">
      <c r="A2769" t="s">
        <v>654</v>
      </c>
      <c r="B2769" t="s">
        <v>655</v>
      </c>
      <c r="C2769" t="s">
        <v>27</v>
      </c>
      <c r="D2769" t="s">
        <v>28</v>
      </c>
      <c r="E2769" s="4">
        <v>0</v>
      </c>
      <c r="F2769" s="4">
        <v>0</v>
      </c>
      <c r="G2769" s="4">
        <v>0</v>
      </c>
      <c r="H2769" s="4">
        <v>0</v>
      </c>
      <c r="I2769" s="4">
        <v>0</v>
      </c>
      <c r="J2769" s="4">
        <v>0</v>
      </c>
      <c r="K2769" s="4">
        <v>0</v>
      </c>
      <c r="L2769" s="4">
        <v>0</v>
      </c>
      <c r="M2769" s="4">
        <v>0</v>
      </c>
      <c r="N2769" s="4">
        <v>5999.76</v>
      </c>
      <c r="O2769" s="4">
        <v>0</v>
      </c>
      <c r="P2769" s="4">
        <v>1176.3399999999999</v>
      </c>
      <c r="Q2769" s="4">
        <v>6770.7099999999991</v>
      </c>
      <c r="R2769" s="4">
        <v>3573.55</v>
      </c>
      <c r="S2769" s="8">
        <f t="shared" si="129"/>
        <v>2324.4683333333332</v>
      </c>
      <c r="T2769" s="8">
        <f t="shared" si="130"/>
        <v>1249.0816666666669</v>
      </c>
      <c r="U2769" s="9">
        <f t="shared" si="131"/>
        <v>0.5373623072229422</v>
      </c>
    </row>
    <row r="2770" spans="1:22" outlineLevel="2">
      <c r="A2770" t="s">
        <v>654</v>
      </c>
      <c r="B2770" t="s">
        <v>655</v>
      </c>
      <c r="C2770" t="s">
        <v>43</v>
      </c>
      <c r="D2770" t="s">
        <v>44</v>
      </c>
      <c r="E2770" s="4">
        <v>0</v>
      </c>
      <c r="F2770" s="4">
        <v>0</v>
      </c>
      <c r="G2770" s="4">
        <v>0</v>
      </c>
      <c r="H2770" s="4">
        <v>0</v>
      </c>
      <c r="I2770" s="4">
        <v>0</v>
      </c>
      <c r="J2770" s="4">
        <v>0</v>
      </c>
      <c r="K2770" s="4">
        <v>0</v>
      </c>
      <c r="L2770" s="4">
        <v>0</v>
      </c>
      <c r="M2770" s="4">
        <v>-1.4551915228366852E-11</v>
      </c>
      <c r="N2770" s="4">
        <v>1.7479351299698465E-11</v>
      </c>
      <c r="O2770" s="4">
        <v>0</v>
      </c>
      <c r="P2770" s="4">
        <v>-1.4551915228366852E-11</v>
      </c>
      <c r="Q2770" s="4">
        <v>3.5242919693700969E-12</v>
      </c>
      <c r="R2770" s="4">
        <v>180388.12</v>
      </c>
      <c r="S2770" s="8">
        <f t="shared" si="129"/>
        <v>-1.3500311979441904E-12</v>
      </c>
      <c r="T2770" s="8">
        <f t="shared" si="130"/>
        <v>180388.12</v>
      </c>
      <c r="U2770" s="9">
        <f t="shared" si="131"/>
        <v>-1.3361774177862899E+17</v>
      </c>
      <c r="V2770" t="s">
        <v>895</v>
      </c>
    </row>
    <row r="2771" spans="1:22" outlineLevel="2">
      <c r="A2771" t="s">
        <v>654</v>
      </c>
      <c r="B2771" t="s">
        <v>655</v>
      </c>
      <c r="C2771" t="s">
        <v>656</v>
      </c>
      <c r="D2771" t="s">
        <v>657</v>
      </c>
      <c r="E2771" s="4">
        <v>0</v>
      </c>
      <c r="F2771" s="4">
        <v>0</v>
      </c>
      <c r="G2771" s="4">
        <v>0</v>
      </c>
      <c r="H2771" s="4">
        <v>0</v>
      </c>
      <c r="I2771" s="4">
        <v>0</v>
      </c>
      <c r="J2771" s="4">
        <v>0</v>
      </c>
      <c r="K2771" s="4">
        <v>0</v>
      </c>
      <c r="L2771" s="4">
        <v>0</v>
      </c>
      <c r="M2771" s="4">
        <v>0</v>
      </c>
      <c r="N2771" s="4">
        <v>0</v>
      </c>
      <c r="O2771" s="4">
        <v>0</v>
      </c>
      <c r="P2771" s="4">
        <v>23690.639999999999</v>
      </c>
      <c r="Q2771" s="4">
        <v>2.6716406864579767E-12</v>
      </c>
      <c r="S2771" s="8">
        <f t="shared" si="129"/>
        <v>3948.4400000000005</v>
      </c>
      <c r="T2771" s="8">
        <f t="shared" si="130"/>
        <v>-3948.4400000000005</v>
      </c>
      <c r="U2771" s="9">
        <f t="shared" si="131"/>
        <v>-1</v>
      </c>
    </row>
    <row r="2772" spans="1:22" outlineLevel="2">
      <c r="A2772" t="s">
        <v>654</v>
      </c>
      <c r="B2772" t="s">
        <v>655</v>
      </c>
      <c r="C2772" t="s">
        <v>59</v>
      </c>
      <c r="D2772" t="s">
        <v>60</v>
      </c>
      <c r="E2772" s="4">
        <v>0</v>
      </c>
      <c r="F2772" s="4">
        <v>0</v>
      </c>
      <c r="G2772" s="4">
        <v>0</v>
      </c>
      <c r="H2772" s="4">
        <v>0</v>
      </c>
      <c r="I2772" s="4">
        <v>0</v>
      </c>
      <c r="J2772" s="4">
        <v>0</v>
      </c>
      <c r="K2772" s="4">
        <v>0</v>
      </c>
      <c r="L2772" s="4">
        <v>0</v>
      </c>
      <c r="M2772" s="4">
        <v>0</v>
      </c>
      <c r="N2772" s="4">
        <v>0</v>
      </c>
      <c r="O2772" s="4">
        <v>0</v>
      </c>
      <c r="P2772" s="4">
        <v>7105.07</v>
      </c>
      <c r="Q2772" s="4">
        <v>5520.54</v>
      </c>
      <c r="R2772" s="4">
        <v>25595</v>
      </c>
      <c r="S2772" s="8">
        <f t="shared" si="129"/>
        <v>2104.2683333333334</v>
      </c>
      <c r="T2772" s="8">
        <f t="shared" si="130"/>
        <v>23490.731666666667</v>
      </c>
      <c r="U2772" s="9">
        <f t="shared" si="131"/>
        <v>11.163372700408138</v>
      </c>
      <c r="V2772" t="s">
        <v>896</v>
      </c>
    </row>
    <row r="2773" spans="1:22" outlineLevel="2">
      <c r="A2773" t="s">
        <v>654</v>
      </c>
      <c r="B2773" t="s">
        <v>655</v>
      </c>
      <c r="C2773" t="s">
        <v>196</v>
      </c>
      <c r="D2773" t="s">
        <v>197</v>
      </c>
      <c r="E2773" s="4">
        <v>0</v>
      </c>
      <c r="F2773" s="4">
        <v>0</v>
      </c>
      <c r="G2773" s="4">
        <v>0</v>
      </c>
      <c r="H2773" s="4">
        <v>0</v>
      </c>
      <c r="I2773" s="4">
        <v>71866</v>
      </c>
      <c r="J2773" s="4">
        <v>-4866</v>
      </c>
      <c r="K2773" s="4">
        <v>0</v>
      </c>
      <c r="L2773" s="4">
        <v>0</v>
      </c>
      <c r="M2773" s="4">
        <v>7027.9400000000005</v>
      </c>
      <c r="N2773" s="4">
        <v>0</v>
      </c>
      <c r="O2773" s="4">
        <v>0</v>
      </c>
      <c r="P2773" s="4">
        <v>0</v>
      </c>
      <c r="Q2773" s="4">
        <v>0</v>
      </c>
      <c r="S2773" s="8">
        <f t="shared" si="129"/>
        <v>1171.3233333333335</v>
      </c>
      <c r="T2773" s="8">
        <f t="shared" si="130"/>
        <v>-1171.3233333333335</v>
      </c>
      <c r="U2773" s="9">
        <f t="shared" si="131"/>
        <v>-1</v>
      </c>
    </row>
    <row r="2774" spans="1:22" outlineLevel="2">
      <c r="A2774" t="s">
        <v>654</v>
      </c>
      <c r="B2774" t="s">
        <v>655</v>
      </c>
      <c r="C2774" t="s">
        <v>65</v>
      </c>
      <c r="D2774" t="s">
        <v>66</v>
      </c>
      <c r="E2774" s="4">
        <v>0</v>
      </c>
      <c r="F2774" s="4">
        <v>0</v>
      </c>
      <c r="G2774" s="4">
        <v>0</v>
      </c>
      <c r="H2774" s="4">
        <v>0</v>
      </c>
      <c r="I2774" s="4">
        <v>0</v>
      </c>
      <c r="J2774" s="4">
        <v>-277092.17</v>
      </c>
      <c r="K2774" s="4">
        <v>-4.6611603465862572E-12</v>
      </c>
      <c r="L2774" s="4">
        <v>0</v>
      </c>
      <c r="M2774" s="4">
        <v>-168880.44000000003</v>
      </c>
      <c r="N2774" s="4">
        <v>6.1390892369672656E-12</v>
      </c>
      <c r="O2774" s="4">
        <v>0</v>
      </c>
      <c r="P2774" s="4">
        <v>0</v>
      </c>
      <c r="Q2774" s="4">
        <v>-1.1763923168928159E-12</v>
      </c>
      <c r="R2774" s="4">
        <v>5847.85</v>
      </c>
      <c r="S2774" s="8">
        <f t="shared" si="129"/>
        <v>-28146.740000000005</v>
      </c>
      <c r="T2774" s="8">
        <f t="shared" si="130"/>
        <v>33994.590000000004</v>
      </c>
      <c r="U2774" s="9">
        <f t="shared" si="131"/>
        <v>-1.2077629594048902</v>
      </c>
    </row>
    <row r="2775" spans="1:22" outlineLevel="2">
      <c r="A2775" t="s">
        <v>654</v>
      </c>
      <c r="B2775" t="s">
        <v>655</v>
      </c>
      <c r="C2775" t="s">
        <v>93</v>
      </c>
      <c r="D2775" t="s">
        <v>94</v>
      </c>
      <c r="E2775" s="4">
        <v>0</v>
      </c>
      <c r="F2775" s="4">
        <v>0</v>
      </c>
      <c r="G2775" s="4">
        <v>0</v>
      </c>
      <c r="H2775" s="4">
        <v>0</v>
      </c>
      <c r="I2775" s="4">
        <v>0</v>
      </c>
      <c r="J2775" s="4">
        <v>0</v>
      </c>
      <c r="K2775" s="4">
        <v>364.01</v>
      </c>
      <c r="L2775" s="4">
        <v>0</v>
      </c>
      <c r="M2775" s="4">
        <v>-373.15</v>
      </c>
      <c r="N2775" s="4">
        <v>0</v>
      </c>
      <c r="O2775" s="4">
        <v>0</v>
      </c>
      <c r="P2775" s="4">
        <v>0</v>
      </c>
      <c r="Q2775" s="4">
        <v>0</v>
      </c>
      <c r="S2775" s="8">
        <f t="shared" si="129"/>
        <v>-62.191666666666663</v>
      </c>
      <c r="T2775" s="8">
        <f t="shared" si="130"/>
        <v>62.191666666666663</v>
      </c>
      <c r="U2775" s="9">
        <f t="shared" si="131"/>
        <v>-1</v>
      </c>
    </row>
    <row r="2776" spans="1:22" outlineLevel="2">
      <c r="A2776" t="s">
        <v>654</v>
      </c>
      <c r="B2776" t="s">
        <v>655</v>
      </c>
      <c r="C2776" t="s">
        <v>224</v>
      </c>
      <c r="D2776" t="s">
        <v>225</v>
      </c>
      <c r="E2776" s="4">
        <v>98065.4</v>
      </c>
      <c r="F2776" s="4">
        <v>0</v>
      </c>
      <c r="G2776" s="4">
        <v>0</v>
      </c>
      <c r="H2776" s="4">
        <v>0</v>
      </c>
      <c r="I2776" s="4">
        <v>0</v>
      </c>
      <c r="J2776" s="4">
        <v>0</v>
      </c>
      <c r="K2776" s="4">
        <v>0</v>
      </c>
      <c r="L2776" s="4">
        <v>8543.93</v>
      </c>
      <c r="M2776" s="4">
        <v>15721.16</v>
      </c>
      <c r="N2776" s="4">
        <v>0</v>
      </c>
      <c r="O2776" s="4">
        <v>0</v>
      </c>
      <c r="P2776" s="4">
        <v>0</v>
      </c>
      <c r="Q2776" s="4">
        <v>0</v>
      </c>
      <c r="S2776" s="8">
        <f t="shared" si="129"/>
        <v>4044.1816666666668</v>
      </c>
      <c r="T2776" s="8">
        <f t="shared" si="130"/>
        <v>-4044.1816666666668</v>
      </c>
      <c r="U2776" s="9">
        <f t="shared" si="131"/>
        <v>-1</v>
      </c>
    </row>
    <row r="2777" spans="1:22" outlineLevel="2">
      <c r="A2777" t="s">
        <v>654</v>
      </c>
      <c r="B2777" t="s">
        <v>655</v>
      </c>
      <c r="C2777" t="s">
        <v>99</v>
      </c>
      <c r="D2777" t="s">
        <v>100</v>
      </c>
      <c r="E2777" s="4">
        <v>0</v>
      </c>
      <c r="F2777" s="4">
        <v>0</v>
      </c>
      <c r="G2777" s="4">
        <v>0</v>
      </c>
      <c r="H2777" s="4">
        <v>0</v>
      </c>
      <c r="I2777" s="4">
        <v>0</v>
      </c>
      <c r="J2777" s="4">
        <v>0</v>
      </c>
      <c r="K2777" s="4">
        <v>0</v>
      </c>
      <c r="L2777" s="4">
        <v>-10000</v>
      </c>
      <c r="M2777" s="4">
        <v>0</v>
      </c>
      <c r="N2777" s="4">
        <v>0</v>
      </c>
      <c r="O2777" s="4">
        <v>0</v>
      </c>
      <c r="P2777" s="4">
        <v>0</v>
      </c>
      <c r="Q2777" s="4">
        <v>0</v>
      </c>
      <c r="S2777" s="8">
        <f t="shared" si="129"/>
        <v>-1666.6666666666667</v>
      </c>
      <c r="T2777" s="8">
        <f t="shared" si="130"/>
        <v>1666.6666666666667</v>
      </c>
      <c r="U2777" s="9">
        <f t="shared" si="131"/>
        <v>-1</v>
      </c>
    </row>
    <row r="2778" spans="1:22" outlineLevel="2">
      <c r="A2778" t="s">
        <v>654</v>
      </c>
      <c r="B2778" t="s">
        <v>655</v>
      </c>
      <c r="C2778" t="s">
        <v>101</v>
      </c>
      <c r="D2778" t="s">
        <v>102</v>
      </c>
      <c r="E2778" s="4">
        <v>-5299.9999999999627</v>
      </c>
      <c r="F2778" s="4">
        <v>25016.999999999651</v>
      </c>
      <c r="G2778" s="4">
        <v>-25017.000000000116</v>
      </c>
      <c r="H2778" s="4">
        <v>1552.1499999998778</v>
      </c>
      <c r="I2778" s="4">
        <v>145343.00000000012</v>
      </c>
      <c r="J2778" s="4">
        <v>29381.780000000075</v>
      </c>
      <c r="K2778" s="4">
        <v>6.106404271122301E-10</v>
      </c>
      <c r="L2778" s="4">
        <v>308233.90000000008</v>
      </c>
      <c r="M2778" s="4">
        <v>-811844.2799999998</v>
      </c>
      <c r="N2778" s="4">
        <v>-1.4551915228366852E-11</v>
      </c>
      <c r="O2778" s="4">
        <v>-1.4551915228366852E-10</v>
      </c>
      <c r="P2778" s="4">
        <v>-5.4569682106375694E-11</v>
      </c>
      <c r="Q2778" s="4">
        <v>-10414.379999999999</v>
      </c>
      <c r="R2778" s="4">
        <v>48712.79000000011</v>
      </c>
      <c r="S2778" s="8">
        <f t="shared" si="129"/>
        <v>-85670.79333333332</v>
      </c>
      <c r="T2778" s="8">
        <f t="shared" si="130"/>
        <v>134383.58333333343</v>
      </c>
      <c r="U2778" s="9">
        <f t="shared" si="131"/>
        <v>-1.5686043995234795</v>
      </c>
      <c r="V2778" t="s">
        <v>896</v>
      </c>
    </row>
    <row r="2779" spans="1:22" outlineLevel="2">
      <c r="A2779" t="s">
        <v>654</v>
      </c>
      <c r="B2779" t="s">
        <v>655</v>
      </c>
      <c r="C2779" t="s">
        <v>103</v>
      </c>
      <c r="D2779" t="s">
        <v>104</v>
      </c>
      <c r="E2779" s="4">
        <v>36000</v>
      </c>
      <c r="F2779" s="4">
        <v>-36000</v>
      </c>
      <c r="G2779" s="4">
        <v>36000</v>
      </c>
      <c r="H2779" s="4">
        <v>2600</v>
      </c>
      <c r="I2779" s="4">
        <v>0</v>
      </c>
      <c r="J2779" s="4">
        <v>13543.19</v>
      </c>
      <c r="K2779" s="4">
        <v>0</v>
      </c>
      <c r="L2779" s="4">
        <v>-308233.90000000002</v>
      </c>
      <c r="M2779" s="4">
        <v>7.2759576141834259E-12</v>
      </c>
      <c r="N2779" s="4">
        <v>0</v>
      </c>
      <c r="O2779" s="4">
        <v>0</v>
      </c>
      <c r="P2779" s="4">
        <v>0</v>
      </c>
      <c r="Q2779" s="4">
        <v>0</v>
      </c>
      <c r="R2779" s="4">
        <v>3292.5</v>
      </c>
      <c r="S2779" s="8">
        <f t="shared" si="129"/>
        <v>-51372.316666666673</v>
      </c>
      <c r="T2779" s="8">
        <f t="shared" si="130"/>
        <v>54664.816666666673</v>
      </c>
      <c r="U2779" s="9">
        <f t="shared" si="131"/>
        <v>-1.0640909387319175</v>
      </c>
    </row>
    <row r="2780" spans="1:22" outlineLevel="2">
      <c r="A2780" t="s">
        <v>654</v>
      </c>
      <c r="B2780" t="s">
        <v>655</v>
      </c>
      <c r="C2780" t="s">
        <v>127</v>
      </c>
      <c r="D2780" t="s">
        <v>120</v>
      </c>
      <c r="E2780" s="4">
        <v>0</v>
      </c>
      <c r="F2780" s="4">
        <v>0</v>
      </c>
      <c r="G2780" s="4">
        <v>0</v>
      </c>
      <c r="H2780" s="4">
        <v>0</v>
      </c>
      <c r="I2780" s="4">
        <v>14634.270000000002</v>
      </c>
      <c r="J2780" s="4">
        <v>0</v>
      </c>
      <c r="K2780" s="4">
        <v>0</v>
      </c>
      <c r="L2780" s="4">
        <v>0</v>
      </c>
      <c r="M2780" s="4">
        <v>0</v>
      </c>
      <c r="N2780" s="4">
        <v>0</v>
      </c>
      <c r="O2780" s="4">
        <v>0</v>
      </c>
      <c r="P2780" s="4">
        <v>0</v>
      </c>
      <c r="Q2780" s="4">
        <v>0</v>
      </c>
      <c r="S2780" s="8">
        <f t="shared" si="129"/>
        <v>0</v>
      </c>
      <c r="T2780" s="8">
        <f t="shared" si="130"/>
        <v>0</v>
      </c>
      <c r="U2780" s="9" t="e">
        <f t="shared" si="131"/>
        <v>#DIV/0!</v>
      </c>
    </row>
    <row r="2781" spans="1:22" outlineLevel="2">
      <c r="A2781" t="s">
        <v>654</v>
      </c>
      <c r="B2781" t="s">
        <v>655</v>
      </c>
      <c r="C2781" t="s">
        <v>128</v>
      </c>
      <c r="D2781" t="s">
        <v>129</v>
      </c>
      <c r="E2781" s="4">
        <v>-22077.5</v>
      </c>
      <c r="F2781" s="4">
        <v>549.9999999999709</v>
      </c>
      <c r="G2781" s="4">
        <v>5750.0000000000582</v>
      </c>
      <c r="H2781" s="4">
        <v>3.637978807091713E-11</v>
      </c>
      <c r="I2781" s="4">
        <v>0</v>
      </c>
      <c r="J2781" s="4">
        <v>-12466.110000000015</v>
      </c>
      <c r="K2781" s="4">
        <v>2.9103830456733704E-11</v>
      </c>
      <c r="L2781" s="4">
        <v>-8609.15</v>
      </c>
      <c r="M2781" s="4">
        <v>0</v>
      </c>
      <c r="N2781" s="4">
        <v>0</v>
      </c>
      <c r="O2781" s="4">
        <v>0</v>
      </c>
      <c r="P2781" s="4">
        <v>0</v>
      </c>
      <c r="Q2781" s="4">
        <v>0</v>
      </c>
      <c r="R2781" s="4">
        <v>0</v>
      </c>
      <c r="S2781" s="8">
        <f t="shared" si="129"/>
        <v>-1434.8583333333333</v>
      </c>
      <c r="T2781" s="8">
        <f t="shared" si="130"/>
        <v>1434.8583333333333</v>
      </c>
      <c r="U2781" s="9">
        <f t="shared" si="131"/>
        <v>-1</v>
      </c>
    </row>
    <row r="2782" spans="1:22" outlineLevel="1">
      <c r="A2782" s="1" t="s">
        <v>875</v>
      </c>
      <c r="E2782" s="4">
        <f>SUBTOTAL(9,E2765:E2781)</f>
        <v>106687.90000000004</v>
      </c>
      <c r="F2782" s="4">
        <f>SUBTOTAL(9,F2765:F2781)</f>
        <v>-10433.000000000378</v>
      </c>
      <c r="G2782" s="4">
        <f>SUBTOTAL(9,G2765:G2781)</f>
        <v>16732.999999999942</v>
      </c>
      <c r="H2782" s="4">
        <f>SUBTOTAL(9,H2765:H2781)</f>
        <v>4152.1499999999141</v>
      </c>
      <c r="I2782" s="4">
        <f>SUBTOTAL(9,I2765:I2781)</f>
        <v>244717.9500000001</v>
      </c>
      <c r="J2782" s="4">
        <f>SUBTOTAL(9,J2765:J2781)</f>
        <v>-251499.30999999991</v>
      </c>
      <c r="K2782" s="4">
        <f>SUBTOTAL(9,K2765:K2781)</f>
        <v>364.01000000063505</v>
      </c>
      <c r="L2782" s="4">
        <f>SUBTOTAL(9,L2765:L2781)</f>
        <v>-1383.1799999999112</v>
      </c>
      <c r="M2782" s="4">
        <f>SUBTOTAL(9,M2765:M2781)</f>
        <v>-957930.58999999985</v>
      </c>
      <c r="N2782" s="4">
        <f>SUBTOTAL(9,N2765:N2781)</f>
        <v>10496.820000000011</v>
      </c>
      <c r="O2782" s="4">
        <f>SUBTOTAL(9,O2765:O2781)</f>
        <v>3970.5599999998544</v>
      </c>
      <c r="P2782" s="4">
        <f>SUBTOTAL(9,P2765:P2781)</f>
        <v>-64066.32000000008</v>
      </c>
      <c r="Q2782" s="4">
        <f>SUBTOTAL(9,Q2765:Q2781)</f>
        <v>29103.050000000003</v>
      </c>
      <c r="R2782" s="4">
        <f>SUBTOTAL(9,R2765:R2781)</f>
        <v>329092.65000000008</v>
      </c>
      <c r="S2782" s="8">
        <f t="shared" si="129"/>
        <v>-163301.60999999999</v>
      </c>
      <c r="T2782" s="8">
        <f t="shared" si="130"/>
        <v>492394.26000000007</v>
      </c>
      <c r="U2782" s="9">
        <f t="shared" si="131"/>
        <v>-3.0152443689930557</v>
      </c>
      <c r="V2782" t="s">
        <v>895</v>
      </c>
    </row>
    <row r="2783" spans="1:22" outlineLevel="2">
      <c r="A2783" t="s">
        <v>658</v>
      </c>
      <c r="B2783" t="s">
        <v>659</v>
      </c>
      <c r="C2783" t="s">
        <v>19</v>
      </c>
      <c r="D2783" t="s">
        <v>20</v>
      </c>
      <c r="E2783" s="4">
        <v>12224.83</v>
      </c>
      <c r="F2783" s="4">
        <v>4561.3100000000013</v>
      </c>
      <c r="G2783" s="4">
        <v>12047.080000000004</v>
      </c>
      <c r="H2783" s="4">
        <v>12024.939999999997</v>
      </c>
      <c r="I2783" s="4">
        <v>13001.100000000002</v>
      </c>
      <c r="J2783" s="4">
        <v>9052.8799999999992</v>
      </c>
      <c r="K2783" s="4">
        <v>14764.190000000002</v>
      </c>
      <c r="L2783" s="4">
        <v>-77676.33</v>
      </c>
      <c r="M2783" s="4">
        <v>8904.84</v>
      </c>
      <c r="N2783" s="4">
        <v>9566.4200000000019</v>
      </c>
      <c r="O2783" s="4">
        <v>9461.5700000000015</v>
      </c>
      <c r="P2783" s="4">
        <v>2109.1899999999996</v>
      </c>
      <c r="Q2783" s="4">
        <v>2494.5599999999995</v>
      </c>
      <c r="R2783" s="4">
        <v>137.16</v>
      </c>
      <c r="S2783" s="8">
        <f t="shared" si="129"/>
        <v>-7523.2916666666679</v>
      </c>
      <c r="T2783" s="8">
        <f t="shared" si="130"/>
        <v>7660.4516666666677</v>
      </c>
      <c r="U2783" s="9">
        <f t="shared" si="131"/>
        <v>-1.018231381432108</v>
      </c>
    </row>
    <row r="2784" spans="1:22" outlineLevel="2">
      <c r="A2784" t="s">
        <v>658</v>
      </c>
      <c r="B2784" t="s">
        <v>659</v>
      </c>
      <c r="C2784" t="s">
        <v>21</v>
      </c>
      <c r="D2784" t="s">
        <v>22</v>
      </c>
      <c r="E2784" s="4">
        <v>204.4</v>
      </c>
      <c r="F2784" s="4">
        <v>4.8099999999999996</v>
      </c>
      <c r="G2784" s="4">
        <v>3.94</v>
      </c>
      <c r="H2784" s="4">
        <v>84.02</v>
      </c>
      <c r="I2784" s="4">
        <v>134.53</v>
      </c>
      <c r="J2784" s="4">
        <v>217.60000000000002</v>
      </c>
      <c r="K2784" s="4">
        <v>0</v>
      </c>
      <c r="L2784" s="4">
        <v>35.78</v>
      </c>
      <c r="M2784" s="4">
        <v>0</v>
      </c>
      <c r="N2784" s="4">
        <v>269.02000000000004</v>
      </c>
      <c r="O2784" s="4">
        <v>0</v>
      </c>
      <c r="P2784" s="4">
        <v>237.82</v>
      </c>
      <c r="Q2784" s="4">
        <v>0</v>
      </c>
      <c r="S2784" s="8">
        <f t="shared" si="129"/>
        <v>90.436666666666682</v>
      </c>
      <c r="T2784" s="8">
        <f t="shared" si="130"/>
        <v>-90.436666666666682</v>
      </c>
      <c r="U2784" s="9">
        <f t="shared" si="131"/>
        <v>-1</v>
      </c>
    </row>
    <row r="2785" spans="1:21" outlineLevel="2">
      <c r="A2785" t="s">
        <v>658</v>
      </c>
      <c r="B2785" t="s">
        <v>659</v>
      </c>
      <c r="C2785" t="s">
        <v>23</v>
      </c>
      <c r="D2785" t="s">
        <v>24</v>
      </c>
      <c r="E2785" s="4">
        <v>921.81</v>
      </c>
      <c r="F2785" s="4">
        <v>282</v>
      </c>
      <c r="G2785" s="4">
        <v>0</v>
      </c>
      <c r="H2785" s="4">
        <v>0</v>
      </c>
      <c r="I2785" s="4">
        <v>0</v>
      </c>
      <c r="J2785" s="4">
        <v>0</v>
      </c>
      <c r="K2785" s="4">
        <v>12.96</v>
      </c>
      <c r="L2785" s="4">
        <v>86.17</v>
      </c>
      <c r="M2785" s="4">
        <v>0</v>
      </c>
      <c r="N2785" s="4">
        <v>0</v>
      </c>
      <c r="O2785" s="4">
        <v>0</v>
      </c>
      <c r="P2785" s="4">
        <v>0</v>
      </c>
      <c r="Q2785" s="4">
        <v>0</v>
      </c>
      <c r="S2785" s="8">
        <f t="shared" si="129"/>
        <v>14.361666666666666</v>
      </c>
      <c r="T2785" s="8">
        <f t="shared" si="130"/>
        <v>-14.361666666666666</v>
      </c>
      <c r="U2785" s="9">
        <f t="shared" si="131"/>
        <v>-1</v>
      </c>
    </row>
    <row r="2786" spans="1:21" outlineLevel="2">
      <c r="A2786" t="s">
        <v>658</v>
      </c>
      <c r="B2786" t="s">
        <v>659</v>
      </c>
      <c r="C2786" t="s">
        <v>25</v>
      </c>
      <c r="D2786" t="s">
        <v>26</v>
      </c>
      <c r="E2786" s="4">
        <v>0</v>
      </c>
      <c r="F2786" s="4">
        <v>0</v>
      </c>
      <c r="G2786" s="4">
        <v>0</v>
      </c>
      <c r="H2786" s="4">
        <v>0</v>
      </c>
      <c r="I2786" s="4">
        <v>0</v>
      </c>
      <c r="J2786" s="4">
        <v>0</v>
      </c>
      <c r="K2786" s="4">
        <v>0</v>
      </c>
      <c r="L2786" s="4">
        <v>0</v>
      </c>
      <c r="M2786" s="4">
        <v>0</v>
      </c>
      <c r="N2786" s="4">
        <v>192.07999999999998</v>
      </c>
      <c r="O2786" s="4">
        <v>0</v>
      </c>
      <c r="P2786" s="4">
        <v>0</v>
      </c>
      <c r="Q2786" s="4">
        <v>0</v>
      </c>
      <c r="S2786" s="8">
        <f t="shared" si="129"/>
        <v>32.013333333333328</v>
      </c>
      <c r="T2786" s="8">
        <f t="shared" si="130"/>
        <v>-32.013333333333328</v>
      </c>
      <c r="U2786" s="9">
        <f t="shared" si="131"/>
        <v>-1</v>
      </c>
    </row>
    <row r="2787" spans="1:21" outlineLevel="2">
      <c r="A2787" t="s">
        <v>658</v>
      </c>
      <c r="B2787" t="s">
        <v>659</v>
      </c>
      <c r="C2787" t="s">
        <v>27</v>
      </c>
      <c r="D2787" t="s">
        <v>28</v>
      </c>
      <c r="E2787" s="4">
        <v>0</v>
      </c>
      <c r="F2787" s="4">
        <v>0</v>
      </c>
      <c r="G2787" s="4">
        <v>0</v>
      </c>
      <c r="H2787" s="4">
        <v>0</v>
      </c>
      <c r="I2787" s="4">
        <v>0</v>
      </c>
      <c r="J2787" s="4">
        <v>0</v>
      </c>
      <c r="K2787" s="4">
        <v>0</v>
      </c>
      <c r="L2787" s="4">
        <v>0</v>
      </c>
      <c r="M2787" s="4">
        <v>99.23</v>
      </c>
      <c r="N2787" s="4">
        <v>0</v>
      </c>
      <c r="O2787" s="4">
        <v>0</v>
      </c>
      <c r="P2787" s="4">
        <v>0</v>
      </c>
      <c r="Q2787" s="4">
        <v>0</v>
      </c>
      <c r="S2787" s="8">
        <f t="shared" si="129"/>
        <v>16.538333333333334</v>
      </c>
      <c r="T2787" s="8">
        <f t="shared" si="130"/>
        <v>-16.538333333333334</v>
      </c>
      <c r="U2787" s="9">
        <f t="shared" si="131"/>
        <v>-1</v>
      </c>
    </row>
    <row r="2788" spans="1:21" outlineLevel="2">
      <c r="A2788" t="s">
        <v>658</v>
      </c>
      <c r="B2788" t="s">
        <v>659</v>
      </c>
      <c r="C2788" t="s">
        <v>140</v>
      </c>
      <c r="D2788" t="s">
        <v>141</v>
      </c>
      <c r="E2788" s="4">
        <v>53297.919999999998</v>
      </c>
      <c r="F2788" s="4">
        <v>48269</v>
      </c>
      <c r="G2788" s="4">
        <v>59878</v>
      </c>
      <c r="H2788" s="4">
        <v>117124</v>
      </c>
      <c r="I2788" s="4">
        <v>166897</v>
      </c>
      <c r="J2788" s="4">
        <v>150917</v>
      </c>
      <c r="K2788" s="4">
        <v>71205</v>
      </c>
      <c r="L2788" s="4">
        <v>118299</v>
      </c>
      <c r="M2788" s="4">
        <v>76750.960000000006</v>
      </c>
      <c r="N2788" s="4">
        <v>160387.5</v>
      </c>
      <c r="O2788" s="4">
        <v>111578</v>
      </c>
      <c r="P2788" s="4">
        <v>0</v>
      </c>
      <c r="Q2788" s="4">
        <v>0</v>
      </c>
      <c r="S2788" s="8">
        <f t="shared" si="129"/>
        <v>77835.91</v>
      </c>
      <c r="T2788" s="8">
        <f t="shared" si="130"/>
        <v>-77835.91</v>
      </c>
      <c r="U2788" s="9">
        <f t="shared" si="131"/>
        <v>-1</v>
      </c>
    </row>
    <row r="2789" spans="1:21" outlineLevel="2">
      <c r="A2789" t="s">
        <v>658</v>
      </c>
      <c r="B2789" t="s">
        <v>659</v>
      </c>
      <c r="C2789" t="s">
        <v>304</v>
      </c>
      <c r="D2789" t="s">
        <v>305</v>
      </c>
      <c r="E2789" s="4">
        <v>300</v>
      </c>
      <c r="F2789" s="4">
        <v>0</v>
      </c>
      <c r="G2789" s="4">
        <v>0</v>
      </c>
      <c r="H2789" s="4">
        <v>0</v>
      </c>
      <c r="I2789" s="4">
        <v>0</v>
      </c>
      <c r="J2789" s="4">
        <v>0</v>
      </c>
      <c r="K2789" s="4">
        <v>0</v>
      </c>
      <c r="L2789" s="4">
        <v>0</v>
      </c>
      <c r="M2789" s="4">
        <v>0</v>
      </c>
      <c r="N2789" s="4">
        <v>0</v>
      </c>
      <c r="O2789" s="4">
        <v>0</v>
      </c>
      <c r="P2789" s="4">
        <v>0</v>
      </c>
      <c r="Q2789" s="4">
        <v>0</v>
      </c>
      <c r="S2789" s="8">
        <f t="shared" si="129"/>
        <v>0</v>
      </c>
      <c r="T2789" s="8">
        <f t="shared" si="130"/>
        <v>0</v>
      </c>
      <c r="U2789" s="9" t="e">
        <f t="shared" si="131"/>
        <v>#DIV/0!</v>
      </c>
    </row>
    <row r="2790" spans="1:21" outlineLevel="2">
      <c r="A2790" t="s">
        <v>658</v>
      </c>
      <c r="B2790" t="s">
        <v>659</v>
      </c>
      <c r="C2790" t="s">
        <v>180</v>
      </c>
      <c r="D2790" t="s">
        <v>181</v>
      </c>
      <c r="E2790" s="4">
        <v>191.19</v>
      </c>
      <c r="F2790" s="4">
        <v>2677.49</v>
      </c>
      <c r="G2790" s="4">
        <v>4.3499999999999996</v>
      </c>
      <c r="H2790" s="4">
        <v>0.87</v>
      </c>
      <c r="I2790" s="4">
        <v>1.75</v>
      </c>
      <c r="J2790" s="4">
        <v>0.88</v>
      </c>
      <c r="K2790" s="4">
        <v>0.87</v>
      </c>
      <c r="L2790" s="4">
        <v>0.88</v>
      </c>
      <c r="M2790" s="4">
        <v>0.87</v>
      </c>
      <c r="N2790" s="4">
        <v>0.88</v>
      </c>
      <c r="O2790" s="4">
        <v>383.25</v>
      </c>
      <c r="P2790" s="4">
        <v>192.93</v>
      </c>
      <c r="Q2790" s="4">
        <v>384.12</v>
      </c>
      <c r="S2790" s="8">
        <f t="shared" si="129"/>
        <v>160.48833333333332</v>
      </c>
      <c r="T2790" s="8">
        <f t="shared" si="130"/>
        <v>-160.48833333333332</v>
      </c>
      <c r="U2790" s="9">
        <f t="shared" si="131"/>
        <v>-1</v>
      </c>
    </row>
    <row r="2791" spans="1:21" outlineLevel="2">
      <c r="A2791" t="s">
        <v>658</v>
      </c>
      <c r="B2791" t="s">
        <v>659</v>
      </c>
      <c r="C2791" t="s">
        <v>614</v>
      </c>
      <c r="D2791" t="s">
        <v>615</v>
      </c>
      <c r="E2791" s="4">
        <v>3438.39</v>
      </c>
      <c r="F2791" s="4">
        <v>2639.92</v>
      </c>
      <c r="G2791" s="4">
        <v>3342.25</v>
      </c>
      <c r="H2791" s="4">
        <v>2868.13</v>
      </c>
      <c r="I2791" s="4">
        <v>2919.84</v>
      </c>
      <c r="J2791" s="4">
        <v>1669.73</v>
      </c>
      <c r="K2791" s="4">
        <v>2215.86</v>
      </c>
      <c r="L2791" s="4">
        <v>3667.3100000000004</v>
      </c>
      <c r="M2791" s="4">
        <v>2397.33</v>
      </c>
      <c r="N2791" s="4">
        <v>4041.2999999999997</v>
      </c>
      <c r="O2791" s="4">
        <v>1738.98</v>
      </c>
      <c r="P2791" s="4">
        <v>1830.3899999999999</v>
      </c>
      <c r="Q2791" s="4">
        <v>0</v>
      </c>
      <c r="S2791" s="8">
        <f t="shared" si="129"/>
        <v>2279.2183333333332</v>
      </c>
      <c r="T2791" s="8">
        <f t="shared" si="130"/>
        <v>-2279.2183333333332</v>
      </c>
      <c r="U2791" s="9">
        <f t="shared" si="131"/>
        <v>-1</v>
      </c>
    </row>
    <row r="2792" spans="1:21" outlineLevel="2">
      <c r="A2792" t="s">
        <v>658</v>
      </c>
      <c r="B2792" t="s">
        <v>659</v>
      </c>
      <c r="C2792" t="s">
        <v>47</v>
      </c>
      <c r="D2792" t="s">
        <v>48</v>
      </c>
      <c r="E2792" s="4">
        <v>9383.3700000000008</v>
      </c>
      <c r="F2792" s="4">
        <v>10060.300000000001</v>
      </c>
      <c r="G2792" s="4">
        <v>8065.5900000000011</v>
      </c>
      <c r="H2792" s="4">
        <v>7853.9299999999994</v>
      </c>
      <c r="I2792" s="4">
        <v>-4461.9099999999989</v>
      </c>
      <c r="J2792" s="4">
        <v>6646.56</v>
      </c>
      <c r="K2792" s="4">
        <v>12194.75</v>
      </c>
      <c r="L2792" s="4">
        <v>8099.3900000000021</v>
      </c>
      <c r="M2792" s="4">
        <v>-8703.4399999999987</v>
      </c>
      <c r="N2792" s="4">
        <v>11142.320000000002</v>
      </c>
      <c r="O2792" s="4">
        <v>7939.9100000000008</v>
      </c>
      <c r="P2792" s="4">
        <v>10150.89</v>
      </c>
      <c r="Q2792" s="4">
        <v>0</v>
      </c>
      <c r="S2792" s="8">
        <f t="shared" si="129"/>
        <v>4771.5116666666672</v>
      </c>
      <c r="T2792" s="8">
        <f t="shared" si="130"/>
        <v>-4771.5116666666672</v>
      </c>
      <c r="U2792" s="9">
        <f t="shared" si="131"/>
        <v>-1</v>
      </c>
    </row>
    <row r="2793" spans="1:21" outlineLevel="2">
      <c r="A2793" t="s">
        <v>658</v>
      </c>
      <c r="B2793" t="s">
        <v>659</v>
      </c>
      <c r="C2793" t="s">
        <v>49</v>
      </c>
      <c r="D2793" t="s">
        <v>50</v>
      </c>
      <c r="E2793" s="4">
        <v>7965.01</v>
      </c>
      <c r="F2793" s="4">
        <v>7390.7</v>
      </c>
      <c r="G2793" s="4">
        <v>9708.6299999999992</v>
      </c>
      <c r="H2793" s="4">
        <v>14062.05</v>
      </c>
      <c r="I2793" s="4">
        <v>7435.37</v>
      </c>
      <c r="J2793" s="4">
        <v>7624.84</v>
      </c>
      <c r="K2793" s="4">
        <v>8464.3900000000012</v>
      </c>
      <c r="L2793" s="4">
        <v>3815.77</v>
      </c>
      <c r="M2793" s="4">
        <v>14283.35</v>
      </c>
      <c r="N2793" s="4">
        <v>5660.16</v>
      </c>
      <c r="O2793" s="4">
        <v>166.78</v>
      </c>
      <c r="P2793" s="4">
        <v>7593.4199999999992</v>
      </c>
      <c r="Q2793" s="4">
        <v>335.5</v>
      </c>
      <c r="R2793" s="4">
        <v>7810.07</v>
      </c>
      <c r="S2793" s="8">
        <f t="shared" si="129"/>
        <v>5309.163333333333</v>
      </c>
      <c r="T2793" s="8">
        <f t="shared" si="130"/>
        <v>2500.9066666666668</v>
      </c>
      <c r="U2793" s="9">
        <f t="shared" si="131"/>
        <v>0.47105476129634993</v>
      </c>
    </row>
    <row r="2794" spans="1:21" outlineLevel="2">
      <c r="A2794" t="s">
        <v>658</v>
      </c>
      <c r="B2794" t="s">
        <v>659</v>
      </c>
      <c r="C2794" t="s">
        <v>51</v>
      </c>
      <c r="D2794" t="s">
        <v>52</v>
      </c>
      <c r="E2794" s="4">
        <v>421.64</v>
      </c>
      <c r="F2794" s="4">
        <v>0</v>
      </c>
      <c r="G2794" s="4">
        <v>0</v>
      </c>
      <c r="H2794" s="4">
        <v>1530</v>
      </c>
      <c r="I2794" s="4">
        <v>0</v>
      </c>
      <c r="J2794" s="4">
        <v>158.59</v>
      </c>
      <c r="K2794" s="4">
        <v>0</v>
      </c>
      <c r="L2794" s="4">
        <v>0</v>
      </c>
      <c r="M2794" s="4">
        <v>0</v>
      </c>
      <c r="N2794" s="4">
        <v>2052.5</v>
      </c>
      <c r="O2794" s="4">
        <v>950</v>
      </c>
      <c r="P2794" s="4">
        <v>0</v>
      </c>
      <c r="Q2794" s="4">
        <v>0</v>
      </c>
      <c r="S2794" s="8">
        <f t="shared" si="129"/>
        <v>500.41666666666669</v>
      </c>
      <c r="T2794" s="8">
        <f t="shared" si="130"/>
        <v>-500.41666666666669</v>
      </c>
      <c r="U2794" s="9">
        <f t="shared" si="131"/>
        <v>-1</v>
      </c>
    </row>
    <row r="2795" spans="1:21" outlineLevel="2">
      <c r="A2795" t="s">
        <v>658</v>
      </c>
      <c r="B2795" t="s">
        <v>659</v>
      </c>
      <c r="C2795" t="s">
        <v>59</v>
      </c>
      <c r="D2795" t="s">
        <v>60</v>
      </c>
      <c r="E2795" s="4">
        <v>0</v>
      </c>
      <c r="F2795" s="4">
        <v>20898.350000000002</v>
      </c>
      <c r="G2795" s="4">
        <v>-277962.79000000004</v>
      </c>
      <c r="H2795" s="4">
        <v>-67040.899999999994</v>
      </c>
      <c r="I2795" s="4">
        <v>0</v>
      </c>
      <c r="J2795" s="4">
        <v>0</v>
      </c>
      <c r="K2795" s="4">
        <v>0</v>
      </c>
      <c r="L2795" s="4">
        <v>0</v>
      </c>
      <c r="M2795" s="4">
        <v>0</v>
      </c>
      <c r="N2795" s="4">
        <v>0</v>
      </c>
      <c r="O2795" s="4">
        <v>0</v>
      </c>
      <c r="P2795" s="4">
        <v>0</v>
      </c>
      <c r="Q2795" s="4">
        <v>0</v>
      </c>
      <c r="S2795" s="8">
        <f t="shared" si="129"/>
        <v>0</v>
      </c>
      <c r="T2795" s="8">
        <f t="shared" si="130"/>
        <v>0</v>
      </c>
      <c r="U2795" s="9" t="e">
        <f t="shared" si="131"/>
        <v>#DIV/0!</v>
      </c>
    </row>
    <row r="2796" spans="1:21" outlineLevel="2">
      <c r="A2796" t="s">
        <v>658</v>
      </c>
      <c r="B2796" t="s">
        <v>659</v>
      </c>
      <c r="C2796" t="s">
        <v>63</v>
      </c>
      <c r="D2796" t="s">
        <v>64</v>
      </c>
      <c r="E2796" s="4">
        <v>3722.68</v>
      </c>
      <c r="F2796" s="4">
        <v>3461.1</v>
      </c>
      <c r="G2796" s="4">
        <v>1560.18</v>
      </c>
      <c r="H2796" s="4">
        <v>2692.66</v>
      </c>
      <c r="I2796" s="4">
        <v>0</v>
      </c>
      <c r="J2796" s="4">
        <v>3116.5200000000004</v>
      </c>
      <c r="K2796" s="4">
        <v>5450.22</v>
      </c>
      <c r="L2796" s="4">
        <v>-1707.91</v>
      </c>
      <c r="M2796" s="4">
        <v>2561.87</v>
      </c>
      <c r="N2796" s="4">
        <v>2596.5</v>
      </c>
      <c r="O2796" s="4">
        <v>797.53</v>
      </c>
      <c r="P2796" s="4">
        <v>3139.3199999999997</v>
      </c>
      <c r="Q2796" s="4">
        <v>0</v>
      </c>
      <c r="S2796" s="8">
        <f t="shared" si="129"/>
        <v>1231.2183333333332</v>
      </c>
      <c r="T2796" s="8">
        <f t="shared" si="130"/>
        <v>-1231.2183333333332</v>
      </c>
      <c r="U2796" s="9">
        <f t="shared" si="131"/>
        <v>-1</v>
      </c>
    </row>
    <row r="2797" spans="1:21" outlineLevel="2">
      <c r="A2797" t="s">
        <v>658</v>
      </c>
      <c r="B2797" t="s">
        <v>659</v>
      </c>
      <c r="C2797" t="s">
        <v>65</v>
      </c>
      <c r="D2797" t="s">
        <v>66</v>
      </c>
      <c r="E2797" s="4">
        <v>0</v>
      </c>
      <c r="F2797" s="4">
        <v>0</v>
      </c>
      <c r="G2797" s="4">
        <v>0</v>
      </c>
      <c r="H2797" s="4">
        <v>2714.69</v>
      </c>
      <c r="I2797" s="4">
        <v>0</v>
      </c>
      <c r="J2797" s="4">
        <v>109.77000000000001</v>
      </c>
      <c r="K2797" s="4">
        <v>834.09999999999991</v>
      </c>
      <c r="L2797" s="4">
        <v>87.13</v>
      </c>
      <c r="M2797" s="4">
        <v>0</v>
      </c>
      <c r="N2797" s="4">
        <v>0</v>
      </c>
      <c r="O2797" s="4">
        <v>0</v>
      </c>
      <c r="P2797" s="4">
        <v>0</v>
      </c>
      <c r="Q2797" s="4">
        <v>0</v>
      </c>
      <c r="S2797" s="8">
        <f t="shared" si="129"/>
        <v>14.521666666666667</v>
      </c>
      <c r="T2797" s="8">
        <f t="shared" si="130"/>
        <v>-14.521666666666667</v>
      </c>
      <c r="U2797" s="9">
        <f t="shared" si="131"/>
        <v>-1</v>
      </c>
    </row>
    <row r="2798" spans="1:21" outlineLevel="2">
      <c r="A2798" t="s">
        <v>658</v>
      </c>
      <c r="B2798" t="s">
        <v>659</v>
      </c>
      <c r="C2798" t="s">
        <v>83</v>
      </c>
      <c r="D2798" t="s">
        <v>84</v>
      </c>
      <c r="E2798" s="4">
        <v>0</v>
      </c>
      <c r="F2798" s="4">
        <v>0</v>
      </c>
      <c r="G2798" s="4">
        <v>0</v>
      </c>
      <c r="H2798" s="4">
        <v>0</v>
      </c>
      <c r="I2798" s="4">
        <v>0</v>
      </c>
      <c r="J2798" s="4">
        <v>0</v>
      </c>
      <c r="K2798" s="4">
        <v>0</v>
      </c>
      <c r="L2798" s="4">
        <v>0</v>
      </c>
      <c r="M2798" s="4">
        <v>0</v>
      </c>
      <c r="N2798" s="4">
        <v>0</v>
      </c>
      <c r="O2798" s="4">
        <v>0</v>
      </c>
      <c r="P2798" s="4">
        <v>230.89</v>
      </c>
      <c r="Q2798" s="4">
        <v>0</v>
      </c>
      <c r="S2798" s="8">
        <f t="shared" si="129"/>
        <v>38.481666666666662</v>
      </c>
      <c r="T2798" s="8">
        <f t="shared" si="130"/>
        <v>-38.481666666666662</v>
      </c>
      <c r="U2798" s="9">
        <f t="shared" si="131"/>
        <v>-1</v>
      </c>
    </row>
    <row r="2799" spans="1:21" outlineLevel="2">
      <c r="A2799" t="s">
        <v>658</v>
      </c>
      <c r="B2799" t="s">
        <v>659</v>
      </c>
      <c r="C2799" t="s">
        <v>87</v>
      </c>
      <c r="D2799" t="s">
        <v>88</v>
      </c>
      <c r="E2799" s="4">
        <v>0</v>
      </c>
      <c r="F2799" s="4">
        <v>0</v>
      </c>
      <c r="G2799" s="4">
        <v>0</v>
      </c>
      <c r="H2799" s="4">
        <v>5.12</v>
      </c>
      <c r="I2799" s="4">
        <v>134.11000000000001</v>
      </c>
      <c r="J2799" s="4">
        <v>419.68</v>
      </c>
      <c r="K2799" s="4">
        <v>97.72999999999999</v>
      </c>
      <c r="L2799" s="4">
        <v>0</v>
      </c>
      <c r="M2799" s="4">
        <v>0</v>
      </c>
      <c r="N2799" s="4">
        <v>0</v>
      </c>
      <c r="O2799" s="4">
        <v>0</v>
      </c>
      <c r="P2799" s="4">
        <v>0</v>
      </c>
      <c r="Q2799" s="4">
        <v>0</v>
      </c>
      <c r="S2799" s="8">
        <f t="shared" si="129"/>
        <v>0</v>
      </c>
      <c r="T2799" s="8">
        <f t="shared" si="130"/>
        <v>0</v>
      </c>
      <c r="U2799" s="9" t="e">
        <f t="shared" si="131"/>
        <v>#DIV/0!</v>
      </c>
    </row>
    <row r="2800" spans="1:21" outlineLevel="2">
      <c r="A2800" t="s">
        <v>658</v>
      </c>
      <c r="B2800" t="s">
        <v>659</v>
      </c>
      <c r="C2800" t="s">
        <v>93</v>
      </c>
      <c r="D2800" t="s">
        <v>94</v>
      </c>
      <c r="E2800" s="4">
        <v>0</v>
      </c>
      <c r="F2800" s="4">
        <v>4518.43</v>
      </c>
      <c r="G2800" s="4">
        <v>0</v>
      </c>
      <c r="H2800" s="4">
        <v>-29.23</v>
      </c>
      <c r="I2800" s="4">
        <v>0</v>
      </c>
      <c r="J2800" s="4">
        <v>1091.9099999999999</v>
      </c>
      <c r="K2800" s="4">
        <v>0</v>
      </c>
      <c r="L2800" s="4">
        <v>0</v>
      </c>
      <c r="M2800" s="4">
        <v>0</v>
      </c>
      <c r="N2800" s="4">
        <v>0</v>
      </c>
      <c r="O2800" s="4">
        <v>0</v>
      </c>
      <c r="P2800" s="4">
        <v>73.7</v>
      </c>
      <c r="Q2800" s="4">
        <v>0</v>
      </c>
      <c r="S2800" s="8">
        <f t="shared" si="129"/>
        <v>12.283333333333333</v>
      </c>
      <c r="T2800" s="8">
        <f t="shared" si="130"/>
        <v>-12.283333333333333</v>
      </c>
      <c r="U2800" s="9">
        <f t="shared" si="131"/>
        <v>-1</v>
      </c>
    </row>
    <row r="2801" spans="1:21" outlineLevel="2">
      <c r="A2801" t="s">
        <v>658</v>
      </c>
      <c r="B2801" t="s">
        <v>659</v>
      </c>
      <c r="C2801" t="s">
        <v>101</v>
      </c>
      <c r="D2801" t="s">
        <v>102</v>
      </c>
      <c r="E2801" s="4">
        <v>334.45</v>
      </c>
      <c r="F2801" s="4">
        <v>729.82</v>
      </c>
      <c r="G2801" s="4">
        <v>149.38999999999999</v>
      </c>
      <c r="H2801" s="4">
        <v>408.5</v>
      </c>
      <c r="I2801" s="4">
        <v>408.5</v>
      </c>
      <c r="J2801" s="4">
        <v>7121.2999999999993</v>
      </c>
      <c r="K2801" s="4">
        <v>3768.87</v>
      </c>
      <c r="L2801" s="4">
        <v>1299.0999999999999</v>
      </c>
      <c r="M2801" s="4">
        <v>210.80000000000007</v>
      </c>
      <c r="N2801" s="4">
        <v>124.15</v>
      </c>
      <c r="O2801" s="4">
        <v>1153.8</v>
      </c>
      <c r="P2801" s="4">
        <v>692.05000000000007</v>
      </c>
      <c r="Q2801" s="4">
        <v>0</v>
      </c>
      <c r="R2801" s="4">
        <v>71.12</v>
      </c>
      <c r="S2801" s="8">
        <f t="shared" si="129"/>
        <v>579.98333333333346</v>
      </c>
      <c r="T2801" s="8">
        <f t="shared" si="130"/>
        <v>-508.86333333333346</v>
      </c>
      <c r="U2801" s="9">
        <f t="shared" si="131"/>
        <v>-0.87737578666053628</v>
      </c>
    </row>
    <row r="2802" spans="1:21" outlineLevel="2">
      <c r="A2802" t="s">
        <v>658</v>
      </c>
      <c r="B2802" t="s">
        <v>659</v>
      </c>
      <c r="C2802" t="s">
        <v>127</v>
      </c>
      <c r="D2802" t="s">
        <v>120</v>
      </c>
      <c r="E2802" s="4">
        <v>138.5</v>
      </c>
      <c r="F2802" s="4">
        <v>0</v>
      </c>
      <c r="G2802" s="4">
        <v>0</v>
      </c>
      <c r="H2802" s="4">
        <v>30.49</v>
      </c>
      <c r="I2802" s="4">
        <v>0</v>
      </c>
      <c r="J2802" s="4">
        <v>555.29</v>
      </c>
      <c r="K2802" s="4">
        <v>15.38</v>
      </c>
      <c r="L2802" s="4">
        <v>591.05999999999995</v>
      </c>
      <c r="M2802" s="4">
        <v>0</v>
      </c>
      <c r="N2802" s="4">
        <v>331.63</v>
      </c>
      <c r="O2802" s="4">
        <v>0</v>
      </c>
      <c r="P2802" s="4">
        <v>447.6</v>
      </c>
      <c r="Q2802" s="4">
        <v>0</v>
      </c>
      <c r="S2802" s="8">
        <f t="shared" si="129"/>
        <v>228.38166666666666</v>
      </c>
      <c r="T2802" s="8">
        <f t="shared" si="130"/>
        <v>-228.38166666666666</v>
      </c>
      <c r="U2802" s="9">
        <f t="shared" si="131"/>
        <v>-1</v>
      </c>
    </row>
    <row r="2803" spans="1:21" outlineLevel="2">
      <c r="A2803" t="s">
        <v>658</v>
      </c>
      <c r="B2803" t="s">
        <v>659</v>
      </c>
      <c r="C2803" t="s">
        <v>128</v>
      </c>
      <c r="D2803" t="s">
        <v>129</v>
      </c>
      <c r="E2803" s="4">
        <v>3700</v>
      </c>
      <c r="F2803" s="4">
        <v>0</v>
      </c>
      <c r="G2803" s="4">
        <v>0</v>
      </c>
      <c r="H2803" s="4">
        <v>0</v>
      </c>
      <c r="I2803" s="4">
        <v>0</v>
      </c>
      <c r="J2803" s="4">
        <v>0</v>
      </c>
      <c r="K2803" s="4">
        <v>0</v>
      </c>
      <c r="L2803" s="4">
        <v>4000</v>
      </c>
      <c r="M2803" s="4">
        <v>1200</v>
      </c>
      <c r="N2803" s="4">
        <v>0</v>
      </c>
      <c r="O2803" s="4">
        <v>0</v>
      </c>
      <c r="P2803" s="4">
        <v>0</v>
      </c>
      <c r="Q2803" s="4">
        <v>0</v>
      </c>
      <c r="S2803" s="8">
        <f t="shared" si="129"/>
        <v>866.66666666666663</v>
      </c>
      <c r="T2803" s="8">
        <f t="shared" si="130"/>
        <v>-866.66666666666663</v>
      </c>
      <c r="U2803" s="9">
        <f t="shared" si="131"/>
        <v>-1</v>
      </c>
    </row>
    <row r="2804" spans="1:21" outlineLevel="2">
      <c r="A2804" t="s">
        <v>658</v>
      </c>
      <c r="B2804" t="s">
        <v>659</v>
      </c>
      <c r="C2804" t="s">
        <v>132</v>
      </c>
      <c r="D2804" t="s">
        <v>133</v>
      </c>
      <c r="E2804" s="4">
        <v>-53485.919999999998</v>
      </c>
      <c r="F2804" s="4">
        <v>-38164</v>
      </c>
      <c r="G2804" s="4">
        <v>-59878</v>
      </c>
      <c r="H2804" s="4">
        <v>-117124</v>
      </c>
      <c r="I2804" s="4">
        <v>-166897</v>
      </c>
      <c r="J2804" s="4">
        <v>-150917</v>
      </c>
      <c r="K2804" s="4">
        <v>-71205</v>
      </c>
      <c r="L2804" s="4">
        <v>-118299</v>
      </c>
      <c r="M2804" s="4">
        <v>-76750.959999999992</v>
      </c>
      <c r="N2804" s="4">
        <v>-160387.5</v>
      </c>
      <c r="O2804" s="4">
        <v>-111578</v>
      </c>
      <c r="P2804" s="4">
        <v>-42253</v>
      </c>
      <c r="Q2804" s="4">
        <v>0</v>
      </c>
      <c r="S2804" s="8">
        <f t="shared" si="129"/>
        <v>-84878.07666666666</v>
      </c>
      <c r="T2804" s="8">
        <f t="shared" si="130"/>
        <v>84878.07666666666</v>
      </c>
      <c r="U2804" s="9">
        <f t="shared" si="131"/>
        <v>-1</v>
      </c>
    </row>
    <row r="2805" spans="1:21" outlineLevel="1">
      <c r="A2805" s="1" t="s">
        <v>876</v>
      </c>
      <c r="E2805" s="4">
        <f>SUBTOTAL(9,E2783:E2804)</f>
        <v>42758.269999999975</v>
      </c>
      <c r="F2805" s="4">
        <f>SUBTOTAL(9,F2783:F2804)</f>
        <v>67329.23000000001</v>
      </c>
      <c r="G2805" s="4">
        <f>SUBTOTAL(9,G2783:G2804)</f>
        <v>-243081.38</v>
      </c>
      <c r="H2805" s="4">
        <f>SUBTOTAL(9,H2783:H2804)</f>
        <v>-22794.73000000001</v>
      </c>
      <c r="I2805" s="4">
        <f>SUBTOTAL(9,I2783:I2804)</f>
        <v>19573.289999999979</v>
      </c>
      <c r="J2805" s="4">
        <f>SUBTOTAL(9,J2783:J2804)</f>
        <v>37785.549999999988</v>
      </c>
      <c r="K2805" s="4">
        <f>SUBTOTAL(9,K2783:K2804)</f>
        <v>47819.319999999992</v>
      </c>
      <c r="L2805" s="4">
        <f>SUBTOTAL(9,L2783:L2804)</f>
        <v>-57701.650000000023</v>
      </c>
      <c r="M2805" s="4">
        <f>SUBTOTAL(9,M2783:M2804)</f>
        <v>20954.850000000006</v>
      </c>
      <c r="N2805" s="4">
        <f>SUBTOTAL(9,N2783:N2804)</f>
        <v>35976.959999999992</v>
      </c>
      <c r="O2805" s="4">
        <f>SUBTOTAL(9,O2783:O2804)</f>
        <v>22591.819999999978</v>
      </c>
      <c r="P2805" s="4">
        <f>SUBTOTAL(9,P2783:P2804)</f>
        <v>-15554.800000000003</v>
      </c>
      <c r="Q2805" s="4">
        <f>SUBTOTAL(9,Q2783:Q2804)</f>
        <v>3214.1799999999994</v>
      </c>
      <c r="R2805" s="4">
        <f>SUBTOTAL(9,R2783:R2804)</f>
        <v>8018.3499999999995</v>
      </c>
      <c r="S2805" s="8">
        <f t="shared" si="129"/>
        <v>1580.2266666666583</v>
      </c>
      <c r="T2805" s="8">
        <f t="shared" si="130"/>
        <v>6438.1233333333412</v>
      </c>
      <c r="U2805" s="9">
        <f t="shared" si="131"/>
        <v>4.0741771222694059</v>
      </c>
    </row>
    <row r="2806" spans="1:21" outlineLevel="2">
      <c r="A2806" t="s">
        <v>660</v>
      </c>
      <c r="B2806" t="s">
        <v>661</v>
      </c>
      <c r="C2806" t="s">
        <v>19</v>
      </c>
      <c r="D2806" t="s">
        <v>20</v>
      </c>
      <c r="E2806" s="4">
        <v>0</v>
      </c>
      <c r="F2806" s="4">
        <v>0</v>
      </c>
      <c r="G2806" s="4">
        <v>0</v>
      </c>
      <c r="H2806" s="4">
        <v>0</v>
      </c>
      <c r="I2806" s="4">
        <v>0</v>
      </c>
      <c r="J2806" s="4">
        <v>0</v>
      </c>
      <c r="K2806" s="4">
        <v>-21444.09</v>
      </c>
      <c r="L2806" s="4">
        <v>0</v>
      </c>
      <c r="M2806" s="4">
        <v>0</v>
      </c>
      <c r="N2806" s="4">
        <v>0</v>
      </c>
      <c r="O2806" s="4">
        <v>0</v>
      </c>
      <c r="P2806" s="4">
        <v>0</v>
      </c>
      <c r="Q2806" s="4">
        <v>0</v>
      </c>
      <c r="S2806" s="8">
        <f t="shared" si="129"/>
        <v>0</v>
      </c>
      <c r="T2806" s="8">
        <f t="shared" si="130"/>
        <v>0</v>
      </c>
      <c r="U2806" s="9" t="e">
        <f t="shared" si="131"/>
        <v>#DIV/0!</v>
      </c>
    </row>
    <row r="2807" spans="1:21" outlineLevel="2">
      <c r="A2807" t="s">
        <v>660</v>
      </c>
      <c r="B2807" t="s">
        <v>661</v>
      </c>
      <c r="C2807" t="s">
        <v>21</v>
      </c>
      <c r="D2807" t="s">
        <v>22</v>
      </c>
      <c r="E2807" s="4">
        <v>2442.3699999999994</v>
      </c>
      <c r="F2807" s="4">
        <v>1804.77</v>
      </c>
      <c r="G2807" s="4">
        <v>3251.6899999999996</v>
      </c>
      <c r="H2807" s="4">
        <v>1738.5300000000009</v>
      </c>
      <c r="I2807" s="4">
        <v>2786.71</v>
      </c>
      <c r="J2807" s="4">
        <v>2950.3300000000008</v>
      </c>
      <c r="K2807" s="4">
        <v>2151.1300000000006</v>
      </c>
      <c r="L2807" s="4">
        <v>1039.7099999999998</v>
      </c>
      <c r="M2807" s="4">
        <v>3348.5499999999984</v>
      </c>
      <c r="N2807" s="4">
        <v>-2.1316282072803006E-13</v>
      </c>
      <c r="O2807" s="4">
        <v>2.2737367544323206E-13</v>
      </c>
      <c r="P2807" s="4">
        <v>0</v>
      </c>
      <c r="Q2807" s="4">
        <v>-7.1054273576010019E-15</v>
      </c>
      <c r="S2807" s="8">
        <f t="shared" si="129"/>
        <v>731.37666666666644</v>
      </c>
      <c r="T2807" s="8">
        <f t="shared" si="130"/>
        <v>-731.37666666666644</v>
      </c>
      <c r="U2807" s="9">
        <f t="shared" si="131"/>
        <v>-1</v>
      </c>
    </row>
    <row r="2808" spans="1:21" outlineLevel="2">
      <c r="A2808" t="s">
        <v>660</v>
      </c>
      <c r="B2808" t="s">
        <v>661</v>
      </c>
      <c r="C2808" t="s">
        <v>23</v>
      </c>
      <c r="D2808" t="s">
        <v>24</v>
      </c>
      <c r="E2808" s="4">
        <v>2396.2700000000004</v>
      </c>
      <c r="F2808" s="4">
        <v>8123.1500000000015</v>
      </c>
      <c r="G2808" s="4">
        <v>10644.35</v>
      </c>
      <c r="H2808" s="4">
        <v>8304.7899999999991</v>
      </c>
      <c r="I2808" s="4">
        <v>12579.060000000001</v>
      </c>
      <c r="J2808" s="4">
        <v>13595.330000000009</v>
      </c>
      <c r="K2808" s="4">
        <v>12337.800000000005</v>
      </c>
      <c r="L2808" s="4">
        <v>5189.3799999999992</v>
      </c>
      <c r="M2808" s="4">
        <v>3733.1500000000005</v>
      </c>
      <c r="N2808" s="4">
        <v>-4.2632564145606011E-14</v>
      </c>
      <c r="O2808" s="4">
        <v>-1.1368683772161603E-13</v>
      </c>
      <c r="P2808" s="4">
        <v>0</v>
      </c>
      <c r="Q2808" s="4">
        <v>5.6843418860808015E-14</v>
      </c>
      <c r="S2808" s="8">
        <f t="shared" si="129"/>
        <v>1487.0883333333331</v>
      </c>
      <c r="T2808" s="8">
        <f t="shared" si="130"/>
        <v>-1487.0883333333331</v>
      </c>
      <c r="U2808" s="9">
        <f t="shared" si="131"/>
        <v>-1</v>
      </c>
    </row>
    <row r="2809" spans="1:21" outlineLevel="2">
      <c r="A2809" t="s">
        <v>660</v>
      </c>
      <c r="B2809" t="s">
        <v>661</v>
      </c>
      <c r="C2809" t="s">
        <v>25</v>
      </c>
      <c r="D2809" t="s">
        <v>26</v>
      </c>
      <c r="E2809" s="4">
        <v>0</v>
      </c>
      <c r="F2809" s="4">
        <v>0</v>
      </c>
      <c r="G2809" s="4">
        <v>0</v>
      </c>
      <c r="H2809" s="4">
        <v>0</v>
      </c>
      <c r="I2809" s="4">
        <v>0</v>
      </c>
      <c r="J2809" s="4">
        <v>0</v>
      </c>
      <c r="K2809" s="4">
        <v>0</v>
      </c>
      <c r="L2809" s="4">
        <v>0</v>
      </c>
      <c r="M2809" s="4">
        <v>3809.9999999999991</v>
      </c>
      <c r="N2809" s="4">
        <v>2.7711166694643907E-13</v>
      </c>
      <c r="O2809" s="4">
        <v>0</v>
      </c>
      <c r="P2809" s="4">
        <v>0</v>
      </c>
      <c r="Q2809" s="4">
        <v>1.1368683772161603E-13</v>
      </c>
      <c r="S2809" s="8">
        <f t="shared" si="129"/>
        <v>634.99999999999989</v>
      </c>
      <c r="T2809" s="8">
        <f t="shared" si="130"/>
        <v>-634.99999999999989</v>
      </c>
      <c r="U2809" s="9">
        <f t="shared" si="131"/>
        <v>-1</v>
      </c>
    </row>
    <row r="2810" spans="1:21" outlineLevel="2">
      <c r="A2810" t="s">
        <v>660</v>
      </c>
      <c r="B2810" t="s">
        <v>661</v>
      </c>
      <c r="C2810" t="s">
        <v>27</v>
      </c>
      <c r="D2810" t="s">
        <v>28</v>
      </c>
      <c r="E2810" s="4">
        <v>0</v>
      </c>
      <c r="F2810" s="4">
        <v>0</v>
      </c>
      <c r="G2810" s="4">
        <v>0</v>
      </c>
      <c r="H2810" s="4">
        <v>0</v>
      </c>
      <c r="I2810" s="4">
        <v>0</v>
      </c>
      <c r="J2810" s="4">
        <v>0</v>
      </c>
      <c r="K2810" s="4">
        <v>0</v>
      </c>
      <c r="L2810" s="4">
        <v>0</v>
      </c>
      <c r="M2810" s="4">
        <v>1228.8100000000002</v>
      </c>
      <c r="N2810" s="4">
        <v>-3.5527136788005009E-15</v>
      </c>
      <c r="O2810" s="4">
        <v>0</v>
      </c>
      <c r="P2810" s="4">
        <v>0</v>
      </c>
      <c r="Q2810" s="4">
        <v>0</v>
      </c>
      <c r="S2810" s="8">
        <f t="shared" si="129"/>
        <v>204.8016666666667</v>
      </c>
      <c r="T2810" s="8">
        <f t="shared" si="130"/>
        <v>-204.8016666666667</v>
      </c>
      <c r="U2810" s="9">
        <f t="shared" si="131"/>
        <v>-1</v>
      </c>
    </row>
    <row r="2811" spans="1:21" outlineLevel="2">
      <c r="A2811" t="s">
        <v>660</v>
      </c>
      <c r="B2811" t="s">
        <v>661</v>
      </c>
      <c r="C2811" t="s">
        <v>33</v>
      </c>
      <c r="D2811" t="s">
        <v>34</v>
      </c>
      <c r="E2811" s="4">
        <v>3510</v>
      </c>
      <c r="F2811" s="4">
        <v>1295</v>
      </c>
      <c r="G2811" s="4">
        <v>1500</v>
      </c>
      <c r="H2811" s="4">
        <v>5925</v>
      </c>
      <c r="I2811" s="4">
        <v>0</v>
      </c>
      <c r="J2811" s="4">
        <v>0</v>
      </c>
      <c r="K2811" s="4">
        <v>0</v>
      </c>
      <c r="L2811" s="4">
        <v>2150</v>
      </c>
      <c r="M2811" s="4">
        <v>695</v>
      </c>
      <c r="N2811" s="4">
        <v>0</v>
      </c>
      <c r="O2811" s="4">
        <v>0</v>
      </c>
      <c r="P2811" s="4">
        <v>0</v>
      </c>
      <c r="Q2811" s="4">
        <v>0</v>
      </c>
      <c r="S2811" s="8">
        <f t="shared" si="129"/>
        <v>474.16666666666669</v>
      </c>
      <c r="T2811" s="8">
        <f t="shared" si="130"/>
        <v>-474.16666666666669</v>
      </c>
      <c r="U2811" s="9">
        <f t="shared" si="131"/>
        <v>-1</v>
      </c>
    </row>
    <row r="2812" spans="1:21" outlineLevel="2">
      <c r="A2812" t="s">
        <v>660</v>
      </c>
      <c r="B2812" t="s">
        <v>661</v>
      </c>
      <c r="C2812" t="s">
        <v>180</v>
      </c>
      <c r="D2812" t="s">
        <v>181</v>
      </c>
      <c r="E2812" s="4">
        <v>0</v>
      </c>
      <c r="F2812" s="4">
        <v>297.64</v>
      </c>
      <c r="G2812" s="4">
        <v>0</v>
      </c>
      <c r="H2812" s="4">
        <v>923.2</v>
      </c>
      <c r="I2812" s="4">
        <v>1137.6300000000001</v>
      </c>
      <c r="J2812" s="4">
        <v>0</v>
      </c>
      <c r="K2812" s="4">
        <v>0</v>
      </c>
      <c r="L2812" s="4">
        <v>75.760000000000005</v>
      </c>
      <c r="M2812" s="4">
        <v>884.23</v>
      </c>
      <c r="N2812" s="4">
        <v>0</v>
      </c>
      <c r="O2812" s="4">
        <v>0</v>
      </c>
      <c r="P2812" s="4">
        <v>0</v>
      </c>
      <c r="Q2812" s="4">
        <v>0</v>
      </c>
      <c r="S2812" s="8">
        <f t="shared" si="129"/>
        <v>159.99833333333333</v>
      </c>
      <c r="T2812" s="8">
        <f t="shared" si="130"/>
        <v>-159.99833333333333</v>
      </c>
      <c r="U2812" s="9">
        <f t="shared" si="131"/>
        <v>-1</v>
      </c>
    </row>
    <row r="2813" spans="1:21" outlineLevel="2">
      <c r="A2813" t="s">
        <v>660</v>
      </c>
      <c r="B2813" t="s">
        <v>661</v>
      </c>
      <c r="C2813" t="s">
        <v>55</v>
      </c>
      <c r="D2813" t="s">
        <v>56</v>
      </c>
      <c r="E2813" s="4">
        <v>0</v>
      </c>
      <c r="F2813" s="4">
        <v>0</v>
      </c>
      <c r="G2813" s="4">
        <v>0</v>
      </c>
      <c r="H2813" s="4">
        <v>0</v>
      </c>
      <c r="I2813" s="4">
        <v>0</v>
      </c>
      <c r="J2813" s="4">
        <v>95.99</v>
      </c>
      <c r="K2813" s="4">
        <v>0</v>
      </c>
      <c r="L2813" s="4">
        <v>0</v>
      </c>
      <c r="M2813" s="4">
        <v>0</v>
      </c>
      <c r="N2813" s="4">
        <v>0</v>
      </c>
      <c r="O2813" s="4">
        <v>0</v>
      </c>
      <c r="P2813" s="4">
        <v>0</v>
      </c>
      <c r="Q2813" s="4">
        <v>0</v>
      </c>
      <c r="S2813" s="8">
        <f t="shared" si="129"/>
        <v>0</v>
      </c>
      <c r="T2813" s="8">
        <f t="shared" si="130"/>
        <v>0</v>
      </c>
      <c r="U2813" s="9" t="e">
        <f t="shared" si="131"/>
        <v>#DIV/0!</v>
      </c>
    </row>
    <row r="2814" spans="1:21" outlineLevel="2">
      <c r="A2814" t="s">
        <v>660</v>
      </c>
      <c r="B2814" t="s">
        <v>661</v>
      </c>
      <c r="C2814" t="s">
        <v>63</v>
      </c>
      <c r="D2814" t="s">
        <v>64</v>
      </c>
      <c r="E2814" s="4">
        <v>4.3</v>
      </c>
      <c r="F2814" s="4">
        <v>73</v>
      </c>
      <c r="G2814" s="4">
        <v>105.99000000000001</v>
      </c>
      <c r="H2814" s="4">
        <v>54</v>
      </c>
      <c r="I2814" s="4">
        <v>113.95</v>
      </c>
      <c r="J2814" s="4">
        <v>0</v>
      </c>
      <c r="K2814" s="4">
        <v>15</v>
      </c>
      <c r="L2814" s="4">
        <v>17.399999999999999</v>
      </c>
      <c r="M2814" s="4">
        <v>106.95</v>
      </c>
      <c r="N2814" s="4">
        <v>0</v>
      </c>
      <c r="O2814" s="4">
        <v>0</v>
      </c>
      <c r="P2814" s="4">
        <v>0</v>
      </c>
      <c r="Q2814" s="4">
        <v>0</v>
      </c>
      <c r="S2814" s="8">
        <f t="shared" si="129"/>
        <v>20.724999999999998</v>
      </c>
      <c r="T2814" s="8">
        <f t="shared" si="130"/>
        <v>-20.724999999999998</v>
      </c>
      <c r="U2814" s="9">
        <f t="shared" si="131"/>
        <v>-1</v>
      </c>
    </row>
    <row r="2815" spans="1:21" outlineLevel="2">
      <c r="A2815" t="s">
        <v>660</v>
      </c>
      <c r="B2815" t="s">
        <v>661</v>
      </c>
      <c r="C2815" t="s">
        <v>83</v>
      </c>
      <c r="D2815" t="s">
        <v>84</v>
      </c>
      <c r="E2815" s="4">
        <v>0</v>
      </c>
      <c r="F2815" s="4">
        <v>732.08</v>
      </c>
      <c r="G2815" s="4">
        <v>0</v>
      </c>
      <c r="H2815" s="4">
        <v>0</v>
      </c>
      <c r="I2815" s="4">
        <v>0</v>
      </c>
      <c r="J2815" s="4">
        <v>0</v>
      </c>
      <c r="K2815" s="4">
        <v>0</v>
      </c>
      <c r="L2815" s="4">
        <v>0</v>
      </c>
      <c r="M2815" s="4">
        <v>0</v>
      </c>
      <c r="N2815" s="4">
        <v>0</v>
      </c>
      <c r="O2815" s="4">
        <v>0</v>
      </c>
      <c r="P2815" s="4">
        <v>0</v>
      </c>
      <c r="Q2815" s="4">
        <v>0</v>
      </c>
      <c r="S2815" s="8">
        <f t="shared" si="129"/>
        <v>0</v>
      </c>
      <c r="T2815" s="8">
        <f t="shared" si="130"/>
        <v>0</v>
      </c>
      <c r="U2815" s="9" t="e">
        <f t="shared" si="131"/>
        <v>#DIV/0!</v>
      </c>
    </row>
    <row r="2816" spans="1:21" outlineLevel="2">
      <c r="A2816" t="s">
        <v>660</v>
      </c>
      <c r="B2816" t="s">
        <v>661</v>
      </c>
      <c r="C2816" t="s">
        <v>87</v>
      </c>
      <c r="D2816" t="s">
        <v>88</v>
      </c>
      <c r="E2816" s="4">
        <v>65.42</v>
      </c>
      <c r="F2816" s="4">
        <v>138.88999999999999</v>
      </c>
      <c r="G2816" s="4">
        <v>16.86</v>
      </c>
      <c r="H2816" s="4">
        <v>113253.12</v>
      </c>
      <c r="I2816" s="4">
        <v>0</v>
      </c>
      <c r="J2816" s="4">
        <v>10637.01</v>
      </c>
      <c r="K2816" s="4">
        <v>75447.22</v>
      </c>
      <c r="L2816" s="4">
        <v>16203.75</v>
      </c>
      <c r="M2816" s="4">
        <v>15282.11</v>
      </c>
      <c r="N2816" s="4">
        <v>-1.8189894035458565E-12</v>
      </c>
      <c r="O2816" s="4">
        <v>-1.8189894035458565E-12</v>
      </c>
      <c r="P2816" s="4">
        <v>0</v>
      </c>
      <c r="Q2816" s="4">
        <v>0</v>
      </c>
      <c r="S2816" s="8">
        <f t="shared" si="129"/>
        <v>5247.6433333333334</v>
      </c>
      <c r="T2816" s="8">
        <f t="shared" si="130"/>
        <v>-5247.6433333333334</v>
      </c>
      <c r="U2816" s="9">
        <f t="shared" si="131"/>
        <v>-1</v>
      </c>
    </row>
    <row r="2817" spans="1:21" outlineLevel="2">
      <c r="A2817" t="s">
        <v>660</v>
      </c>
      <c r="B2817" t="s">
        <v>661</v>
      </c>
      <c r="C2817" t="s">
        <v>89</v>
      </c>
      <c r="D2817" t="s">
        <v>90</v>
      </c>
      <c r="E2817" s="4">
        <v>0</v>
      </c>
      <c r="F2817" s="4">
        <v>0</v>
      </c>
      <c r="G2817" s="4">
        <v>0</v>
      </c>
      <c r="H2817" s="4">
        <v>0</v>
      </c>
      <c r="I2817" s="4">
        <v>0</v>
      </c>
      <c r="J2817" s="4">
        <v>19570</v>
      </c>
      <c r="K2817" s="4">
        <v>0</v>
      </c>
      <c r="L2817" s="4">
        <v>0</v>
      </c>
      <c r="M2817" s="4">
        <v>19570</v>
      </c>
      <c r="N2817" s="4">
        <v>0</v>
      </c>
      <c r="O2817" s="4">
        <v>0</v>
      </c>
      <c r="P2817" s="4">
        <v>0</v>
      </c>
      <c r="Q2817" s="4">
        <v>0</v>
      </c>
      <c r="S2817" s="8">
        <f t="shared" si="129"/>
        <v>3261.6666666666665</v>
      </c>
      <c r="T2817" s="8">
        <f t="shared" si="130"/>
        <v>-3261.6666666666665</v>
      </c>
      <c r="U2817" s="9">
        <f t="shared" si="131"/>
        <v>-1</v>
      </c>
    </row>
    <row r="2818" spans="1:21" outlineLevel="2">
      <c r="A2818" t="s">
        <v>660</v>
      </c>
      <c r="B2818" t="s">
        <v>661</v>
      </c>
      <c r="C2818" t="s">
        <v>166</v>
      </c>
      <c r="D2818" t="s">
        <v>167</v>
      </c>
      <c r="E2818" s="4">
        <v>0</v>
      </c>
      <c r="F2818" s="4">
        <v>0</v>
      </c>
      <c r="G2818" s="4">
        <v>295</v>
      </c>
      <c r="H2818" s="4">
        <v>0</v>
      </c>
      <c r="I2818" s="4">
        <v>0</v>
      </c>
      <c r="J2818" s="4">
        <v>0</v>
      </c>
      <c r="K2818" s="4">
        <v>0</v>
      </c>
      <c r="L2818" s="4">
        <v>0</v>
      </c>
      <c r="M2818" s="4">
        <v>0</v>
      </c>
      <c r="N2818" s="4">
        <v>0</v>
      </c>
      <c r="O2818" s="4">
        <v>0</v>
      </c>
      <c r="P2818" s="4">
        <v>0</v>
      </c>
      <c r="Q2818" s="4">
        <v>0</v>
      </c>
      <c r="S2818" s="8">
        <f t="shared" si="129"/>
        <v>0</v>
      </c>
      <c r="T2818" s="8">
        <f t="shared" si="130"/>
        <v>0</v>
      </c>
      <c r="U2818" s="9" t="e">
        <f t="shared" si="131"/>
        <v>#DIV/0!</v>
      </c>
    </row>
    <row r="2819" spans="1:21" outlineLevel="2">
      <c r="A2819" t="s">
        <v>660</v>
      </c>
      <c r="B2819" t="s">
        <v>661</v>
      </c>
      <c r="C2819" t="s">
        <v>93</v>
      </c>
      <c r="D2819" t="s">
        <v>94</v>
      </c>
      <c r="E2819" s="4">
        <v>0</v>
      </c>
      <c r="F2819" s="4">
        <v>0</v>
      </c>
      <c r="G2819" s="4">
        <v>1638.5500000000002</v>
      </c>
      <c r="H2819" s="4">
        <v>0</v>
      </c>
      <c r="I2819" s="4">
        <v>0</v>
      </c>
      <c r="J2819" s="4">
        <v>0</v>
      </c>
      <c r="K2819" s="4">
        <v>0</v>
      </c>
      <c r="L2819" s="4">
        <v>0</v>
      </c>
      <c r="M2819" s="4">
        <v>0</v>
      </c>
      <c r="N2819" s="4">
        <v>0</v>
      </c>
      <c r="O2819" s="4">
        <v>0</v>
      </c>
      <c r="P2819" s="4">
        <v>0</v>
      </c>
      <c r="Q2819" s="4">
        <v>0</v>
      </c>
      <c r="S2819" s="8">
        <f t="shared" ref="S2819:S2882" si="132">AVERAGE(L2819:Q2819)</f>
        <v>0</v>
      </c>
      <c r="T2819" s="8">
        <f t="shared" ref="T2819:T2882" si="133">R2819-S2819</f>
        <v>0</v>
      </c>
      <c r="U2819" s="9" t="e">
        <f t="shared" ref="U2819:U2882" si="134">(R2819-S2819)/S2819</f>
        <v>#DIV/0!</v>
      </c>
    </row>
    <row r="2820" spans="1:21" outlineLevel="2">
      <c r="A2820" t="s">
        <v>660</v>
      </c>
      <c r="B2820" t="s">
        <v>661</v>
      </c>
      <c r="C2820" t="s">
        <v>99</v>
      </c>
      <c r="D2820" t="s">
        <v>100</v>
      </c>
      <c r="E2820" s="4">
        <v>18730.239999999998</v>
      </c>
      <c r="F2820" s="4">
        <v>0</v>
      </c>
      <c r="G2820" s="4">
        <v>106642.47</v>
      </c>
      <c r="H2820" s="4">
        <v>52488.68</v>
      </c>
      <c r="I2820" s="4">
        <v>10888.12</v>
      </c>
      <c r="J2820" s="4">
        <v>63806.069999999992</v>
      </c>
      <c r="K2820" s="4">
        <v>54261.26</v>
      </c>
      <c r="L2820" s="4">
        <v>5391.77</v>
      </c>
      <c r="M2820" s="4">
        <v>0</v>
      </c>
      <c r="N2820" s="4">
        <v>-9.0949470177292824E-12</v>
      </c>
      <c r="O2820" s="4">
        <v>0</v>
      </c>
      <c r="P2820" s="4">
        <v>-7.2759576141834259E-12</v>
      </c>
      <c r="Q2820" s="4">
        <v>2.328304216092647E-12</v>
      </c>
      <c r="R2820" s="4">
        <v>13259.05</v>
      </c>
      <c r="S2820" s="8">
        <f t="shared" si="132"/>
        <v>898.62833333333117</v>
      </c>
      <c r="T2820" s="8">
        <f t="shared" si="133"/>
        <v>12360.421666666669</v>
      </c>
      <c r="U2820" s="9">
        <f t="shared" si="134"/>
        <v>13.754765132785744</v>
      </c>
    </row>
    <row r="2821" spans="1:21" outlineLevel="2">
      <c r="A2821" t="s">
        <v>660</v>
      </c>
      <c r="B2821" t="s">
        <v>661</v>
      </c>
      <c r="C2821" t="s">
        <v>101</v>
      </c>
      <c r="D2821" t="s">
        <v>102</v>
      </c>
      <c r="E2821" s="4">
        <v>14980</v>
      </c>
      <c r="F2821" s="4">
        <v>0</v>
      </c>
      <c r="G2821" s="4">
        <v>47166</v>
      </c>
      <c r="H2821" s="4">
        <v>120251.74</v>
      </c>
      <c r="I2821" s="4">
        <v>23040</v>
      </c>
      <c r="J2821" s="4">
        <v>5280.0000000000146</v>
      </c>
      <c r="K2821" s="4">
        <v>95747.500000000015</v>
      </c>
      <c r="L2821" s="4">
        <v>-105.60000000000001</v>
      </c>
      <c r="M2821" s="4">
        <v>0</v>
      </c>
      <c r="N2821" s="4">
        <v>0</v>
      </c>
      <c r="O2821" s="4">
        <v>0</v>
      </c>
      <c r="P2821" s="4">
        <v>0</v>
      </c>
      <c r="Q2821" s="4">
        <v>0</v>
      </c>
      <c r="S2821" s="8">
        <f t="shared" si="132"/>
        <v>-17.600000000000001</v>
      </c>
      <c r="T2821" s="8">
        <f t="shared" si="133"/>
        <v>17.600000000000001</v>
      </c>
      <c r="U2821" s="9">
        <f t="shared" si="134"/>
        <v>-1</v>
      </c>
    </row>
    <row r="2822" spans="1:21" outlineLevel="2">
      <c r="A2822" t="s">
        <v>660</v>
      </c>
      <c r="B2822" t="s">
        <v>661</v>
      </c>
      <c r="C2822" t="s">
        <v>103</v>
      </c>
      <c r="D2822" t="s">
        <v>104</v>
      </c>
      <c r="E2822" s="4">
        <v>0</v>
      </c>
      <c r="F2822" s="4">
        <v>0</v>
      </c>
      <c r="G2822" s="4">
        <v>2785.54</v>
      </c>
      <c r="H2822" s="4">
        <v>0</v>
      </c>
      <c r="I2822" s="4">
        <v>845.69</v>
      </c>
      <c r="J2822" s="4">
        <v>0</v>
      </c>
      <c r="K2822" s="4">
        <v>0</v>
      </c>
      <c r="L2822" s="4">
        <v>0</v>
      </c>
      <c r="M2822" s="4">
        <v>0</v>
      </c>
      <c r="N2822" s="4">
        <v>0</v>
      </c>
      <c r="O2822" s="4">
        <v>0</v>
      </c>
      <c r="P2822" s="4">
        <v>0</v>
      </c>
      <c r="Q2822" s="4">
        <v>0</v>
      </c>
      <c r="S2822" s="8">
        <f t="shared" si="132"/>
        <v>0</v>
      </c>
      <c r="T2822" s="8">
        <f t="shared" si="133"/>
        <v>0</v>
      </c>
      <c r="U2822" s="9" t="e">
        <f t="shared" si="134"/>
        <v>#DIV/0!</v>
      </c>
    </row>
    <row r="2823" spans="1:21" outlineLevel="2">
      <c r="A2823" t="s">
        <v>660</v>
      </c>
      <c r="B2823" t="s">
        <v>661</v>
      </c>
      <c r="C2823" t="s">
        <v>119</v>
      </c>
      <c r="D2823" t="s">
        <v>120</v>
      </c>
      <c r="E2823" s="4">
        <v>0</v>
      </c>
      <c r="F2823" s="4">
        <v>0</v>
      </c>
      <c r="G2823" s="4">
        <v>0</v>
      </c>
      <c r="H2823" s="4">
        <v>0</v>
      </c>
      <c r="I2823" s="4">
        <v>0</v>
      </c>
      <c r="J2823" s="4">
        <v>0</v>
      </c>
      <c r="K2823" s="4">
        <v>0</v>
      </c>
      <c r="L2823" s="4">
        <v>-1550</v>
      </c>
      <c r="M2823" s="4">
        <v>0</v>
      </c>
      <c r="N2823" s="4">
        <v>0</v>
      </c>
      <c r="O2823" s="4">
        <v>0</v>
      </c>
      <c r="P2823" s="4">
        <v>0</v>
      </c>
      <c r="Q2823" s="4">
        <v>0</v>
      </c>
      <c r="S2823" s="8">
        <f t="shared" si="132"/>
        <v>-258.33333333333331</v>
      </c>
      <c r="T2823" s="8">
        <f t="shared" si="133"/>
        <v>258.33333333333331</v>
      </c>
      <c r="U2823" s="9">
        <f t="shared" si="134"/>
        <v>-1</v>
      </c>
    </row>
    <row r="2824" spans="1:21" outlineLevel="2">
      <c r="A2824" t="s">
        <v>660</v>
      </c>
      <c r="B2824" t="s">
        <v>661</v>
      </c>
      <c r="C2824" t="s">
        <v>127</v>
      </c>
      <c r="D2824" t="s">
        <v>120</v>
      </c>
      <c r="E2824" s="4">
        <v>88.68</v>
      </c>
      <c r="F2824" s="4">
        <v>54</v>
      </c>
      <c r="G2824" s="4">
        <v>95.63</v>
      </c>
      <c r="H2824" s="4">
        <v>37.46</v>
      </c>
      <c r="I2824" s="4">
        <v>0</v>
      </c>
      <c r="J2824" s="4">
        <v>573.43000000000006</v>
      </c>
      <c r="K2824" s="4">
        <v>209.33999999999997</v>
      </c>
      <c r="L2824" s="4">
        <v>10.29</v>
      </c>
      <c r="M2824" s="4">
        <v>264.26</v>
      </c>
      <c r="N2824" s="4">
        <v>0</v>
      </c>
      <c r="O2824" s="4">
        <v>0</v>
      </c>
      <c r="P2824" s="4">
        <v>0</v>
      </c>
      <c r="Q2824" s="4">
        <v>0</v>
      </c>
      <c r="S2824" s="8">
        <f t="shared" si="132"/>
        <v>45.758333333333333</v>
      </c>
      <c r="T2824" s="8">
        <f t="shared" si="133"/>
        <v>-45.758333333333333</v>
      </c>
      <c r="U2824" s="9">
        <f t="shared" si="134"/>
        <v>-1</v>
      </c>
    </row>
    <row r="2825" spans="1:21" outlineLevel="1">
      <c r="A2825" s="1" t="s">
        <v>877</v>
      </c>
      <c r="E2825" s="4">
        <f>SUBTOTAL(9,E2806:E2824)</f>
        <v>42217.279999999999</v>
      </c>
      <c r="F2825" s="4">
        <f>SUBTOTAL(9,F2806:F2824)</f>
        <v>12518.53</v>
      </c>
      <c r="G2825" s="4">
        <f>SUBTOTAL(9,G2806:G2824)</f>
        <v>174142.08000000002</v>
      </c>
      <c r="H2825" s="4">
        <f>SUBTOTAL(9,H2806:H2824)</f>
        <v>302976.52</v>
      </c>
      <c r="I2825" s="4">
        <f>SUBTOTAL(9,I2806:I2824)</f>
        <v>51391.16</v>
      </c>
      <c r="J2825" s="4">
        <f>SUBTOTAL(9,J2806:J2824)</f>
        <v>116508.16000000002</v>
      </c>
      <c r="K2825" s="4">
        <f>SUBTOTAL(9,K2806:K2824)</f>
        <v>218725.16</v>
      </c>
      <c r="L2825" s="4">
        <f>SUBTOTAL(9,L2806:L2824)</f>
        <v>28422.460000000003</v>
      </c>
      <c r="M2825" s="4">
        <f>SUBTOTAL(9,M2806:M2824)</f>
        <v>48923.06</v>
      </c>
      <c r="N2825" s="4">
        <f>SUBTOTAL(9,N2806:N2824)</f>
        <v>-1.0896172852881136E-11</v>
      </c>
      <c r="O2825" s="4">
        <f>SUBTOTAL(9,O2806:O2824)</f>
        <v>-1.7053025658242404E-12</v>
      </c>
      <c r="P2825" s="4">
        <f>SUBTOTAL(9,P2806:P2824)</f>
        <v>-7.2759576141834259E-12</v>
      </c>
      <c r="Q2825" s="4">
        <f>SUBTOTAL(9,Q2806:Q2824)</f>
        <v>2.4917290453174701E-12</v>
      </c>
      <c r="R2825" s="4">
        <f>SUBTOTAL(9,R2806:R2824)</f>
        <v>13259.05</v>
      </c>
      <c r="S2825" s="8">
        <f t="shared" si="132"/>
        <v>12890.919999999998</v>
      </c>
      <c r="T2825" s="8">
        <f t="shared" si="133"/>
        <v>368.13000000000102</v>
      </c>
      <c r="U2825" s="9">
        <f t="shared" si="134"/>
        <v>2.8557310106648793E-2</v>
      </c>
    </row>
    <row r="2826" spans="1:21" outlineLevel="2">
      <c r="A2826" t="s">
        <v>662</v>
      </c>
      <c r="B2826" t="s">
        <v>663</v>
      </c>
      <c r="C2826" t="s">
        <v>19</v>
      </c>
      <c r="D2826" t="s">
        <v>20</v>
      </c>
      <c r="E2826" s="4">
        <v>8131.3400000000011</v>
      </c>
      <c r="F2826" s="4">
        <v>449.27000000000004</v>
      </c>
      <c r="G2826" s="4">
        <v>0</v>
      </c>
      <c r="H2826" s="4">
        <v>0</v>
      </c>
      <c r="I2826" s="4">
        <v>-7.2759576141834259E-12</v>
      </c>
      <c r="J2826" s="4">
        <v>7612.8999999999978</v>
      </c>
      <c r="K2826" s="4">
        <v>516.95999999999992</v>
      </c>
      <c r="L2826" s="4">
        <v>-16710.47</v>
      </c>
      <c r="M2826" s="4">
        <v>8216.84</v>
      </c>
      <c r="N2826" s="4">
        <v>5919.4</v>
      </c>
      <c r="O2826" s="4">
        <v>3183.8599999999997</v>
      </c>
      <c r="P2826" s="4">
        <v>12436</v>
      </c>
      <c r="Q2826" s="4">
        <v>14452.940000000004</v>
      </c>
      <c r="R2826" s="4">
        <v>15526.579999999996</v>
      </c>
      <c r="S2826" s="8">
        <f t="shared" si="132"/>
        <v>4583.0950000000003</v>
      </c>
      <c r="T2826" s="8">
        <f t="shared" si="133"/>
        <v>10943.484999999997</v>
      </c>
      <c r="U2826" s="9">
        <f t="shared" si="134"/>
        <v>2.3877936198136842</v>
      </c>
    </row>
    <row r="2827" spans="1:21" outlineLevel="2">
      <c r="A2827" t="s">
        <v>662</v>
      </c>
      <c r="B2827" t="s">
        <v>663</v>
      </c>
      <c r="C2827" t="s">
        <v>21</v>
      </c>
      <c r="D2827" t="s">
        <v>22</v>
      </c>
      <c r="E2827" s="4">
        <v>0</v>
      </c>
      <c r="F2827" s="4">
        <v>10.73</v>
      </c>
      <c r="G2827" s="4">
        <v>0</v>
      </c>
      <c r="H2827" s="4">
        <v>0</v>
      </c>
      <c r="I2827" s="4">
        <v>0</v>
      </c>
      <c r="J2827" s="4">
        <v>0</v>
      </c>
      <c r="K2827" s="4">
        <v>0</v>
      </c>
      <c r="L2827" s="4">
        <v>110.41</v>
      </c>
      <c r="M2827" s="4">
        <v>0</v>
      </c>
      <c r="N2827" s="4">
        <v>0</v>
      </c>
      <c r="O2827" s="4">
        <v>0</v>
      </c>
      <c r="P2827" s="4">
        <v>0</v>
      </c>
      <c r="Q2827" s="4">
        <v>0</v>
      </c>
      <c r="S2827" s="8">
        <f t="shared" si="132"/>
        <v>18.401666666666667</v>
      </c>
      <c r="T2827" s="8">
        <f t="shared" si="133"/>
        <v>-18.401666666666667</v>
      </c>
      <c r="U2827" s="9">
        <f t="shared" si="134"/>
        <v>-1</v>
      </c>
    </row>
    <row r="2828" spans="1:21" outlineLevel="2">
      <c r="A2828" t="s">
        <v>662</v>
      </c>
      <c r="B2828" t="s">
        <v>663</v>
      </c>
      <c r="C2828" t="s">
        <v>23</v>
      </c>
      <c r="D2828" t="s">
        <v>24</v>
      </c>
      <c r="E2828" s="4">
        <v>0</v>
      </c>
      <c r="F2828" s="4">
        <v>0</v>
      </c>
      <c r="G2828" s="4">
        <v>0</v>
      </c>
      <c r="H2828" s="4">
        <v>0</v>
      </c>
      <c r="I2828" s="4">
        <v>0</v>
      </c>
      <c r="J2828" s="4">
        <v>0</v>
      </c>
      <c r="K2828" s="4">
        <v>0</v>
      </c>
      <c r="L2828" s="4">
        <v>661.89</v>
      </c>
      <c r="M2828" s="4">
        <v>0</v>
      </c>
      <c r="N2828" s="4">
        <v>0</v>
      </c>
      <c r="O2828" s="4">
        <v>0</v>
      </c>
      <c r="P2828" s="4">
        <v>0</v>
      </c>
      <c r="Q2828" s="4">
        <v>0</v>
      </c>
      <c r="S2828" s="8">
        <f t="shared" si="132"/>
        <v>110.315</v>
      </c>
      <c r="T2828" s="8">
        <f t="shared" si="133"/>
        <v>-110.315</v>
      </c>
      <c r="U2828" s="9">
        <f t="shared" si="134"/>
        <v>-1</v>
      </c>
    </row>
    <row r="2829" spans="1:21" outlineLevel="2">
      <c r="A2829" t="s">
        <v>662</v>
      </c>
      <c r="B2829" t="s">
        <v>663</v>
      </c>
      <c r="C2829" t="s">
        <v>33</v>
      </c>
      <c r="D2829" t="s">
        <v>34</v>
      </c>
      <c r="E2829" s="4">
        <v>0</v>
      </c>
      <c r="F2829" s="4">
        <v>0</v>
      </c>
      <c r="G2829" s="4">
        <v>0</v>
      </c>
      <c r="H2829" s="4">
        <v>1337.04</v>
      </c>
      <c r="I2829" s="4">
        <v>0</v>
      </c>
      <c r="J2829" s="4">
        <v>0</v>
      </c>
      <c r="K2829" s="4">
        <v>0</v>
      </c>
      <c r="L2829" s="4">
        <v>0</v>
      </c>
      <c r="M2829" s="4">
        <v>0</v>
      </c>
      <c r="N2829" s="4">
        <v>0</v>
      </c>
      <c r="O2829" s="4">
        <v>0</v>
      </c>
      <c r="P2829" s="4">
        <v>0</v>
      </c>
      <c r="Q2829" s="4">
        <v>2625</v>
      </c>
      <c r="S2829" s="8">
        <f t="shared" si="132"/>
        <v>437.5</v>
      </c>
      <c r="T2829" s="8">
        <f t="shared" si="133"/>
        <v>-437.5</v>
      </c>
      <c r="U2829" s="9">
        <f t="shared" si="134"/>
        <v>-1</v>
      </c>
    </row>
    <row r="2830" spans="1:21" outlineLevel="2">
      <c r="A2830" t="s">
        <v>662</v>
      </c>
      <c r="B2830" t="s">
        <v>663</v>
      </c>
      <c r="C2830" t="s">
        <v>304</v>
      </c>
      <c r="D2830" t="s">
        <v>305</v>
      </c>
      <c r="E2830" s="4">
        <v>0</v>
      </c>
      <c r="F2830" s="4">
        <v>0</v>
      </c>
      <c r="G2830" s="4">
        <v>0</v>
      </c>
      <c r="H2830" s="4">
        <v>0</v>
      </c>
      <c r="I2830" s="4">
        <v>0</v>
      </c>
      <c r="J2830" s="4">
        <v>13146</v>
      </c>
      <c r="K2830" s="4">
        <v>0</v>
      </c>
      <c r="L2830" s="4">
        <v>0</v>
      </c>
      <c r="M2830" s="4">
        <v>0</v>
      </c>
      <c r="N2830" s="4">
        <v>0</v>
      </c>
      <c r="O2830" s="4">
        <v>0</v>
      </c>
      <c r="P2830" s="4">
        <v>0</v>
      </c>
      <c r="Q2830" s="4">
        <v>0</v>
      </c>
      <c r="S2830" s="8">
        <f t="shared" si="132"/>
        <v>0</v>
      </c>
      <c r="T2830" s="8">
        <f t="shared" si="133"/>
        <v>0</v>
      </c>
      <c r="U2830" s="9" t="e">
        <f t="shared" si="134"/>
        <v>#DIV/0!</v>
      </c>
    </row>
    <row r="2831" spans="1:21" outlineLevel="2">
      <c r="A2831" t="s">
        <v>662</v>
      </c>
      <c r="B2831" t="s">
        <v>663</v>
      </c>
      <c r="C2831" t="s">
        <v>180</v>
      </c>
      <c r="D2831" t="s">
        <v>181</v>
      </c>
      <c r="E2831" s="4">
        <v>0</v>
      </c>
      <c r="F2831" s="4">
        <v>0</v>
      </c>
      <c r="G2831" s="4">
        <v>0</v>
      </c>
      <c r="H2831" s="4">
        <v>0</v>
      </c>
      <c r="I2831" s="4">
        <v>192.06</v>
      </c>
      <c r="J2831" s="4">
        <v>0</v>
      </c>
      <c r="K2831" s="4">
        <v>0</v>
      </c>
      <c r="L2831" s="4">
        <v>1081.6299999999999</v>
      </c>
      <c r="M2831" s="4">
        <v>446.02</v>
      </c>
      <c r="N2831" s="4">
        <v>0</v>
      </c>
      <c r="O2831" s="4">
        <v>-6.09</v>
      </c>
      <c r="P2831" s="4">
        <v>0</v>
      </c>
      <c r="Q2831" s="4">
        <v>0</v>
      </c>
      <c r="S2831" s="8">
        <f t="shared" si="132"/>
        <v>253.59333333333333</v>
      </c>
      <c r="T2831" s="8">
        <f t="shared" si="133"/>
        <v>-253.59333333333333</v>
      </c>
      <c r="U2831" s="9">
        <f t="shared" si="134"/>
        <v>-1</v>
      </c>
    </row>
    <row r="2832" spans="1:21" outlineLevel="2">
      <c r="A2832" t="s">
        <v>662</v>
      </c>
      <c r="B2832" t="s">
        <v>663</v>
      </c>
      <c r="C2832" t="s">
        <v>614</v>
      </c>
      <c r="D2832" t="s">
        <v>615</v>
      </c>
      <c r="E2832" s="4">
        <v>227.12</v>
      </c>
      <c r="F2832" s="4">
        <v>479.96</v>
      </c>
      <c r="G2832" s="4">
        <v>422.44</v>
      </c>
      <c r="H2832" s="4">
        <v>278.52999999999997</v>
      </c>
      <c r="I2832" s="4">
        <v>369.6</v>
      </c>
      <c r="J2832" s="4">
        <v>404.24</v>
      </c>
      <c r="K2832" s="4">
        <v>404.24</v>
      </c>
      <c r="L2832" s="4">
        <v>415.38</v>
      </c>
      <c r="M2832" s="4">
        <v>349.92</v>
      </c>
      <c r="N2832" s="4">
        <v>302.64</v>
      </c>
      <c r="O2832" s="4">
        <v>368.16</v>
      </c>
      <c r="P2832" s="4">
        <v>255.68</v>
      </c>
      <c r="Q2832" s="4">
        <v>246.16</v>
      </c>
      <c r="R2832" s="4">
        <v>297.92</v>
      </c>
      <c r="S2832" s="8">
        <f t="shared" si="132"/>
        <v>322.99000000000007</v>
      </c>
      <c r="T2832" s="8">
        <f t="shared" si="133"/>
        <v>-25.07000000000005</v>
      </c>
      <c r="U2832" s="9">
        <f t="shared" si="134"/>
        <v>-7.7618502120808827E-2</v>
      </c>
    </row>
    <row r="2833" spans="1:22" outlineLevel="2">
      <c r="A2833" t="s">
        <v>662</v>
      </c>
      <c r="B2833" t="s">
        <v>663</v>
      </c>
      <c r="C2833" t="s">
        <v>47</v>
      </c>
      <c r="D2833" t="s">
        <v>48</v>
      </c>
      <c r="E2833" s="4">
        <v>-13791.989999999998</v>
      </c>
      <c r="F2833" s="4">
        <v>10700.22</v>
      </c>
      <c r="G2833" s="4">
        <v>-195.7999999999989</v>
      </c>
      <c r="H2833" s="4">
        <v>5468.95</v>
      </c>
      <c r="I2833" s="4">
        <v>5636.53</v>
      </c>
      <c r="J2833" s="4">
        <v>5342.7800000000007</v>
      </c>
      <c r="K2833" s="4">
        <v>5050.5999999999995</v>
      </c>
      <c r="L2833" s="4">
        <v>5330.239999999998</v>
      </c>
      <c r="M2833" s="4">
        <v>6433.4699999999993</v>
      </c>
      <c r="N2833" s="4">
        <v>5338.4599999999991</v>
      </c>
      <c r="O2833" s="4">
        <v>5317.2</v>
      </c>
      <c r="P2833" s="4">
        <v>5317.1600000000008</v>
      </c>
      <c r="Q2833" s="4">
        <v>5625.0199999999995</v>
      </c>
      <c r="R2833" s="4">
        <v>4969.38</v>
      </c>
      <c r="S2833" s="8">
        <f t="shared" si="132"/>
        <v>5560.2583333333323</v>
      </c>
      <c r="T2833" s="8">
        <f t="shared" si="133"/>
        <v>-590.87833333333219</v>
      </c>
      <c r="U2833" s="9">
        <f t="shared" si="134"/>
        <v>-0.10626814401609019</v>
      </c>
    </row>
    <row r="2834" spans="1:22" outlineLevel="2">
      <c r="A2834" t="s">
        <v>662</v>
      </c>
      <c r="B2834" t="s">
        <v>663</v>
      </c>
      <c r="C2834" t="s">
        <v>49</v>
      </c>
      <c r="D2834" t="s">
        <v>50</v>
      </c>
      <c r="E2834" s="4">
        <v>12479.869999999999</v>
      </c>
      <c r="F2834" s="4">
        <v>80.22</v>
      </c>
      <c r="G2834" s="4">
        <v>10553.160000000002</v>
      </c>
      <c r="H2834" s="4">
        <v>-1888.5899999999992</v>
      </c>
      <c r="I2834" s="4">
        <v>4942.7300000000005</v>
      </c>
      <c r="J2834" s="4">
        <v>5159.4199999999992</v>
      </c>
      <c r="K2834" s="4">
        <v>5355.77</v>
      </c>
      <c r="L2834" s="4">
        <v>4986.5999999999995</v>
      </c>
      <c r="M2834" s="4">
        <v>10820.27</v>
      </c>
      <c r="N2834" s="4">
        <v>5862.94</v>
      </c>
      <c r="O2834" s="4">
        <v>14251.240000000002</v>
      </c>
      <c r="P2834" s="4">
        <v>321.72000000000003</v>
      </c>
      <c r="Q2834" s="4">
        <v>0</v>
      </c>
      <c r="R2834" s="4">
        <v>6514.7899999999991</v>
      </c>
      <c r="S2834" s="8">
        <f t="shared" si="132"/>
        <v>6040.461666666667</v>
      </c>
      <c r="T2834" s="8">
        <f t="shared" si="133"/>
        <v>474.32833333333201</v>
      </c>
      <c r="U2834" s="9">
        <f t="shared" si="134"/>
        <v>7.8525178952933011E-2</v>
      </c>
    </row>
    <row r="2835" spans="1:22" outlineLevel="2">
      <c r="A2835" t="s">
        <v>662</v>
      </c>
      <c r="B2835" t="s">
        <v>663</v>
      </c>
      <c r="C2835" t="s">
        <v>51</v>
      </c>
      <c r="D2835" t="s">
        <v>52</v>
      </c>
      <c r="E2835" s="4">
        <v>7718.33</v>
      </c>
      <c r="F2835" s="4">
        <v>7718.33</v>
      </c>
      <c r="G2835" s="4">
        <v>7718.33</v>
      </c>
      <c r="H2835" s="4">
        <v>7718.33</v>
      </c>
      <c r="I2835" s="4">
        <v>7718.33</v>
      </c>
      <c r="J2835" s="4">
        <v>48400.639999999985</v>
      </c>
      <c r="K2835" s="4">
        <v>11696.94</v>
      </c>
      <c r="L2835" s="4">
        <v>11696.980000000001</v>
      </c>
      <c r="M2835" s="4">
        <v>11696.94</v>
      </c>
      <c r="N2835" s="4">
        <v>13762.92</v>
      </c>
      <c r="O2835" s="4">
        <v>11696.94</v>
      </c>
      <c r="P2835" s="4">
        <v>11696.94</v>
      </c>
      <c r="Q2835" s="4">
        <v>0</v>
      </c>
      <c r="R2835" s="4">
        <v>11696.94</v>
      </c>
      <c r="S2835" s="8">
        <f t="shared" si="132"/>
        <v>10091.786666666669</v>
      </c>
      <c r="T2835" s="8">
        <f t="shared" si="133"/>
        <v>1605.1533333333318</v>
      </c>
      <c r="U2835" s="9">
        <f t="shared" si="134"/>
        <v>0.15905541668208056</v>
      </c>
    </row>
    <row r="2836" spans="1:22" outlineLevel="2">
      <c r="A2836" t="s">
        <v>662</v>
      </c>
      <c r="B2836" t="s">
        <v>663</v>
      </c>
      <c r="C2836" t="s">
        <v>63</v>
      </c>
      <c r="D2836" t="s">
        <v>64</v>
      </c>
      <c r="E2836" s="4">
        <v>2099.92</v>
      </c>
      <c r="F2836" s="4">
        <v>3002.89</v>
      </c>
      <c r="G2836" s="4">
        <v>114.6</v>
      </c>
      <c r="H2836" s="4">
        <v>6409.9800000000005</v>
      </c>
      <c r="I2836" s="4">
        <v>224.29999999999998</v>
      </c>
      <c r="J2836" s="4">
        <v>6546.5599999999995</v>
      </c>
      <c r="K2836" s="4">
        <v>20480.439999999999</v>
      </c>
      <c r="L2836" s="4">
        <v>-95.110000000000014</v>
      </c>
      <c r="M2836" s="4">
        <v>3592.01</v>
      </c>
      <c r="N2836" s="4">
        <v>13276.600000000002</v>
      </c>
      <c r="O2836" s="4">
        <v>3547.2200000000003</v>
      </c>
      <c r="P2836" s="4">
        <v>2305.13</v>
      </c>
      <c r="Q2836" s="4">
        <v>9288.5300000000007</v>
      </c>
      <c r="R2836" s="4">
        <v>-4138.0399999999991</v>
      </c>
      <c r="S2836" s="8">
        <f t="shared" si="132"/>
        <v>5319.0633333333344</v>
      </c>
      <c r="T2836" s="8">
        <f t="shared" si="133"/>
        <v>-9457.1033333333326</v>
      </c>
      <c r="U2836" s="9">
        <f t="shared" si="134"/>
        <v>-1.7779640400346171</v>
      </c>
    </row>
    <row r="2837" spans="1:22" outlineLevel="2">
      <c r="A2837" t="s">
        <v>662</v>
      </c>
      <c r="B2837" t="s">
        <v>663</v>
      </c>
      <c r="C2837" t="s">
        <v>83</v>
      </c>
      <c r="D2837" t="s">
        <v>84</v>
      </c>
      <c r="E2837" s="4">
        <v>185.84</v>
      </c>
      <c r="F2837" s="4">
        <v>0</v>
      </c>
      <c r="G2837" s="4">
        <v>0</v>
      </c>
      <c r="H2837" s="4">
        <v>0</v>
      </c>
      <c r="I2837" s="4">
        <v>0</v>
      </c>
      <c r="J2837" s="4">
        <v>0</v>
      </c>
      <c r="K2837" s="4">
        <v>0</v>
      </c>
      <c r="L2837" s="4">
        <v>0</v>
      </c>
      <c r="M2837" s="4">
        <v>0</v>
      </c>
      <c r="N2837" s="4">
        <v>0</v>
      </c>
      <c r="O2837" s="4">
        <v>0</v>
      </c>
      <c r="P2837" s="4">
        <v>0</v>
      </c>
      <c r="Q2837" s="4">
        <v>0</v>
      </c>
      <c r="R2837" s="4">
        <v>23.96</v>
      </c>
      <c r="S2837" s="8">
        <f t="shared" si="132"/>
        <v>0</v>
      </c>
      <c r="T2837" s="8">
        <f t="shared" si="133"/>
        <v>23.96</v>
      </c>
      <c r="U2837" s="9" t="e">
        <f t="shared" si="134"/>
        <v>#DIV/0!</v>
      </c>
      <c r="V2837" t="s">
        <v>895</v>
      </c>
    </row>
    <row r="2838" spans="1:22" outlineLevel="2">
      <c r="A2838" t="s">
        <v>662</v>
      </c>
      <c r="B2838" t="s">
        <v>663</v>
      </c>
      <c r="C2838" t="s">
        <v>166</v>
      </c>
      <c r="D2838" t="s">
        <v>167</v>
      </c>
      <c r="E2838" s="4">
        <v>1800.81</v>
      </c>
      <c r="F2838" s="4">
        <v>0</v>
      </c>
      <c r="G2838" s="4">
        <v>0</v>
      </c>
      <c r="H2838" s="4">
        <v>0</v>
      </c>
      <c r="I2838" s="4">
        <v>0</v>
      </c>
      <c r="J2838" s="4">
        <v>0</v>
      </c>
      <c r="K2838" s="4">
        <v>0</v>
      </c>
      <c r="L2838" s="4">
        <v>0</v>
      </c>
      <c r="M2838" s="4">
        <v>0</v>
      </c>
      <c r="N2838" s="4">
        <v>0</v>
      </c>
      <c r="O2838" s="4">
        <v>0</v>
      </c>
      <c r="P2838" s="4">
        <v>0</v>
      </c>
      <c r="Q2838" s="4">
        <v>0</v>
      </c>
      <c r="S2838" s="8">
        <f t="shared" si="132"/>
        <v>0</v>
      </c>
      <c r="T2838" s="8">
        <f t="shared" si="133"/>
        <v>0</v>
      </c>
      <c r="U2838" s="9" t="e">
        <f t="shared" si="134"/>
        <v>#DIV/0!</v>
      </c>
    </row>
    <row r="2839" spans="1:22" outlineLevel="2">
      <c r="A2839" t="s">
        <v>662</v>
      </c>
      <c r="B2839" t="s">
        <v>663</v>
      </c>
      <c r="C2839" t="s">
        <v>91</v>
      </c>
      <c r="D2839" t="s">
        <v>92</v>
      </c>
      <c r="E2839" s="4">
        <v>0</v>
      </c>
      <c r="F2839" s="4">
        <v>0</v>
      </c>
      <c r="G2839" s="4">
        <v>201.85000000000002</v>
      </c>
      <c r="H2839" s="4">
        <v>-5.8599999999999994</v>
      </c>
      <c r="I2839" s="4">
        <v>0</v>
      </c>
      <c r="J2839" s="4">
        <v>0</v>
      </c>
      <c r="K2839" s="4">
        <v>0</v>
      </c>
      <c r="L2839" s="4">
        <v>0</v>
      </c>
      <c r="M2839" s="4">
        <v>0</v>
      </c>
      <c r="N2839" s="4">
        <v>0</v>
      </c>
      <c r="O2839" s="4">
        <v>0</v>
      </c>
      <c r="P2839" s="4">
        <v>0</v>
      </c>
      <c r="Q2839" s="4">
        <v>0</v>
      </c>
      <c r="S2839" s="8">
        <f t="shared" si="132"/>
        <v>0</v>
      </c>
      <c r="T2839" s="8">
        <f t="shared" si="133"/>
        <v>0</v>
      </c>
      <c r="U2839" s="9" t="e">
        <f t="shared" si="134"/>
        <v>#DIV/0!</v>
      </c>
    </row>
    <row r="2840" spans="1:22" outlineLevel="2">
      <c r="A2840" t="s">
        <v>662</v>
      </c>
      <c r="B2840" t="s">
        <v>663</v>
      </c>
      <c r="C2840" t="s">
        <v>93</v>
      </c>
      <c r="D2840" t="s">
        <v>94</v>
      </c>
      <c r="E2840" s="4">
        <v>0</v>
      </c>
      <c r="F2840" s="4">
        <v>0</v>
      </c>
      <c r="G2840" s="4">
        <v>872.52</v>
      </c>
      <c r="H2840" s="4">
        <v>0</v>
      </c>
      <c r="I2840" s="4">
        <v>0</v>
      </c>
      <c r="J2840" s="4">
        <v>2315.25</v>
      </c>
      <c r="K2840" s="4">
        <v>0</v>
      </c>
      <c r="L2840" s="4">
        <v>0</v>
      </c>
      <c r="M2840" s="4">
        <v>0</v>
      </c>
      <c r="N2840" s="4">
        <v>0</v>
      </c>
      <c r="O2840" s="4">
        <v>0</v>
      </c>
      <c r="P2840" s="4">
        <v>0</v>
      </c>
      <c r="Q2840" s="4">
        <v>0</v>
      </c>
      <c r="S2840" s="8">
        <f t="shared" si="132"/>
        <v>0</v>
      </c>
      <c r="T2840" s="8">
        <f t="shared" si="133"/>
        <v>0</v>
      </c>
      <c r="U2840" s="9" t="e">
        <f t="shared" si="134"/>
        <v>#DIV/0!</v>
      </c>
    </row>
    <row r="2841" spans="1:22" outlineLevel="2">
      <c r="A2841" t="s">
        <v>662</v>
      </c>
      <c r="B2841" t="s">
        <v>663</v>
      </c>
      <c r="C2841" t="s">
        <v>99</v>
      </c>
      <c r="D2841" t="s">
        <v>100</v>
      </c>
      <c r="E2841" s="4">
        <v>0</v>
      </c>
      <c r="F2841" s="4">
        <v>0</v>
      </c>
      <c r="G2841" s="4">
        <v>0</v>
      </c>
      <c r="H2841" s="4">
        <v>8744.880000000001</v>
      </c>
      <c r="I2841" s="4">
        <v>0</v>
      </c>
      <c r="J2841" s="4">
        <v>5237.42</v>
      </c>
      <c r="K2841" s="4">
        <v>0</v>
      </c>
      <c r="L2841" s="4">
        <v>7665.9299999999994</v>
      </c>
      <c r="M2841" s="4">
        <v>0</v>
      </c>
      <c r="N2841" s="4">
        <v>6723.18</v>
      </c>
      <c r="O2841" s="4">
        <v>3429.4700000000003</v>
      </c>
      <c r="P2841" s="4">
        <v>3032.4</v>
      </c>
      <c r="Q2841" s="4">
        <v>3623.72</v>
      </c>
      <c r="S2841" s="8">
        <f t="shared" si="132"/>
        <v>4079.1166666666672</v>
      </c>
      <c r="T2841" s="8">
        <f t="shared" si="133"/>
        <v>-4079.1166666666672</v>
      </c>
      <c r="U2841" s="9">
        <f t="shared" si="134"/>
        <v>-1</v>
      </c>
    </row>
    <row r="2842" spans="1:22" outlineLevel="2">
      <c r="A2842" t="s">
        <v>662</v>
      </c>
      <c r="B2842" t="s">
        <v>663</v>
      </c>
      <c r="C2842" t="s">
        <v>101</v>
      </c>
      <c r="D2842" t="s">
        <v>102</v>
      </c>
      <c r="E2842" s="4">
        <v>0</v>
      </c>
      <c r="F2842" s="4">
        <v>0</v>
      </c>
      <c r="G2842" s="4">
        <v>72279.83</v>
      </c>
      <c r="H2842" s="4">
        <v>-1971.7399999999998</v>
      </c>
      <c r="I2842" s="4">
        <v>0</v>
      </c>
      <c r="J2842" s="4">
        <v>0</v>
      </c>
      <c r="K2842" s="4">
        <v>0</v>
      </c>
      <c r="L2842" s="4">
        <v>-32.42</v>
      </c>
      <c r="M2842" s="4">
        <v>0</v>
      </c>
      <c r="N2842" s="4">
        <v>0</v>
      </c>
      <c r="O2842" s="4">
        <v>0</v>
      </c>
      <c r="P2842" s="4">
        <v>0</v>
      </c>
      <c r="Q2842" s="4">
        <v>535.70000000000005</v>
      </c>
      <c r="S2842" s="8">
        <f t="shared" si="132"/>
        <v>83.88000000000001</v>
      </c>
      <c r="T2842" s="8">
        <f t="shared" si="133"/>
        <v>-83.88000000000001</v>
      </c>
      <c r="U2842" s="9">
        <f t="shared" si="134"/>
        <v>-1</v>
      </c>
    </row>
    <row r="2843" spans="1:22" outlineLevel="2">
      <c r="A2843" t="s">
        <v>662</v>
      </c>
      <c r="B2843" t="s">
        <v>663</v>
      </c>
      <c r="C2843" t="s">
        <v>127</v>
      </c>
      <c r="D2843" t="s">
        <v>120</v>
      </c>
      <c r="E2843" s="4">
        <v>0</v>
      </c>
      <c r="F2843" s="4">
        <v>0</v>
      </c>
      <c r="G2843" s="4">
        <v>0</v>
      </c>
      <c r="H2843" s="4">
        <v>0</v>
      </c>
      <c r="I2843" s="4">
        <v>0</v>
      </c>
      <c r="J2843" s="4">
        <v>0</v>
      </c>
      <c r="K2843" s="4">
        <v>0</v>
      </c>
      <c r="L2843" s="4">
        <v>30.12</v>
      </c>
      <c r="M2843" s="4">
        <v>0</v>
      </c>
      <c r="N2843" s="4">
        <v>0</v>
      </c>
      <c r="O2843" s="4">
        <v>0</v>
      </c>
      <c r="P2843" s="4">
        <v>0</v>
      </c>
      <c r="Q2843" s="4">
        <v>0</v>
      </c>
      <c r="S2843" s="8">
        <f t="shared" si="132"/>
        <v>5.0200000000000005</v>
      </c>
      <c r="T2843" s="8">
        <f t="shared" si="133"/>
        <v>-5.0200000000000005</v>
      </c>
      <c r="U2843" s="9">
        <f t="shared" si="134"/>
        <v>-1</v>
      </c>
    </row>
    <row r="2844" spans="1:22" outlineLevel="1">
      <c r="A2844" s="1" t="s">
        <v>878</v>
      </c>
      <c r="E2844" s="4">
        <f>SUBTOTAL(9,E2826:E2843)</f>
        <v>18851.240000000005</v>
      </c>
      <c r="F2844" s="4">
        <f>SUBTOTAL(9,F2826:F2843)</f>
        <v>22441.62</v>
      </c>
      <c r="G2844" s="4">
        <f>SUBTOTAL(9,G2826:G2843)</f>
        <v>91966.930000000008</v>
      </c>
      <c r="H2844" s="4">
        <f>SUBTOTAL(9,H2826:H2843)</f>
        <v>26091.520000000004</v>
      </c>
      <c r="I2844" s="4">
        <f>SUBTOTAL(9,I2826:I2843)</f>
        <v>19083.549999999992</v>
      </c>
      <c r="J2844" s="4">
        <f>SUBTOTAL(9,J2826:J2843)</f>
        <v>94165.209999999977</v>
      </c>
      <c r="K2844" s="4">
        <f>SUBTOTAL(9,K2826:K2843)</f>
        <v>43504.95</v>
      </c>
      <c r="L2844" s="4">
        <f>SUBTOTAL(9,L2826:L2843)</f>
        <v>15141.179999999997</v>
      </c>
      <c r="M2844" s="4">
        <f>SUBTOTAL(9,M2826:M2843)</f>
        <v>41555.47</v>
      </c>
      <c r="N2844" s="4">
        <f>SUBTOTAL(9,N2826:N2843)</f>
        <v>51186.140000000007</v>
      </c>
      <c r="O2844" s="4">
        <f>SUBTOTAL(9,O2826:O2843)</f>
        <v>41788.000000000007</v>
      </c>
      <c r="P2844" s="4">
        <f>SUBTOTAL(9,P2826:P2843)</f>
        <v>35365.03</v>
      </c>
      <c r="Q2844" s="4">
        <f>SUBTOTAL(9,Q2826:Q2843)</f>
        <v>36397.07</v>
      </c>
      <c r="R2844" s="4">
        <f>SUBTOTAL(9,R2826:R2843)</f>
        <v>34891.53</v>
      </c>
      <c r="S2844" s="8">
        <f t="shared" si="132"/>
        <v>36905.481666666667</v>
      </c>
      <c r="T2844" s="8">
        <f t="shared" si="133"/>
        <v>-2013.9516666666677</v>
      </c>
      <c r="U2844" s="9">
        <f t="shared" si="134"/>
        <v>-5.4570529247032845E-2</v>
      </c>
      <c r="V2844" t="s">
        <v>895</v>
      </c>
    </row>
    <row r="2845" spans="1:22" outlineLevel="2">
      <c r="A2845" t="s">
        <v>664</v>
      </c>
      <c r="B2845" t="s">
        <v>665</v>
      </c>
      <c r="C2845" t="s">
        <v>19</v>
      </c>
      <c r="D2845" t="s">
        <v>20</v>
      </c>
      <c r="E2845" s="4">
        <v>0</v>
      </c>
      <c r="F2845" s="4">
        <v>0</v>
      </c>
      <c r="G2845" s="4">
        <v>0</v>
      </c>
      <c r="H2845" s="4">
        <v>0</v>
      </c>
      <c r="I2845" s="4">
        <v>10168.89</v>
      </c>
      <c r="J2845" s="4">
        <v>0</v>
      </c>
      <c r="K2845" s="4">
        <v>0</v>
      </c>
      <c r="L2845" s="4">
        <v>-10168.89</v>
      </c>
      <c r="M2845" s="4">
        <v>0</v>
      </c>
      <c r="N2845" s="4">
        <v>0</v>
      </c>
      <c r="O2845" s="4">
        <v>0</v>
      </c>
      <c r="P2845" s="4">
        <v>0</v>
      </c>
      <c r="Q2845" s="4">
        <v>0</v>
      </c>
      <c r="S2845" s="8">
        <f t="shared" si="132"/>
        <v>-1694.8149999999998</v>
      </c>
      <c r="T2845" s="8">
        <f t="shared" si="133"/>
        <v>1694.8149999999998</v>
      </c>
      <c r="U2845" s="9">
        <f t="shared" si="134"/>
        <v>-1</v>
      </c>
    </row>
    <row r="2846" spans="1:22" outlineLevel="2">
      <c r="A2846" t="s">
        <v>664</v>
      </c>
      <c r="B2846" t="s">
        <v>665</v>
      </c>
      <c r="C2846" t="s">
        <v>21</v>
      </c>
      <c r="D2846" t="s">
        <v>22</v>
      </c>
      <c r="E2846" s="4">
        <v>814.61999999999989</v>
      </c>
      <c r="F2846" s="4">
        <v>1045.9100000000001</v>
      </c>
      <c r="G2846" s="4">
        <v>3331.0699999999993</v>
      </c>
      <c r="H2846" s="4">
        <v>2306.29</v>
      </c>
      <c r="I2846" s="4">
        <v>2075.6599999999994</v>
      </c>
      <c r="J2846" s="4">
        <v>2033.4900000000002</v>
      </c>
      <c r="K2846" s="4">
        <v>762.99000000000012</v>
      </c>
      <c r="L2846" s="4">
        <v>774.86</v>
      </c>
      <c r="M2846" s="4">
        <v>582.56999999999994</v>
      </c>
      <c r="N2846" s="4">
        <v>0</v>
      </c>
      <c r="O2846" s="4">
        <v>-4.5474735088646412E-13</v>
      </c>
      <c r="P2846" s="4">
        <v>0</v>
      </c>
      <c r="Q2846" s="4">
        <v>1.0658141036401503E-14</v>
      </c>
      <c r="S2846" s="8">
        <f t="shared" si="132"/>
        <v>226.23833333333323</v>
      </c>
      <c r="T2846" s="8">
        <f t="shared" si="133"/>
        <v>-226.23833333333323</v>
      </c>
      <c r="U2846" s="9">
        <f t="shared" si="134"/>
        <v>-1</v>
      </c>
    </row>
    <row r="2847" spans="1:22" outlineLevel="2">
      <c r="A2847" t="s">
        <v>664</v>
      </c>
      <c r="B2847" t="s">
        <v>665</v>
      </c>
      <c r="C2847" t="s">
        <v>23</v>
      </c>
      <c r="D2847" t="s">
        <v>24</v>
      </c>
      <c r="E2847" s="4">
        <v>2838.2000000000007</v>
      </c>
      <c r="F2847" s="4">
        <v>3841.400000000001</v>
      </c>
      <c r="G2847" s="4">
        <v>11653.84</v>
      </c>
      <c r="H2847" s="4">
        <v>8526.7699999999968</v>
      </c>
      <c r="I2847" s="4">
        <v>8684.8700000000026</v>
      </c>
      <c r="J2847" s="4">
        <v>5319.7700000000013</v>
      </c>
      <c r="K2847" s="4">
        <v>6377.9699999999975</v>
      </c>
      <c r="L2847" s="4">
        <v>2834.3099999999995</v>
      </c>
      <c r="M2847" s="4">
        <v>833.78</v>
      </c>
      <c r="N2847" s="4">
        <v>-2.2737367544323206E-13</v>
      </c>
      <c r="O2847" s="4">
        <v>0</v>
      </c>
      <c r="P2847" s="4">
        <v>-5.6843418860808015E-14</v>
      </c>
      <c r="Q2847" s="4">
        <v>0</v>
      </c>
      <c r="S2847" s="8">
        <f t="shared" si="132"/>
        <v>611.34833333333324</v>
      </c>
      <c r="T2847" s="8">
        <f t="shared" si="133"/>
        <v>-611.34833333333324</v>
      </c>
      <c r="U2847" s="9">
        <f t="shared" si="134"/>
        <v>-1</v>
      </c>
    </row>
    <row r="2848" spans="1:22" outlineLevel="2">
      <c r="A2848" t="s">
        <v>664</v>
      </c>
      <c r="B2848" t="s">
        <v>665</v>
      </c>
      <c r="C2848" t="s">
        <v>25</v>
      </c>
      <c r="D2848" t="s">
        <v>26</v>
      </c>
      <c r="E2848" s="4">
        <v>0</v>
      </c>
      <c r="F2848" s="4">
        <v>0</v>
      </c>
      <c r="G2848" s="4">
        <v>0</v>
      </c>
      <c r="H2848" s="4">
        <v>0</v>
      </c>
      <c r="I2848" s="4">
        <v>0</v>
      </c>
      <c r="J2848" s="4">
        <v>0</v>
      </c>
      <c r="K2848" s="4">
        <v>0</v>
      </c>
      <c r="L2848" s="4">
        <v>0</v>
      </c>
      <c r="M2848" s="4">
        <v>1783.28</v>
      </c>
      <c r="N2848" s="4">
        <v>-9.0949470177292824E-13</v>
      </c>
      <c r="O2848" s="4">
        <v>-1.8189894035458565E-12</v>
      </c>
      <c r="P2848" s="4">
        <v>-2.2737367544323206E-13</v>
      </c>
      <c r="Q2848" s="4">
        <v>-1.1013412404281553E-13</v>
      </c>
      <c r="S2848" s="8">
        <f t="shared" si="132"/>
        <v>297.21333333333286</v>
      </c>
      <c r="T2848" s="8">
        <f t="shared" si="133"/>
        <v>-297.21333333333286</v>
      </c>
      <c r="U2848" s="9">
        <f t="shared" si="134"/>
        <v>-1</v>
      </c>
    </row>
    <row r="2849" spans="1:21" outlineLevel="2">
      <c r="A2849" t="s">
        <v>664</v>
      </c>
      <c r="B2849" t="s">
        <v>665</v>
      </c>
      <c r="C2849" t="s">
        <v>27</v>
      </c>
      <c r="D2849" t="s">
        <v>28</v>
      </c>
      <c r="E2849" s="4">
        <v>0</v>
      </c>
      <c r="F2849" s="4">
        <v>0</v>
      </c>
      <c r="G2849" s="4">
        <v>0</v>
      </c>
      <c r="H2849" s="4">
        <v>0</v>
      </c>
      <c r="I2849" s="4">
        <v>0</v>
      </c>
      <c r="J2849" s="4">
        <v>0</v>
      </c>
      <c r="K2849" s="4">
        <v>0</v>
      </c>
      <c r="L2849" s="4">
        <v>0</v>
      </c>
      <c r="M2849" s="4">
        <v>2416.6</v>
      </c>
      <c r="N2849" s="4">
        <v>0</v>
      </c>
      <c r="O2849" s="4">
        <v>0</v>
      </c>
      <c r="P2849" s="4">
        <v>0</v>
      </c>
      <c r="Q2849" s="4">
        <v>0</v>
      </c>
      <c r="S2849" s="8">
        <f t="shared" si="132"/>
        <v>402.76666666666665</v>
      </c>
      <c r="T2849" s="8">
        <f t="shared" si="133"/>
        <v>-402.76666666666665</v>
      </c>
      <c r="U2849" s="9">
        <f t="shared" si="134"/>
        <v>-1</v>
      </c>
    </row>
    <row r="2850" spans="1:21" outlineLevel="2">
      <c r="A2850" t="s">
        <v>664</v>
      </c>
      <c r="B2850" t="s">
        <v>665</v>
      </c>
      <c r="C2850" t="s">
        <v>33</v>
      </c>
      <c r="D2850" t="s">
        <v>34</v>
      </c>
      <c r="E2850" s="4">
        <v>0</v>
      </c>
      <c r="F2850" s="4">
        <v>659</v>
      </c>
      <c r="G2850" s="4">
        <v>0</v>
      </c>
      <c r="H2850" s="4">
        <v>1485</v>
      </c>
      <c r="I2850" s="4">
        <v>701.63</v>
      </c>
      <c r="J2850" s="4">
        <v>0</v>
      </c>
      <c r="K2850" s="4">
        <v>1906.17</v>
      </c>
      <c r="L2850" s="4">
        <v>0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S2850" s="8">
        <f t="shared" si="132"/>
        <v>0</v>
      </c>
      <c r="T2850" s="8">
        <f t="shared" si="133"/>
        <v>0</v>
      </c>
      <c r="U2850" s="9" t="e">
        <f t="shared" si="134"/>
        <v>#DIV/0!</v>
      </c>
    </row>
    <row r="2851" spans="1:21" outlineLevel="2">
      <c r="A2851" t="s">
        <v>664</v>
      </c>
      <c r="B2851" t="s">
        <v>665</v>
      </c>
      <c r="C2851" t="s">
        <v>156</v>
      </c>
      <c r="D2851" t="s">
        <v>157</v>
      </c>
      <c r="E2851" s="4">
        <v>0</v>
      </c>
      <c r="F2851" s="4">
        <v>317.23</v>
      </c>
      <c r="G2851" s="4">
        <v>0</v>
      </c>
      <c r="H2851" s="4">
        <v>0</v>
      </c>
      <c r="I2851" s="4">
        <v>0</v>
      </c>
      <c r="J2851" s="4">
        <v>0</v>
      </c>
      <c r="K2851" s="4">
        <v>0</v>
      </c>
      <c r="L2851" s="4">
        <v>0</v>
      </c>
      <c r="M2851" s="4">
        <v>0</v>
      </c>
      <c r="N2851" s="4">
        <v>0</v>
      </c>
      <c r="O2851" s="4">
        <v>0</v>
      </c>
      <c r="P2851" s="4">
        <v>0</v>
      </c>
      <c r="Q2851" s="4">
        <v>0</v>
      </c>
      <c r="S2851" s="8">
        <f t="shared" si="132"/>
        <v>0</v>
      </c>
      <c r="T2851" s="8">
        <f t="shared" si="133"/>
        <v>0</v>
      </c>
      <c r="U2851" s="9" t="e">
        <f t="shared" si="134"/>
        <v>#DIV/0!</v>
      </c>
    </row>
    <row r="2852" spans="1:21" outlineLevel="2">
      <c r="A2852" t="s">
        <v>664</v>
      </c>
      <c r="B2852" t="s">
        <v>665</v>
      </c>
      <c r="C2852" t="s">
        <v>304</v>
      </c>
      <c r="D2852" t="s">
        <v>305</v>
      </c>
      <c r="E2852" s="4">
        <v>32929.25</v>
      </c>
      <c r="F2852" s="4">
        <v>0</v>
      </c>
      <c r="G2852" s="4">
        <v>1844</v>
      </c>
      <c r="H2852" s="4">
        <v>0</v>
      </c>
      <c r="I2852" s="4">
        <v>1186</v>
      </c>
      <c r="J2852" s="4">
        <v>6900</v>
      </c>
      <c r="K2852" s="4">
        <v>0</v>
      </c>
      <c r="L2852" s="4">
        <v>0</v>
      </c>
      <c r="M2852" s="4">
        <v>25125</v>
      </c>
      <c r="N2852" s="4">
        <v>0</v>
      </c>
      <c r="O2852" s="4">
        <v>0</v>
      </c>
      <c r="P2852" s="4">
        <v>0</v>
      </c>
      <c r="Q2852" s="4">
        <v>3.637978807091713E-12</v>
      </c>
      <c r="R2852" s="4">
        <v>4152.74</v>
      </c>
      <c r="S2852" s="8">
        <f t="shared" si="132"/>
        <v>4187.5000000000009</v>
      </c>
      <c r="T2852" s="8">
        <f t="shared" si="133"/>
        <v>-34.760000000001128</v>
      </c>
      <c r="U2852" s="9">
        <f t="shared" si="134"/>
        <v>-8.3008955223883279E-3</v>
      </c>
    </row>
    <row r="2853" spans="1:21" outlineLevel="2">
      <c r="A2853" t="s">
        <v>664</v>
      </c>
      <c r="B2853" t="s">
        <v>665</v>
      </c>
      <c r="C2853" t="s">
        <v>180</v>
      </c>
      <c r="D2853" t="s">
        <v>181</v>
      </c>
      <c r="E2853" s="4">
        <v>0</v>
      </c>
      <c r="F2853" s="4">
        <v>0</v>
      </c>
      <c r="G2853" s="4">
        <v>0</v>
      </c>
      <c r="H2853" s="4">
        <v>449.35999999999996</v>
      </c>
      <c r="I2853" s="4">
        <v>101.64999999999999</v>
      </c>
      <c r="J2853" s="4">
        <v>0</v>
      </c>
      <c r="K2853" s="4">
        <v>0</v>
      </c>
      <c r="L2853" s="4">
        <v>1710</v>
      </c>
      <c r="M2853" s="4">
        <v>0</v>
      </c>
      <c r="N2853" s="4">
        <v>1.1368683772161603E-13</v>
      </c>
      <c r="O2853" s="4">
        <v>0</v>
      </c>
      <c r="P2853" s="4">
        <v>0</v>
      </c>
      <c r="Q2853" s="4">
        <v>0</v>
      </c>
      <c r="S2853" s="8">
        <f t="shared" si="132"/>
        <v>285</v>
      </c>
      <c r="T2853" s="8">
        <f t="shared" si="133"/>
        <v>-285</v>
      </c>
      <c r="U2853" s="9">
        <f t="shared" si="134"/>
        <v>-1</v>
      </c>
    </row>
    <row r="2854" spans="1:21" outlineLevel="2">
      <c r="A2854" t="s">
        <v>664</v>
      </c>
      <c r="B2854" t="s">
        <v>665</v>
      </c>
      <c r="C2854" t="s">
        <v>458</v>
      </c>
      <c r="D2854" t="s">
        <v>459</v>
      </c>
      <c r="E2854" s="4">
        <v>18.2</v>
      </c>
      <c r="F2854" s="4">
        <v>90.58</v>
      </c>
      <c r="G2854" s="4">
        <v>52.17</v>
      </c>
      <c r="H2854" s="4">
        <v>80.44</v>
      </c>
      <c r="I2854" s="4">
        <v>21.6</v>
      </c>
      <c r="J2854" s="4">
        <v>21.6</v>
      </c>
      <c r="K2854" s="4">
        <v>21.6</v>
      </c>
      <c r="L2854" s="4">
        <v>21.6</v>
      </c>
      <c r="M2854" s="4">
        <v>21.6</v>
      </c>
      <c r="N2854" s="4">
        <v>0</v>
      </c>
      <c r="O2854" s="4">
        <v>0</v>
      </c>
      <c r="P2854" s="4">
        <v>0</v>
      </c>
      <c r="Q2854" s="4">
        <v>0</v>
      </c>
      <c r="S2854" s="8">
        <f t="shared" si="132"/>
        <v>7.2</v>
      </c>
      <c r="T2854" s="8">
        <f t="shared" si="133"/>
        <v>-7.2</v>
      </c>
      <c r="U2854" s="9">
        <f t="shared" si="134"/>
        <v>-1</v>
      </c>
    </row>
    <row r="2855" spans="1:21" outlineLevel="2">
      <c r="A2855" t="s">
        <v>664</v>
      </c>
      <c r="B2855" t="s">
        <v>665</v>
      </c>
      <c r="C2855" t="s">
        <v>47</v>
      </c>
      <c r="D2855" t="s">
        <v>48</v>
      </c>
      <c r="E2855" s="4">
        <v>4131.34</v>
      </c>
      <c r="F2855" s="4">
        <v>3490.05</v>
      </c>
      <c r="G2855" s="4">
        <v>6014.07</v>
      </c>
      <c r="H2855" s="4">
        <v>5715.1200000000008</v>
      </c>
      <c r="I2855" s="4">
        <v>7273.7300000000005</v>
      </c>
      <c r="J2855" s="4">
        <v>5652.28</v>
      </c>
      <c r="K2855" s="4">
        <v>5010.9899999999989</v>
      </c>
      <c r="L2855" s="4">
        <v>7414.61</v>
      </c>
      <c r="M2855" s="4">
        <v>7650.7599999999984</v>
      </c>
      <c r="N2855" s="4">
        <v>-1.7053025658242404E-13</v>
      </c>
      <c r="O2855" s="4">
        <v>-9.0949470177292824E-13</v>
      </c>
      <c r="P2855" s="4">
        <v>4.5474735088646412E-13</v>
      </c>
      <c r="Q2855" s="4">
        <v>0</v>
      </c>
      <c r="S2855" s="8">
        <f t="shared" si="132"/>
        <v>2510.895</v>
      </c>
      <c r="T2855" s="8">
        <f t="shared" si="133"/>
        <v>-2510.895</v>
      </c>
      <c r="U2855" s="9">
        <f t="shared" si="134"/>
        <v>-1</v>
      </c>
    </row>
    <row r="2856" spans="1:21" outlineLevel="2">
      <c r="A2856" t="s">
        <v>664</v>
      </c>
      <c r="B2856" t="s">
        <v>665</v>
      </c>
      <c r="C2856" t="s">
        <v>49</v>
      </c>
      <c r="D2856" t="s">
        <v>50</v>
      </c>
      <c r="E2856" s="4">
        <v>1439.7</v>
      </c>
      <c r="F2856" s="4">
        <v>79.569999999999993</v>
      </c>
      <c r="G2856" s="4">
        <v>184.76</v>
      </c>
      <c r="H2856" s="4">
        <v>184.76</v>
      </c>
      <c r="I2856" s="4">
        <v>668.41</v>
      </c>
      <c r="J2856" s="4">
        <v>184.76</v>
      </c>
      <c r="K2856" s="4">
        <v>184.76</v>
      </c>
      <c r="L2856" s="4">
        <v>-3527.9100000000003</v>
      </c>
      <c r="M2856" s="4">
        <v>182.32</v>
      </c>
      <c r="N2856" s="4">
        <v>7.1054273576010019E-15</v>
      </c>
      <c r="O2856" s="4">
        <v>0</v>
      </c>
      <c r="P2856" s="4">
        <v>0</v>
      </c>
      <c r="Q2856" s="4">
        <v>-5.6843418860808015E-14</v>
      </c>
      <c r="S2856" s="8">
        <f t="shared" si="132"/>
        <v>-557.59833333333336</v>
      </c>
      <c r="T2856" s="8">
        <f t="shared" si="133"/>
        <v>557.59833333333336</v>
      </c>
      <c r="U2856" s="9">
        <f t="shared" si="134"/>
        <v>-1</v>
      </c>
    </row>
    <row r="2857" spans="1:21" outlineLevel="2">
      <c r="A2857" t="s">
        <v>664</v>
      </c>
      <c r="B2857" t="s">
        <v>665</v>
      </c>
      <c r="C2857" t="s">
        <v>51</v>
      </c>
      <c r="D2857" t="s">
        <v>52</v>
      </c>
      <c r="E2857" s="4">
        <v>0</v>
      </c>
      <c r="F2857" s="4">
        <v>0</v>
      </c>
      <c r="G2857" s="4">
        <v>0</v>
      </c>
      <c r="H2857" s="4">
        <v>1295</v>
      </c>
      <c r="I2857" s="4">
        <v>150.91</v>
      </c>
      <c r="J2857" s="4">
        <v>0</v>
      </c>
      <c r="K2857" s="4">
        <v>7.5</v>
      </c>
      <c r="L2857" s="4">
        <v>0</v>
      </c>
      <c r="M2857" s="4">
        <v>0</v>
      </c>
      <c r="N2857" s="4">
        <v>0</v>
      </c>
      <c r="O2857" s="4">
        <v>0</v>
      </c>
      <c r="P2857" s="4">
        <v>0</v>
      </c>
      <c r="Q2857" s="4">
        <v>0</v>
      </c>
      <c r="S2857" s="8">
        <f t="shared" si="132"/>
        <v>0</v>
      </c>
      <c r="T2857" s="8">
        <f t="shared" si="133"/>
        <v>0</v>
      </c>
      <c r="U2857" s="9" t="e">
        <f t="shared" si="134"/>
        <v>#DIV/0!</v>
      </c>
    </row>
    <row r="2858" spans="1:21" outlineLevel="2">
      <c r="A2858" t="s">
        <v>664</v>
      </c>
      <c r="B2858" t="s">
        <v>665</v>
      </c>
      <c r="C2858" t="s">
        <v>55</v>
      </c>
      <c r="D2858" t="s">
        <v>56</v>
      </c>
      <c r="E2858" s="4">
        <v>69.33</v>
      </c>
      <c r="F2858" s="4">
        <v>13.24</v>
      </c>
      <c r="G2858" s="4">
        <v>0</v>
      </c>
      <c r="H2858" s="4">
        <v>17.5</v>
      </c>
      <c r="I2858" s="4">
        <v>10</v>
      </c>
      <c r="J2858" s="4">
        <v>0</v>
      </c>
      <c r="K2858" s="4">
        <v>369.95</v>
      </c>
      <c r="L2858" s="4">
        <v>63.7</v>
      </c>
      <c r="M2858" s="4">
        <v>0</v>
      </c>
      <c r="N2858" s="4">
        <v>0</v>
      </c>
      <c r="O2858" s="4">
        <v>0</v>
      </c>
      <c r="P2858" s="4">
        <v>0</v>
      </c>
      <c r="Q2858" s="4">
        <v>0</v>
      </c>
      <c r="S2858" s="8">
        <f t="shared" si="132"/>
        <v>10.616666666666667</v>
      </c>
      <c r="T2858" s="8">
        <f t="shared" si="133"/>
        <v>-10.616666666666667</v>
      </c>
      <c r="U2858" s="9">
        <f t="shared" si="134"/>
        <v>-1</v>
      </c>
    </row>
    <row r="2859" spans="1:21" outlineLevel="2">
      <c r="A2859" t="s">
        <v>664</v>
      </c>
      <c r="B2859" t="s">
        <v>665</v>
      </c>
      <c r="C2859" t="s">
        <v>61</v>
      </c>
      <c r="D2859" t="s">
        <v>62</v>
      </c>
      <c r="E2859" s="4">
        <v>0</v>
      </c>
      <c r="F2859" s="4">
        <v>0</v>
      </c>
      <c r="G2859" s="4">
        <v>0</v>
      </c>
      <c r="H2859" s="4">
        <v>0</v>
      </c>
      <c r="I2859" s="4">
        <v>0</v>
      </c>
      <c r="J2859" s="4">
        <v>0</v>
      </c>
      <c r="K2859" s="4">
        <v>0</v>
      </c>
      <c r="L2859" s="4">
        <v>0</v>
      </c>
      <c r="M2859" s="4">
        <v>7227.04</v>
      </c>
      <c r="N2859" s="4">
        <v>0</v>
      </c>
      <c r="O2859" s="4">
        <v>0</v>
      </c>
      <c r="P2859" s="4">
        <v>0</v>
      </c>
      <c r="Q2859" s="4">
        <v>0</v>
      </c>
      <c r="S2859" s="8">
        <f t="shared" si="132"/>
        <v>1204.5066666666667</v>
      </c>
      <c r="T2859" s="8">
        <f t="shared" si="133"/>
        <v>-1204.5066666666667</v>
      </c>
      <c r="U2859" s="9">
        <f t="shared" si="134"/>
        <v>-1</v>
      </c>
    </row>
    <row r="2860" spans="1:21" outlineLevel="2">
      <c r="A2860" t="s">
        <v>664</v>
      </c>
      <c r="B2860" t="s">
        <v>665</v>
      </c>
      <c r="C2860" t="s">
        <v>196</v>
      </c>
      <c r="D2860" t="s">
        <v>197</v>
      </c>
      <c r="E2860" s="4">
        <v>0</v>
      </c>
      <c r="F2860" s="4">
        <v>0</v>
      </c>
      <c r="G2860" s="4">
        <v>0</v>
      </c>
      <c r="H2860" s="4">
        <v>0</v>
      </c>
      <c r="I2860" s="4">
        <v>0</v>
      </c>
      <c r="J2860" s="4">
        <v>10491.61</v>
      </c>
      <c r="K2860" s="4">
        <v>0</v>
      </c>
      <c r="L2860" s="4">
        <v>0</v>
      </c>
      <c r="M2860" s="4">
        <v>0</v>
      </c>
      <c r="N2860" s="4">
        <v>0</v>
      </c>
      <c r="O2860" s="4">
        <v>0</v>
      </c>
      <c r="P2860" s="4">
        <v>0</v>
      </c>
      <c r="Q2860" s="4">
        <v>0</v>
      </c>
      <c r="S2860" s="8">
        <f t="shared" si="132"/>
        <v>0</v>
      </c>
      <c r="T2860" s="8">
        <f t="shared" si="133"/>
        <v>0</v>
      </c>
      <c r="U2860" s="9" t="e">
        <f t="shared" si="134"/>
        <v>#DIV/0!</v>
      </c>
    </row>
    <row r="2861" spans="1:21" outlineLevel="2">
      <c r="A2861" t="s">
        <v>664</v>
      </c>
      <c r="B2861" t="s">
        <v>665</v>
      </c>
      <c r="C2861" t="s">
        <v>63</v>
      </c>
      <c r="D2861" t="s">
        <v>64</v>
      </c>
      <c r="E2861" s="4">
        <v>890.34</v>
      </c>
      <c r="F2861" s="4">
        <v>1959.29</v>
      </c>
      <c r="G2861" s="4">
        <v>626.95000000000005</v>
      </c>
      <c r="H2861" s="4">
        <v>4993.5599999999995</v>
      </c>
      <c r="I2861" s="4">
        <v>283.65000000000003</v>
      </c>
      <c r="J2861" s="4">
        <v>1686.4299999999998</v>
      </c>
      <c r="K2861" s="4">
        <v>12848.17</v>
      </c>
      <c r="L2861" s="4">
        <v>-1907.43</v>
      </c>
      <c r="M2861" s="4">
        <v>954.17</v>
      </c>
      <c r="N2861" s="4">
        <v>0</v>
      </c>
      <c r="O2861" s="4">
        <v>0</v>
      </c>
      <c r="P2861" s="4">
        <v>4.5474735088646412E-13</v>
      </c>
      <c r="Q2861" s="4">
        <v>0</v>
      </c>
      <c r="S2861" s="8">
        <f t="shared" si="132"/>
        <v>-158.87666666666661</v>
      </c>
      <c r="T2861" s="8">
        <f t="shared" si="133"/>
        <v>158.87666666666661</v>
      </c>
      <c r="U2861" s="9">
        <f t="shared" si="134"/>
        <v>-1</v>
      </c>
    </row>
    <row r="2862" spans="1:21" outlineLevel="2">
      <c r="A2862" t="s">
        <v>664</v>
      </c>
      <c r="B2862" t="s">
        <v>665</v>
      </c>
      <c r="C2862" t="s">
        <v>65</v>
      </c>
      <c r="D2862" t="s">
        <v>66</v>
      </c>
      <c r="E2862" s="4">
        <v>1433.19</v>
      </c>
      <c r="F2862" s="4">
        <v>0</v>
      </c>
      <c r="G2862" s="4">
        <v>0</v>
      </c>
      <c r="H2862" s="4">
        <v>142.66</v>
      </c>
      <c r="I2862" s="4">
        <v>0</v>
      </c>
      <c r="J2862" s="4">
        <v>0</v>
      </c>
      <c r="K2862" s="4">
        <v>0</v>
      </c>
      <c r="L2862" s="4">
        <v>0</v>
      </c>
      <c r="M2862" s="4">
        <v>0</v>
      </c>
      <c r="N2862" s="4">
        <v>0</v>
      </c>
      <c r="O2862" s="4">
        <v>0</v>
      </c>
      <c r="P2862" s="4">
        <v>0</v>
      </c>
      <c r="Q2862" s="4">
        <v>0</v>
      </c>
      <c r="S2862" s="8">
        <f t="shared" si="132"/>
        <v>0</v>
      </c>
      <c r="T2862" s="8">
        <f t="shared" si="133"/>
        <v>0</v>
      </c>
      <c r="U2862" s="9" t="e">
        <f t="shared" si="134"/>
        <v>#DIV/0!</v>
      </c>
    </row>
    <row r="2863" spans="1:21" outlineLevel="2">
      <c r="A2863" t="s">
        <v>664</v>
      </c>
      <c r="B2863" t="s">
        <v>665</v>
      </c>
      <c r="C2863" t="s">
        <v>81</v>
      </c>
      <c r="D2863" t="s">
        <v>82</v>
      </c>
      <c r="E2863" s="4">
        <v>90000</v>
      </c>
      <c r="F2863" s="4">
        <v>0</v>
      </c>
      <c r="G2863" s="4">
        <v>0</v>
      </c>
      <c r="H2863" s="4">
        <v>0</v>
      </c>
      <c r="I2863" s="4">
        <v>0</v>
      </c>
      <c r="J2863" s="4">
        <v>0</v>
      </c>
      <c r="K2863" s="4">
        <v>0</v>
      </c>
      <c r="L2863" s="4">
        <v>0</v>
      </c>
      <c r="M2863" s="4">
        <v>0</v>
      </c>
      <c r="N2863" s="4">
        <v>1.8189894035458565E-12</v>
      </c>
      <c r="O2863" s="4">
        <v>0</v>
      </c>
      <c r="P2863" s="4">
        <v>0</v>
      </c>
      <c r="Q2863" s="4">
        <v>0</v>
      </c>
      <c r="S2863" s="8">
        <f t="shared" si="132"/>
        <v>3.0316490059097606E-13</v>
      </c>
      <c r="T2863" s="8">
        <f t="shared" si="133"/>
        <v>-3.0316490059097606E-13</v>
      </c>
      <c r="U2863" s="9">
        <f t="shared" si="134"/>
        <v>-1</v>
      </c>
    </row>
    <row r="2864" spans="1:21" outlineLevel="2">
      <c r="A2864" t="s">
        <v>664</v>
      </c>
      <c r="B2864" t="s">
        <v>665</v>
      </c>
      <c r="C2864" t="s">
        <v>83</v>
      </c>
      <c r="D2864" t="s">
        <v>84</v>
      </c>
      <c r="E2864" s="4">
        <v>0</v>
      </c>
      <c r="F2864" s="4">
        <v>0</v>
      </c>
      <c r="G2864" s="4">
        <v>1983.38</v>
      </c>
      <c r="H2864" s="4">
        <v>0.16</v>
      </c>
      <c r="I2864" s="4">
        <v>0</v>
      </c>
      <c r="J2864" s="4">
        <v>922.31</v>
      </c>
      <c r="K2864" s="4">
        <v>127.43</v>
      </c>
      <c r="L2864" s="4">
        <v>79.62</v>
      </c>
      <c r="M2864" s="4">
        <v>0</v>
      </c>
      <c r="N2864" s="4">
        <v>0</v>
      </c>
      <c r="O2864" s="4">
        <v>0</v>
      </c>
      <c r="P2864" s="4">
        <v>0</v>
      </c>
      <c r="Q2864" s="4">
        <v>0</v>
      </c>
      <c r="S2864" s="8">
        <f t="shared" si="132"/>
        <v>13.270000000000001</v>
      </c>
      <c r="T2864" s="8">
        <f t="shared" si="133"/>
        <v>-13.270000000000001</v>
      </c>
      <c r="U2864" s="9">
        <f t="shared" si="134"/>
        <v>-1</v>
      </c>
    </row>
    <row r="2865" spans="1:22" outlineLevel="2">
      <c r="A2865" t="s">
        <v>664</v>
      </c>
      <c r="B2865" t="s">
        <v>665</v>
      </c>
      <c r="C2865" t="s">
        <v>87</v>
      </c>
      <c r="D2865" t="s">
        <v>88</v>
      </c>
      <c r="E2865" s="4">
        <v>0</v>
      </c>
      <c r="F2865" s="4">
        <v>0</v>
      </c>
      <c r="G2865" s="4">
        <v>0</v>
      </c>
      <c r="H2865" s="4">
        <v>0</v>
      </c>
      <c r="I2865" s="4">
        <v>0</v>
      </c>
      <c r="J2865" s="4">
        <v>0</v>
      </c>
      <c r="K2865" s="4">
        <v>0</v>
      </c>
      <c r="L2865" s="4">
        <v>0</v>
      </c>
      <c r="M2865" s="4">
        <v>0</v>
      </c>
      <c r="N2865" s="4">
        <v>0</v>
      </c>
      <c r="O2865" s="4">
        <v>0</v>
      </c>
      <c r="P2865" s="4">
        <v>0</v>
      </c>
      <c r="Q2865" s="4">
        <v>0</v>
      </c>
      <c r="S2865" s="8">
        <f t="shared" si="132"/>
        <v>0</v>
      </c>
      <c r="T2865" s="8">
        <f t="shared" si="133"/>
        <v>0</v>
      </c>
      <c r="U2865" s="9" t="e">
        <f t="shared" si="134"/>
        <v>#DIV/0!</v>
      </c>
    </row>
    <row r="2866" spans="1:22" outlineLevel="2">
      <c r="A2866" t="s">
        <v>664</v>
      </c>
      <c r="B2866" t="s">
        <v>665</v>
      </c>
      <c r="C2866" t="s">
        <v>166</v>
      </c>
      <c r="D2866" t="s">
        <v>167</v>
      </c>
      <c r="E2866" s="4">
        <v>0</v>
      </c>
      <c r="F2866" s="4">
        <v>0</v>
      </c>
      <c r="G2866" s="4">
        <v>40000</v>
      </c>
      <c r="H2866" s="4">
        <v>0</v>
      </c>
      <c r="I2866" s="4">
        <v>0</v>
      </c>
      <c r="J2866" s="4">
        <v>0</v>
      </c>
      <c r="K2866" s="4">
        <v>0</v>
      </c>
      <c r="L2866" s="4">
        <v>0</v>
      </c>
      <c r="M2866" s="4">
        <v>0</v>
      </c>
      <c r="N2866" s="4">
        <v>0</v>
      </c>
      <c r="O2866" s="4">
        <v>0</v>
      </c>
      <c r="P2866" s="4">
        <v>2500</v>
      </c>
      <c r="Q2866" s="4">
        <v>0</v>
      </c>
      <c r="S2866" s="8">
        <f t="shared" si="132"/>
        <v>416.66666666666669</v>
      </c>
      <c r="T2866" s="8">
        <f t="shared" si="133"/>
        <v>-416.66666666666669</v>
      </c>
      <c r="U2866" s="9">
        <f t="shared" si="134"/>
        <v>-1</v>
      </c>
    </row>
    <row r="2867" spans="1:22" outlineLevel="2">
      <c r="A2867" t="s">
        <v>664</v>
      </c>
      <c r="B2867" t="s">
        <v>665</v>
      </c>
      <c r="C2867" t="s">
        <v>182</v>
      </c>
      <c r="D2867" t="s">
        <v>183</v>
      </c>
      <c r="E2867" s="4">
        <v>0</v>
      </c>
      <c r="F2867" s="4">
        <v>0</v>
      </c>
      <c r="G2867" s="4">
        <v>0</v>
      </c>
      <c r="H2867" s="4">
        <v>0</v>
      </c>
      <c r="I2867" s="4">
        <v>0</v>
      </c>
      <c r="J2867" s="4">
        <v>0</v>
      </c>
      <c r="K2867" s="4">
        <v>0</v>
      </c>
      <c r="L2867" s="4">
        <v>0</v>
      </c>
      <c r="M2867" s="4">
        <v>0</v>
      </c>
      <c r="N2867" s="4">
        <v>0</v>
      </c>
      <c r="O2867" s="4">
        <v>0</v>
      </c>
      <c r="P2867" s="4">
        <v>0</v>
      </c>
      <c r="Q2867" s="4">
        <v>0</v>
      </c>
      <c r="R2867" s="4">
        <v>250</v>
      </c>
      <c r="S2867" s="8">
        <f t="shared" si="132"/>
        <v>0</v>
      </c>
      <c r="T2867" s="8">
        <f t="shared" si="133"/>
        <v>250</v>
      </c>
      <c r="U2867" s="9" t="e">
        <f t="shared" si="134"/>
        <v>#DIV/0!</v>
      </c>
      <c r="V2867" t="s">
        <v>895</v>
      </c>
    </row>
    <row r="2868" spans="1:22" outlineLevel="2">
      <c r="A2868" t="s">
        <v>664</v>
      </c>
      <c r="B2868" t="s">
        <v>665</v>
      </c>
      <c r="C2868" t="s">
        <v>93</v>
      </c>
      <c r="D2868" t="s">
        <v>94</v>
      </c>
      <c r="E2868" s="4">
        <v>0</v>
      </c>
      <c r="F2868" s="4">
        <v>0</v>
      </c>
      <c r="G2868" s="4">
        <v>0</v>
      </c>
      <c r="H2868" s="4">
        <v>0</v>
      </c>
      <c r="I2868" s="4">
        <v>0</v>
      </c>
      <c r="J2868" s="4">
        <v>125.25</v>
      </c>
      <c r="K2868" s="4">
        <v>0</v>
      </c>
      <c r="L2868" s="4">
        <v>0</v>
      </c>
      <c r="M2868" s="4">
        <v>-1.4551915228366852E-11</v>
      </c>
      <c r="N2868" s="4">
        <v>0</v>
      </c>
      <c r="O2868" s="4">
        <v>0</v>
      </c>
      <c r="P2868" s="4">
        <v>0</v>
      </c>
      <c r="Q2868" s="4">
        <v>0</v>
      </c>
      <c r="S2868" s="8">
        <f t="shared" si="132"/>
        <v>-2.4253192047278085E-12</v>
      </c>
      <c r="T2868" s="8">
        <f t="shared" si="133"/>
        <v>2.4253192047278085E-12</v>
      </c>
      <c r="U2868" s="9">
        <f t="shared" si="134"/>
        <v>-1</v>
      </c>
    </row>
    <row r="2869" spans="1:22" outlineLevel="2">
      <c r="A2869" t="s">
        <v>664</v>
      </c>
      <c r="B2869" t="s">
        <v>665</v>
      </c>
      <c r="C2869" t="s">
        <v>184</v>
      </c>
      <c r="D2869" t="s">
        <v>185</v>
      </c>
      <c r="E2869" s="4">
        <v>16103</v>
      </c>
      <c r="F2869" s="4">
        <v>1207.21</v>
      </c>
      <c r="G2869" s="4">
        <v>0</v>
      </c>
      <c r="H2869" s="4">
        <v>-1207.21</v>
      </c>
      <c r="I2869" s="4">
        <v>0</v>
      </c>
      <c r="J2869" s="4">
        <v>0</v>
      </c>
      <c r="K2869" s="4">
        <v>0</v>
      </c>
      <c r="L2869" s="4">
        <v>0</v>
      </c>
      <c r="M2869" s="4">
        <v>0</v>
      </c>
      <c r="N2869" s="4">
        <v>0</v>
      </c>
      <c r="O2869" s="4">
        <v>0</v>
      </c>
      <c r="P2869" s="4">
        <v>0</v>
      </c>
      <c r="Q2869" s="4">
        <v>0</v>
      </c>
      <c r="S2869" s="8">
        <f t="shared" si="132"/>
        <v>0</v>
      </c>
      <c r="T2869" s="8">
        <f t="shared" si="133"/>
        <v>0</v>
      </c>
      <c r="U2869" s="9" t="e">
        <f t="shared" si="134"/>
        <v>#DIV/0!</v>
      </c>
    </row>
    <row r="2870" spans="1:22" outlineLevel="2">
      <c r="A2870" t="s">
        <v>664</v>
      </c>
      <c r="B2870" t="s">
        <v>665</v>
      </c>
      <c r="C2870" t="s">
        <v>99</v>
      </c>
      <c r="D2870" t="s">
        <v>100</v>
      </c>
      <c r="E2870" s="4">
        <v>80399.760000000009</v>
      </c>
      <c r="F2870" s="4">
        <v>0</v>
      </c>
      <c r="G2870" s="4">
        <v>386.19</v>
      </c>
      <c r="H2870" s="4">
        <v>0</v>
      </c>
      <c r="I2870" s="4">
        <v>0</v>
      </c>
      <c r="J2870" s="4">
        <v>0</v>
      </c>
      <c r="K2870" s="4">
        <v>0</v>
      </c>
      <c r="L2870" s="4">
        <v>-870</v>
      </c>
      <c r="M2870" s="4">
        <v>36950</v>
      </c>
      <c r="N2870" s="4">
        <v>0</v>
      </c>
      <c r="O2870" s="4">
        <v>0</v>
      </c>
      <c r="P2870" s="4">
        <v>0</v>
      </c>
      <c r="Q2870" s="4">
        <v>0</v>
      </c>
      <c r="S2870" s="8">
        <f t="shared" si="132"/>
        <v>6013.333333333333</v>
      </c>
      <c r="T2870" s="8">
        <f t="shared" si="133"/>
        <v>-6013.333333333333</v>
      </c>
      <c r="U2870" s="9">
        <f t="shared" si="134"/>
        <v>-1</v>
      </c>
    </row>
    <row r="2871" spans="1:22" outlineLevel="2">
      <c r="A2871" t="s">
        <v>664</v>
      </c>
      <c r="B2871" t="s">
        <v>665</v>
      </c>
      <c r="C2871" t="s">
        <v>101</v>
      </c>
      <c r="D2871" t="s">
        <v>102</v>
      </c>
      <c r="E2871" s="4">
        <v>29697.809999999987</v>
      </c>
      <c r="F2871" s="4">
        <v>17920.430000000008</v>
      </c>
      <c r="G2871" s="4">
        <v>2700.4800000000005</v>
      </c>
      <c r="H2871" s="4">
        <v>-4310.2499999999991</v>
      </c>
      <c r="I2871" s="4">
        <v>18376.62</v>
      </c>
      <c r="J2871" s="4">
        <v>20221.13</v>
      </c>
      <c r="K2871" s="4">
        <v>20642.469999999998</v>
      </c>
      <c r="L2871" s="4">
        <v>1643.07</v>
      </c>
      <c r="M2871" s="4">
        <v>-4.5474735088646412E-13</v>
      </c>
      <c r="N2871" s="4">
        <v>0</v>
      </c>
      <c r="O2871" s="4">
        <v>-1.8189894035458565E-12</v>
      </c>
      <c r="P2871" s="4">
        <v>0</v>
      </c>
      <c r="Q2871" s="4">
        <v>-9.0949470177292824E-13</v>
      </c>
      <c r="R2871" s="4">
        <v>10479.459999999999</v>
      </c>
      <c r="S2871" s="8">
        <f t="shared" si="132"/>
        <v>273.84499999999946</v>
      </c>
      <c r="T2871" s="8">
        <f t="shared" si="133"/>
        <v>10205.615</v>
      </c>
      <c r="U2871" s="9">
        <f t="shared" si="134"/>
        <v>37.267852252186529</v>
      </c>
    </row>
    <row r="2872" spans="1:22" outlineLevel="2">
      <c r="A2872" t="s">
        <v>664</v>
      </c>
      <c r="B2872" t="s">
        <v>665</v>
      </c>
      <c r="C2872" t="s">
        <v>103</v>
      </c>
      <c r="D2872" t="s">
        <v>104</v>
      </c>
      <c r="E2872" s="4">
        <v>0</v>
      </c>
      <c r="F2872" s="4">
        <v>0</v>
      </c>
      <c r="G2872" s="4">
        <v>0</v>
      </c>
      <c r="H2872" s="4">
        <v>0</v>
      </c>
      <c r="I2872" s="4">
        <v>0</v>
      </c>
      <c r="J2872" s="4">
        <v>0</v>
      </c>
      <c r="K2872" s="4">
        <v>2500</v>
      </c>
      <c r="L2872" s="4">
        <v>0</v>
      </c>
      <c r="M2872" s="4">
        <v>0</v>
      </c>
      <c r="N2872" s="4">
        <v>0</v>
      </c>
      <c r="O2872" s="4">
        <v>0</v>
      </c>
      <c r="P2872" s="4">
        <v>0</v>
      </c>
      <c r="Q2872" s="4">
        <v>0</v>
      </c>
      <c r="S2872" s="8">
        <f t="shared" si="132"/>
        <v>0</v>
      </c>
      <c r="T2872" s="8">
        <f t="shared" si="133"/>
        <v>0</v>
      </c>
      <c r="U2872" s="9" t="e">
        <f t="shared" si="134"/>
        <v>#DIV/0!</v>
      </c>
    </row>
    <row r="2873" spans="1:22" outlineLevel="2">
      <c r="A2873" t="s">
        <v>664</v>
      </c>
      <c r="B2873" t="s">
        <v>665</v>
      </c>
      <c r="C2873" t="s">
        <v>398</v>
      </c>
      <c r="D2873" t="s">
        <v>399</v>
      </c>
      <c r="E2873" s="4">
        <v>0</v>
      </c>
      <c r="F2873" s="4">
        <v>0</v>
      </c>
      <c r="G2873" s="4">
        <v>8994.69</v>
      </c>
      <c r="H2873" s="4">
        <v>0</v>
      </c>
      <c r="I2873" s="4">
        <v>0</v>
      </c>
      <c r="J2873" s="4">
        <v>0</v>
      </c>
      <c r="K2873" s="4">
        <v>0</v>
      </c>
      <c r="L2873" s="4">
        <v>-3676.72</v>
      </c>
      <c r="M2873" s="4">
        <v>5259.12</v>
      </c>
      <c r="N2873" s="4">
        <v>0</v>
      </c>
      <c r="O2873" s="4">
        <v>0</v>
      </c>
      <c r="P2873" s="4">
        <v>0</v>
      </c>
      <c r="Q2873" s="4">
        <v>0</v>
      </c>
      <c r="S2873" s="8">
        <f t="shared" si="132"/>
        <v>263.73333333333335</v>
      </c>
      <c r="T2873" s="8">
        <f t="shared" si="133"/>
        <v>-263.73333333333335</v>
      </c>
      <c r="U2873" s="9">
        <f t="shared" si="134"/>
        <v>-1</v>
      </c>
    </row>
    <row r="2874" spans="1:22" outlineLevel="2">
      <c r="A2874" t="s">
        <v>664</v>
      </c>
      <c r="B2874" t="s">
        <v>665</v>
      </c>
      <c r="C2874" t="s">
        <v>127</v>
      </c>
      <c r="D2874" t="s">
        <v>120</v>
      </c>
      <c r="E2874" s="4">
        <v>0</v>
      </c>
      <c r="F2874" s="4">
        <v>0</v>
      </c>
      <c r="G2874" s="4">
        <v>9865.01</v>
      </c>
      <c r="H2874" s="4">
        <v>986.51</v>
      </c>
      <c r="I2874" s="4">
        <v>450.15</v>
      </c>
      <c r="J2874" s="4">
        <v>3716.54</v>
      </c>
      <c r="K2874" s="4">
        <v>524.79</v>
      </c>
      <c r="L2874" s="4">
        <v>0</v>
      </c>
      <c r="M2874" s="4">
        <v>0</v>
      </c>
      <c r="N2874" s="4">
        <v>0</v>
      </c>
      <c r="O2874" s="4">
        <v>0</v>
      </c>
      <c r="P2874" s="4">
        <v>0</v>
      </c>
      <c r="Q2874" s="4">
        <v>0</v>
      </c>
      <c r="S2874" s="8">
        <f t="shared" si="132"/>
        <v>0</v>
      </c>
      <c r="T2874" s="8">
        <f t="shared" si="133"/>
        <v>0</v>
      </c>
      <c r="U2874" s="9" t="e">
        <f t="shared" si="134"/>
        <v>#DIV/0!</v>
      </c>
    </row>
    <row r="2875" spans="1:22" outlineLevel="2">
      <c r="A2875" t="s">
        <v>664</v>
      </c>
      <c r="B2875" t="s">
        <v>665</v>
      </c>
      <c r="C2875" t="s">
        <v>238</v>
      </c>
      <c r="D2875" t="s">
        <v>239</v>
      </c>
      <c r="E2875" s="4">
        <v>0</v>
      </c>
      <c r="F2875" s="4">
        <v>0</v>
      </c>
      <c r="G2875" s="4">
        <v>0</v>
      </c>
      <c r="H2875" s="4">
        <v>18.5</v>
      </c>
      <c r="I2875" s="4">
        <v>0</v>
      </c>
      <c r="J2875" s="4">
        <v>0</v>
      </c>
      <c r="K2875" s="4">
        <v>0</v>
      </c>
      <c r="L2875" s="4">
        <v>0</v>
      </c>
      <c r="M2875" s="4">
        <v>0</v>
      </c>
      <c r="N2875" s="4">
        <v>0</v>
      </c>
      <c r="O2875" s="4">
        <v>0</v>
      </c>
      <c r="P2875" s="4">
        <v>0</v>
      </c>
      <c r="Q2875" s="4">
        <v>0</v>
      </c>
      <c r="S2875" s="8">
        <f t="shared" si="132"/>
        <v>0</v>
      </c>
      <c r="T2875" s="8">
        <f t="shared" si="133"/>
        <v>0</v>
      </c>
      <c r="U2875" s="9" t="e">
        <f t="shared" si="134"/>
        <v>#DIV/0!</v>
      </c>
    </row>
    <row r="2876" spans="1:22" outlineLevel="1">
      <c r="A2876" s="1" t="s">
        <v>879</v>
      </c>
      <c r="E2876" s="4">
        <f>SUBTOTAL(9,E2845:E2875)</f>
        <v>260764.74</v>
      </c>
      <c r="F2876" s="4">
        <f>SUBTOTAL(9,F2845:F2875)</f>
        <v>30623.910000000007</v>
      </c>
      <c r="G2876" s="4">
        <f>SUBTOTAL(9,G2845:G2875)</f>
        <v>87636.609999999986</v>
      </c>
      <c r="H2876" s="4">
        <f>SUBTOTAL(9,H2845:H2875)</f>
        <v>20684.169999999995</v>
      </c>
      <c r="I2876" s="4">
        <f>SUBTOTAL(9,I2845:I2875)</f>
        <v>50153.770000000004</v>
      </c>
      <c r="J2876" s="4">
        <f>SUBTOTAL(9,J2845:J2875)</f>
        <v>57275.170000000006</v>
      </c>
      <c r="K2876" s="4">
        <f>SUBTOTAL(9,K2845:K2875)</f>
        <v>51284.79</v>
      </c>
      <c r="L2876" s="4">
        <f>SUBTOTAL(9,L2845:L2875)</f>
        <v>-5609.1799999999994</v>
      </c>
      <c r="M2876" s="4">
        <f>SUBTOTAL(9,M2845:M2875)</f>
        <v>88986.239999999976</v>
      </c>
      <c r="N2876" s="4">
        <f>SUBTOTAL(9,N2845:N2875)</f>
        <v>6.3238303482648917E-13</v>
      </c>
      <c r="O2876" s="4">
        <f>SUBTOTAL(9,O2845:O2875)</f>
        <v>-5.0022208597511053E-12</v>
      </c>
      <c r="P2876" s="4">
        <f>SUBTOTAL(9,P2845:P2875)</f>
        <v>2500.0000000000005</v>
      </c>
      <c r="Q2876" s="4">
        <f>SUBTOTAL(9,Q2845:Q2875)</f>
        <v>2.5721647034515627E-12</v>
      </c>
      <c r="R2876" s="4">
        <f>SUBTOTAL(9,R2845:R2875)</f>
        <v>14882.199999999999</v>
      </c>
      <c r="S2876" s="8">
        <f t="shared" si="132"/>
        <v>14312.843333333331</v>
      </c>
      <c r="T2876" s="8">
        <f t="shared" si="133"/>
        <v>569.35666666666839</v>
      </c>
      <c r="U2876" s="9">
        <f t="shared" si="134"/>
        <v>3.9779424214103402E-2</v>
      </c>
      <c r="V2876" t="s">
        <v>895</v>
      </c>
    </row>
    <row r="2877" spans="1:22" outlineLevel="2">
      <c r="A2877" t="s">
        <v>666</v>
      </c>
      <c r="B2877" t="s">
        <v>667</v>
      </c>
      <c r="C2877" t="s">
        <v>19</v>
      </c>
      <c r="D2877" t="s">
        <v>20</v>
      </c>
      <c r="E2877" s="4">
        <v>196.62</v>
      </c>
      <c r="F2877" s="4">
        <v>96.29</v>
      </c>
      <c r="G2877" s="4">
        <v>0</v>
      </c>
      <c r="H2877" s="4">
        <v>0</v>
      </c>
      <c r="I2877" s="4">
        <v>233.10999999999999</v>
      </c>
      <c r="J2877" s="4">
        <v>184.79</v>
      </c>
      <c r="K2877" s="4">
        <v>0</v>
      </c>
      <c r="L2877" s="4">
        <v>-710.81000000000006</v>
      </c>
      <c r="M2877" s="4">
        <v>0</v>
      </c>
      <c r="N2877" s="4">
        <v>0</v>
      </c>
      <c r="O2877" s="4">
        <v>0</v>
      </c>
      <c r="P2877" s="4">
        <v>0</v>
      </c>
      <c r="Q2877" s="4">
        <v>0</v>
      </c>
      <c r="S2877" s="8">
        <f t="shared" si="132"/>
        <v>-118.46833333333335</v>
      </c>
      <c r="T2877" s="8">
        <f t="shared" si="133"/>
        <v>118.46833333333335</v>
      </c>
      <c r="U2877" s="9">
        <f t="shared" si="134"/>
        <v>-1</v>
      </c>
    </row>
    <row r="2878" spans="1:22" outlineLevel="2">
      <c r="A2878" t="s">
        <v>666</v>
      </c>
      <c r="B2878" t="s">
        <v>667</v>
      </c>
      <c r="C2878" t="s">
        <v>21</v>
      </c>
      <c r="D2878" t="s">
        <v>22</v>
      </c>
      <c r="E2878" s="4">
        <v>1506.0599999999995</v>
      </c>
      <c r="F2878" s="4">
        <v>5070.3499999999976</v>
      </c>
      <c r="G2878" s="4">
        <v>3851.47</v>
      </c>
      <c r="H2878" s="4">
        <v>2721.6499999999983</v>
      </c>
      <c r="I2878" s="4">
        <v>4483.5900000000011</v>
      </c>
      <c r="J2878" s="4">
        <v>2826.4199999999992</v>
      </c>
      <c r="K2878" s="4">
        <v>3550.57</v>
      </c>
      <c r="L2878" s="4">
        <v>4660.0200000000013</v>
      </c>
      <c r="M2878" s="4">
        <v>1317.48</v>
      </c>
      <c r="N2878" s="4">
        <v>0</v>
      </c>
      <c r="O2878" s="4">
        <v>0</v>
      </c>
      <c r="P2878" s="4">
        <v>0</v>
      </c>
      <c r="Q2878" s="4">
        <v>0</v>
      </c>
      <c r="S2878" s="8">
        <f t="shared" si="132"/>
        <v>996.25000000000034</v>
      </c>
      <c r="T2878" s="8">
        <f t="shared" si="133"/>
        <v>-996.25000000000034</v>
      </c>
      <c r="U2878" s="9">
        <f t="shared" si="134"/>
        <v>-1</v>
      </c>
    </row>
    <row r="2879" spans="1:22" outlineLevel="2">
      <c r="A2879" t="s">
        <v>666</v>
      </c>
      <c r="B2879" t="s">
        <v>667</v>
      </c>
      <c r="C2879" t="s">
        <v>23</v>
      </c>
      <c r="D2879" t="s">
        <v>24</v>
      </c>
      <c r="E2879" s="4">
        <v>7603.1999999999989</v>
      </c>
      <c r="F2879" s="4">
        <v>17743.13</v>
      </c>
      <c r="G2879" s="4">
        <v>19776.229999999989</v>
      </c>
      <c r="H2879" s="4">
        <v>14811.299999999997</v>
      </c>
      <c r="I2879" s="4">
        <v>14562.17</v>
      </c>
      <c r="J2879" s="4">
        <v>15177.09</v>
      </c>
      <c r="K2879" s="4">
        <v>14552.63</v>
      </c>
      <c r="L2879" s="4">
        <v>15104.470000000001</v>
      </c>
      <c r="M2879" s="4">
        <v>18</v>
      </c>
      <c r="N2879" s="4">
        <v>0</v>
      </c>
      <c r="O2879" s="4">
        <v>0</v>
      </c>
      <c r="P2879" s="4">
        <v>0</v>
      </c>
      <c r="Q2879" s="4">
        <v>0</v>
      </c>
      <c r="S2879" s="8">
        <f t="shared" si="132"/>
        <v>2520.4116666666669</v>
      </c>
      <c r="T2879" s="8">
        <f t="shared" si="133"/>
        <v>-2520.4116666666669</v>
      </c>
      <c r="U2879" s="9">
        <f t="shared" si="134"/>
        <v>-1</v>
      </c>
    </row>
    <row r="2880" spans="1:22" outlineLevel="2">
      <c r="A2880" t="s">
        <v>666</v>
      </c>
      <c r="B2880" t="s">
        <v>667</v>
      </c>
      <c r="C2880" t="s">
        <v>25</v>
      </c>
      <c r="D2880" t="s">
        <v>26</v>
      </c>
      <c r="E2880" s="4">
        <v>0</v>
      </c>
      <c r="F2880" s="4">
        <v>0</v>
      </c>
      <c r="G2880" s="4">
        <v>0</v>
      </c>
      <c r="H2880" s="4">
        <v>0</v>
      </c>
      <c r="I2880" s="4">
        <v>0</v>
      </c>
      <c r="J2880" s="4">
        <v>0</v>
      </c>
      <c r="K2880" s="4">
        <v>0</v>
      </c>
      <c r="L2880" s="4">
        <v>0</v>
      </c>
      <c r="M2880" s="4">
        <v>1561.97</v>
      </c>
      <c r="N2880" s="4">
        <v>0</v>
      </c>
      <c r="O2880" s="4">
        <v>0</v>
      </c>
      <c r="P2880" s="4">
        <v>0</v>
      </c>
      <c r="Q2880" s="4">
        <v>0</v>
      </c>
      <c r="S2880" s="8">
        <f t="shared" si="132"/>
        <v>260.32833333333332</v>
      </c>
      <c r="T2880" s="8">
        <f t="shared" si="133"/>
        <v>-260.32833333333332</v>
      </c>
      <c r="U2880" s="9">
        <f t="shared" si="134"/>
        <v>-1</v>
      </c>
    </row>
    <row r="2881" spans="1:21" outlineLevel="2">
      <c r="A2881" t="s">
        <v>666</v>
      </c>
      <c r="B2881" t="s">
        <v>667</v>
      </c>
      <c r="C2881" t="s">
        <v>27</v>
      </c>
      <c r="D2881" t="s">
        <v>28</v>
      </c>
      <c r="E2881" s="4">
        <v>0</v>
      </c>
      <c r="F2881" s="4">
        <v>0</v>
      </c>
      <c r="G2881" s="4">
        <v>0</v>
      </c>
      <c r="H2881" s="4">
        <v>0</v>
      </c>
      <c r="I2881" s="4">
        <v>0</v>
      </c>
      <c r="J2881" s="4">
        <v>0</v>
      </c>
      <c r="K2881" s="4">
        <v>0</v>
      </c>
      <c r="L2881" s="4">
        <v>0</v>
      </c>
      <c r="M2881" s="4">
        <v>1454.22</v>
      </c>
      <c r="N2881" s="4">
        <v>0</v>
      </c>
      <c r="O2881" s="4">
        <v>0</v>
      </c>
      <c r="P2881" s="4">
        <v>0</v>
      </c>
      <c r="Q2881" s="4">
        <v>0</v>
      </c>
      <c r="S2881" s="8">
        <f t="shared" si="132"/>
        <v>242.37</v>
      </c>
      <c r="T2881" s="8">
        <f t="shared" si="133"/>
        <v>-242.37</v>
      </c>
      <c r="U2881" s="9">
        <f t="shared" si="134"/>
        <v>-1</v>
      </c>
    </row>
    <row r="2882" spans="1:21" outlineLevel="2">
      <c r="A2882" t="s">
        <v>666</v>
      </c>
      <c r="B2882" t="s">
        <v>667</v>
      </c>
      <c r="C2882" t="s">
        <v>140</v>
      </c>
      <c r="D2882" t="s">
        <v>141</v>
      </c>
      <c r="E2882" s="4">
        <v>4452.34</v>
      </c>
      <c r="F2882" s="4">
        <v>3056.42</v>
      </c>
      <c r="G2882" s="4">
        <v>47.04</v>
      </c>
      <c r="H2882" s="4">
        <v>105.84</v>
      </c>
      <c r="I2882" s="4">
        <v>117.6</v>
      </c>
      <c r="J2882" s="4">
        <v>0</v>
      </c>
      <c r="K2882" s="4">
        <v>0</v>
      </c>
      <c r="L2882" s="4">
        <v>0</v>
      </c>
      <c r="M2882" s="4">
        <v>0</v>
      </c>
      <c r="N2882" s="4">
        <v>0</v>
      </c>
      <c r="O2882" s="4">
        <v>0</v>
      </c>
      <c r="P2882" s="4">
        <v>0</v>
      </c>
      <c r="Q2882" s="4">
        <v>0</v>
      </c>
      <c r="S2882" s="8">
        <f t="shared" si="132"/>
        <v>0</v>
      </c>
      <c r="T2882" s="8">
        <f t="shared" si="133"/>
        <v>0</v>
      </c>
      <c r="U2882" s="9" t="e">
        <f t="shared" si="134"/>
        <v>#DIV/0!</v>
      </c>
    </row>
    <row r="2883" spans="1:21" outlineLevel="2">
      <c r="A2883" t="s">
        <v>666</v>
      </c>
      <c r="B2883" t="s">
        <v>667</v>
      </c>
      <c r="C2883" t="s">
        <v>33</v>
      </c>
      <c r="D2883" t="s">
        <v>34</v>
      </c>
      <c r="E2883" s="4">
        <v>0</v>
      </c>
      <c r="F2883" s="4">
        <v>0</v>
      </c>
      <c r="G2883" s="4">
        <v>550</v>
      </c>
      <c r="H2883" s="4">
        <v>0</v>
      </c>
      <c r="I2883" s="4">
        <v>3340.46</v>
      </c>
      <c r="J2883" s="4">
        <v>0</v>
      </c>
      <c r="K2883" s="4">
        <v>0</v>
      </c>
      <c r="L2883" s="4">
        <v>0</v>
      </c>
      <c r="M2883" s="4">
        <v>0</v>
      </c>
      <c r="N2883" s="4">
        <v>0</v>
      </c>
      <c r="O2883" s="4">
        <v>0</v>
      </c>
      <c r="P2883" s="4">
        <v>0</v>
      </c>
      <c r="Q2883" s="4">
        <v>0</v>
      </c>
      <c r="S2883" s="8">
        <f t="shared" ref="S2883:S2946" si="135">AVERAGE(L2883:Q2883)</f>
        <v>0</v>
      </c>
      <c r="T2883" s="8">
        <f t="shared" ref="T2883:T2946" si="136">R2883-S2883</f>
        <v>0</v>
      </c>
      <c r="U2883" s="9" t="e">
        <f t="shared" ref="U2883:U2946" si="137">(R2883-S2883)/S2883</f>
        <v>#DIV/0!</v>
      </c>
    </row>
    <row r="2884" spans="1:21" outlineLevel="2">
      <c r="A2884" t="s">
        <v>666</v>
      </c>
      <c r="B2884" t="s">
        <v>667</v>
      </c>
      <c r="C2884" t="s">
        <v>304</v>
      </c>
      <c r="D2884" t="s">
        <v>305</v>
      </c>
      <c r="E2884" s="4">
        <v>0</v>
      </c>
      <c r="F2884" s="4">
        <v>125</v>
      </c>
      <c r="G2884" s="4">
        <v>0</v>
      </c>
      <c r="H2884" s="4">
        <v>389.40999999999997</v>
      </c>
      <c r="I2884" s="4">
        <v>0</v>
      </c>
      <c r="J2884" s="4">
        <v>82</v>
      </c>
      <c r="K2884" s="4">
        <v>0</v>
      </c>
      <c r="L2884" s="4">
        <v>0</v>
      </c>
      <c r="M2884" s="4">
        <v>0</v>
      </c>
      <c r="N2884" s="4">
        <v>0</v>
      </c>
      <c r="O2884" s="4">
        <v>0</v>
      </c>
      <c r="P2884" s="4">
        <v>0</v>
      </c>
      <c r="Q2884" s="4">
        <v>0</v>
      </c>
      <c r="S2884" s="8">
        <f t="shared" si="135"/>
        <v>0</v>
      </c>
      <c r="T2884" s="8">
        <f t="shared" si="136"/>
        <v>0</v>
      </c>
      <c r="U2884" s="9" t="e">
        <f t="shared" si="137"/>
        <v>#DIV/0!</v>
      </c>
    </row>
    <row r="2885" spans="1:21" outlineLevel="2">
      <c r="A2885" t="s">
        <v>666</v>
      </c>
      <c r="B2885" t="s">
        <v>667</v>
      </c>
      <c r="C2885" t="s">
        <v>37</v>
      </c>
      <c r="D2885" t="s">
        <v>38</v>
      </c>
      <c r="E2885" s="4">
        <v>22226.909999999993</v>
      </c>
      <c r="F2885" s="4">
        <v>22425.55</v>
      </c>
      <c r="G2885" s="4">
        <v>20913.639999999996</v>
      </c>
      <c r="H2885" s="4">
        <v>23180.079999999998</v>
      </c>
      <c r="I2885" s="4">
        <v>15691.47</v>
      </c>
      <c r="J2885" s="4">
        <v>20411.219999999994</v>
      </c>
      <c r="K2885" s="4">
        <v>18673.809999999998</v>
      </c>
      <c r="L2885" s="4">
        <v>26696.979999999981</v>
      </c>
      <c r="M2885" s="4">
        <v>14349.39</v>
      </c>
      <c r="N2885" s="4">
        <v>14664.760000000006</v>
      </c>
      <c r="O2885" s="4">
        <v>-14664.760000000002</v>
      </c>
      <c r="P2885" s="4">
        <v>2.2737367544323206E-13</v>
      </c>
      <c r="Q2885" s="4">
        <v>-9.8054897534893826E-13</v>
      </c>
      <c r="S2885" s="8">
        <f t="shared" si="135"/>
        <v>6841.0616666666647</v>
      </c>
      <c r="T2885" s="8">
        <f t="shared" si="136"/>
        <v>-6841.0616666666647</v>
      </c>
      <c r="U2885" s="9">
        <f t="shared" si="137"/>
        <v>-1</v>
      </c>
    </row>
    <row r="2886" spans="1:21" outlineLevel="2">
      <c r="A2886" t="s">
        <v>666</v>
      </c>
      <c r="B2886" t="s">
        <v>667</v>
      </c>
      <c r="C2886" t="s">
        <v>180</v>
      </c>
      <c r="D2886" t="s">
        <v>181</v>
      </c>
      <c r="E2886" s="4">
        <v>171.53</v>
      </c>
      <c r="F2886" s="4">
        <v>2180.2900000000004</v>
      </c>
      <c r="G2886" s="4">
        <v>0</v>
      </c>
      <c r="H2886" s="4">
        <v>868.19</v>
      </c>
      <c r="I2886" s="4">
        <v>661.35</v>
      </c>
      <c r="J2886" s="4">
        <v>84.68</v>
      </c>
      <c r="K2886" s="4">
        <v>418.32000000000005</v>
      </c>
      <c r="L2886" s="4">
        <v>0</v>
      </c>
      <c r="M2886" s="4">
        <v>238</v>
      </c>
      <c r="N2886" s="4">
        <v>0</v>
      </c>
      <c r="O2886" s="4">
        <v>0</v>
      </c>
      <c r="P2886" s="4">
        <v>0</v>
      </c>
      <c r="Q2886" s="4">
        <v>0</v>
      </c>
      <c r="S2886" s="8">
        <f t="shared" si="135"/>
        <v>39.666666666666664</v>
      </c>
      <c r="T2886" s="8">
        <f t="shared" si="136"/>
        <v>-39.666666666666664</v>
      </c>
      <c r="U2886" s="9">
        <f t="shared" si="137"/>
        <v>-1</v>
      </c>
    </row>
    <row r="2887" spans="1:21" outlineLevel="2">
      <c r="A2887" t="s">
        <v>666</v>
      </c>
      <c r="B2887" t="s">
        <v>667</v>
      </c>
      <c r="C2887" t="s">
        <v>441</v>
      </c>
      <c r="D2887" t="s">
        <v>442</v>
      </c>
      <c r="E2887" s="4">
        <v>0</v>
      </c>
      <c r="F2887" s="4">
        <v>0</v>
      </c>
      <c r="G2887" s="4">
        <v>-138423.64000000001</v>
      </c>
      <c r="H2887" s="4">
        <v>0</v>
      </c>
      <c r="I2887" s="4">
        <v>0</v>
      </c>
      <c r="J2887" s="4">
        <v>93094.57</v>
      </c>
      <c r="K2887" s="4">
        <v>0</v>
      </c>
      <c r="L2887" s="4">
        <v>0</v>
      </c>
      <c r="M2887" s="4">
        <v>0</v>
      </c>
      <c r="N2887" s="4">
        <v>0</v>
      </c>
      <c r="O2887" s="4">
        <v>0</v>
      </c>
      <c r="P2887" s="4">
        <v>0</v>
      </c>
      <c r="Q2887" s="4">
        <v>0</v>
      </c>
      <c r="S2887" s="8">
        <f t="shared" si="135"/>
        <v>0</v>
      </c>
      <c r="T2887" s="8">
        <f t="shared" si="136"/>
        <v>0</v>
      </c>
      <c r="U2887" s="9" t="e">
        <f t="shared" si="137"/>
        <v>#DIV/0!</v>
      </c>
    </row>
    <row r="2888" spans="1:21" outlineLevel="2">
      <c r="A2888" t="s">
        <v>666</v>
      </c>
      <c r="B2888" t="s">
        <v>667</v>
      </c>
      <c r="C2888" t="s">
        <v>230</v>
      </c>
      <c r="D2888" t="s">
        <v>231</v>
      </c>
      <c r="E2888" s="4">
        <v>118057.37999999999</v>
      </c>
      <c r="F2888" s="4">
        <v>139168.76999999999</v>
      </c>
      <c r="G2888" s="4">
        <v>120727.87</v>
      </c>
      <c r="H2888" s="4">
        <v>113630.43</v>
      </c>
      <c r="I2888" s="4">
        <v>113630.43</v>
      </c>
      <c r="J2888" s="4">
        <v>46027.54</v>
      </c>
      <c r="K2888" s="4">
        <v>116359.72</v>
      </c>
      <c r="L2888" s="4">
        <v>0</v>
      </c>
      <c r="M2888" s="4">
        <v>0</v>
      </c>
      <c r="N2888" s="4">
        <v>0</v>
      </c>
      <c r="O2888" s="4">
        <v>0</v>
      </c>
      <c r="P2888" s="4">
        <v>0</v>
      </c>
      <c r="Q2888" s="4">
        <v>0</v>
      </c>
      <c r="S2888" s="8">
        <f t="shared" si="135"/>
        <v>0</v>
      </c>
      <c r="T2888" s="8">
        <f t="shared" si="136"/>
        <v>0</v>
      </c>
      <c r="U2888" s="9" t="e">
        <f t="shared" si="137"/>
        <v>#DIV/0!</v>
      </c>
    </row>
    <row r="2889" spans="1:21" outlineLevel="2">
      <c r="A2889" t="s">
        <v>666</v>
      </c>
      <c r="B2889" t="s">
        <v>667</v>
      </c>
      <c r="C2889" t="s">
        <v>232</v>
      </c>
      <c r="D2889" t="s">
        <v>233</v>
      </c>
      <c r="E2889" s="4">
        <v>5445.8</v>
      </c>
      <c r="F2889" s="4">
        <v>5445.8</v>
      </c>
      <c r="G2889" s="4">
        <v>5445.8</v>
      </c>
      <c r="H2889" s="4">
        <v>5445.8</v>
      </c>
      <c r="I2889" s="4">
        <v>5445.8</v>
      </c>
      <c r="J2889" s="4">
        <v>2075.29</v>
      </c>
      <c r="K2889" s="4">
        <v>5595.48</v>
      </c>
      <c r="L2889" s="4">
        <v>0</v>
      </c>
      <c r="M2889" s="4">
        <v>0</v>
      </c>
      <c r="N2889" s="4">
        <v>0</v>
      </c>
      <c r="O2889" s="4">
        <v>0</v>
      </c>
      <c r="P2889" s="4">
        <v>0</v>
      </c>
      <c r="Q2889" s="4">
        <v>0</v>
      </c>
      <c r="S2889" s="8">
        <f t="shared" si="135"/>
        <v>0</v>
      </c>
      <c r="T2889" s="8">
        <f t="shared" si="136"/>
        <v>0</v>
      </c>
      <c r="U2889" s="9" t="e">
        <f t="shared" si="137"/>
        <v>#DIV/0!</v>
      </c>
    </row>
    <row r="2890" spans="1:21" outlineLevel="2">
      <c r="A2890" t="s">
        <v>666</v>
      </c>
      <c r="B2890" t="s">
        <v>667</v>
      </c>
      <c r="C2890" t="s">
        <v>218</v>
      </c>
      <c r="D2890" t="s">
        <v>219</v>
      </c>
      <c r="E2890" s="4">
        <v>63279.759999999995</v>
      </c>
      <c r="F2890" s="4">
        <v>123028.35999999999</v>
      </c>
      <c r="G2890" s="4">
        <v>133727.97</v>
      </c>
      <c r="H2890" s="4">
        <v>109023.51999999999</v>
      </c>
      <c r="I2890" s="4">
        <v>97349.739999999991</v>
      </c>
      <c r="J2890" s="4">
        <v>111720.95999999999</v>
      </c>
      <c r="K2890" s="4">
        <v>112936.95</v>
      </c>
      <c r="L2890" s="4">
        <v>-8917.1300000000047</v>
      </c>
      <c r="M2890" s="4">
        <v>-8917.130000000001</v>
      </c>
      <c r="N2890" s="4">
        <v>-8917.1300000000047</v>
      </c>
      <c r="O2890" s="4">
        <v>8917.1299999999937</v>
      </c>
      <c r="P2890" s="4">
        <v>-1.0913936421275139E-11</v>
      </c>
      <c r="Q2890" s="4">
        <v>0</v>
      </c>
      <c r="R2890" s="4">
        <v>-8917.1300000000047</v>
      </c>
      <c r="S2890" s="8">
        <f t="shared" si="135"/>
        <v>-2972.3766666666711</v>
      </c>
      <c r="T2890" s="8">
        <f t="shared" si="136"/>
        <v>-5944.753333333334</v>
      </c>
      <c r="U2890" s="9">
        <f t="shared" si="137"/>
        <v>1.9999999999999973</v>
      </c>
    </row>
    <row r="2891" spans="1:21" outlineLevel="2">
      <c r="A2891" t="s">
        <v>666</v>
      </c>
      <c r="B2891" t="s">
        <v>667</v>
      </c>
      <c r="C2891" t="s">
        <v>47</v>
      </c>
      <c r="D2891" t="s">
        <v>48</v>
      </c>
      <c r="E2891" s="4">
        <v>-200</v>
      </c>
      <c r="F2891" s="4">
        <v>-200</v>
      </c>
      <c r="G2891" s="4">
        <v>-200</v>
      </c>
      <c r="H2891" s="4">
        <v>-200</v>
      </c>
      <c r="I2891" s="4">
        <v>-200</v>
      </c>
      <c r="J2891" s="4">
        <v>-200</v>
      </c>
      <c r="K2891" s="4">
        <v>-200</v>
      </c>
      <c r="L2891" s="4">
        <v>-200</v>
      </c>
      <c r="M2891" s="4">
        <v>-200</v>
      </c>
      <c r="N2891" s="4">
        <v>-200</v>
      </c>
      <c r="O2891" s="4">
        <v>200</v>
      </c>
      <c r="P2891" s="4">
        <v>0</v>
      </c>
      <c r="Q2891" s="4">
        <v>0</v>
      </c>
      <c r="S2891" s="8">
        <f t="shared" si="135"/>
        <v>-66.666666666666671</v>
      </c>
      <c r="T2891" s="8">
        <f t="shared" si="136"/>
        <v>66.666666666666671</v>
      </c>
      <c r="U2891" s="9">
        <f t="shared" si="137"/>
        <v>-1</v>
      </c>
    </row>
    <row r="2892" spans="1:21" outlineLevel="2">
      <c r="A2892" t="s">
        <v>666</v>
      </c>
      <c r="B2892" t="s">
        <v>667</v>
      </c>
      <c r="C2892" t="s">
        <v>51</v>
      </c>
      <c r="D2892" t="s">
        <v>52</v>
      </c>
      <c r="E2892" s="4">
        <v>0</v>
      </c>
      <c r="F2892" s="4">
        <v>474</v>
      </c>
      <c r="G2892" s="4">
        <v>900.49</v>
      </c>
      <c r="H2892" s="4">
        <v>837.96</v>
      </c>
      <c r="I2892" s="4">
        <v>0</v>
      </c>
      <c r="J2892" s="4">
        <v>77.5</v>
      </c>
      <c r="K2892" s="4">
        <v>936.75</v>
      </c>
      <c r="L2892" s="4">
        <v>2302.63</v>
      </c>
      <c r="M2892" s="4">
        <v>0</v>
      </c>
      <c r="N2892" s="4">
        <v>0</v>
      </c>
      <c r="O2892" s="4">
        <v>0</v>
      </c>
      <c r="P2892" s="4">
        <v>0</v>
      </c>
      <c r="Q2892" s="4">
        <v>0</v>
      </c>
      <c r="S2892" s="8">
        <f t="shared" si="135"/>
        <v>383.7716666666667</v>
      </c>
      <c r="T2892" s="8">
        <f t="shared" si="136"/>
        <v>-383.7716666666667</v>
      </c>
      <c r="U2892" s="9">
        <f t="shared" si="137"/>
        <v>-1</v>
      </c>
    </row>
    <row r="2893" spans="1:21" outlineLevel="2">
      <c r="A2893" t="s">
        <v>666</v>
      </c>
      <c r="B2893" t="s">
        <v>667</v>
      </c>
      <c r="C2893" t="s">
        <v>55</v>
      </c>
      <c r="D2893" t="s">
        <v>56</v>
      </c>
      <c r="E2893" s="4">
        <v>0</v>
      </c>
      <c r="F2893" s="4">
        <v>156.13</v>
      </c>
      <c r="G2893" s="4">
        <v>0</v>
      </c>
      <c r="H2893" s="4">
        <v>32.299999999999997</v>
      </c>
      <c r="I2893" s="4">
        <v>17.189999999999998</v>
      </c>
      <c r="J2893" s="4">
        <v>198.44</v>
      </c>
      <c r="K2893" s="4">
        <v>10.1</v>
      </c>
      <c r="L2893" s="4">
        <v>11</v>
      </c>
      <c r="M2893" s="4">
        <v>381.39</v>
      </c>
      <c r="N2893" s="4">
        <v>0</v>
      </c>
      <c r="O2893" s="4">
        <v>0</v>
      </c>
      <c r="P2893" s="4">
        <v>0</v>
      </c>
      <c r="Q2893" s="4">
        <v>0</v>
      </c>
      <c r="S2893" s="8">
        <f t="shared" si="135"/>
        <v>65.398333333333326</v>
      </c>
      <c r="T2893" s="8">
        <f t="shared" si="136"/>
        <v>-65.398333333333326</v>
      </c>
      <c r="U2893" s="9">
        <f t="shared" si="137"/>
        <v>-1</v>
      </c>
    </row>
    <row r="2894" spans="1:21" outlineLevel="2">
      <c r="A2894" t="s">
        <v>666</v>
      </c>
      <c r="B2894" t="s">
        <v>667</v>
      </c>
      <c r="C2894" t="s">
        <v>63</v>
      </c>
      <c r="D2894" t="s">
        <v>64</v>
      </c>
      <c r="E2894" s="4">
        <v>132.04</v>
      </c>
      <c r="F2894" s="4">
        <v>1493.61</v>
      </c>
      <c r="G2894" s="4">
        <v>25</v>
      </c>
      <c r="H2894" s="4">
        <v>34.630000000000003</v>
      </c>
      <c r="I2894" s="4">
        <v>222.5</v>
      </c>
      <c r="J2894" s="4">
        <v>0</v>
      </c>
      <c r="K2894" s="4">
        <v>22.23</v>
      </c>
      <c r="L2894" s="4">
        <v>81.75</v>
      </c>
      <c r="M2894" s="4">
        <v>0</v>
      </c>
      <c r="N2894" s="4">
        <v>0</v>
      </c>
      <c r="O2894" s="4">
        <v>0</v>
      </c>
      <c r="P2894" s="4">
        <v>0</v>
      </c>
      <c r="Q2894" s="4">
        <v>0</v>
      </c>
      <c r="S2894" s="8">
        <f t="shared" si="135"/>
        <v>13.625</v>
      </c>
      <c r="T2894" s="8">
        <f t="shared" si="136"/>
        <v>-13.625</v>
      </c>
      <c r="U2894" s="9">
        <f t="shared" si="137"/>
        <v>-1</v>
      </c>
    </row>
    <row r="2895" spans="1:21" outlineLevel="2">
      <c r="A2895" t="s">
        <v>666</v>
      </c>
      <c r="B2895" t="s">
        <v>667</v>
      </c>
      <c r="C2895" t="s">
        <v>65</v>
      </c>
      <c r="D2895" t="s">
        <v>66</v>
      </c>
      <c r="E2895" s="4">
        <v>0</v>
      </c>
      <c r="F2895" s="4">
        <v>656.18999999999994</v>
      </c>
      <c r="G2895" s="4">
        <v>0</v>
      </c>
      <c r="H2895" s="4">
        <v>97.84</v>
      </c>
      <c r="I2895" s="4">
        <v>324.62</v>
      </c>
      <c r="J2895" s="4">
        <v>266.33999999999997</v>
      </c>
      <c r="K2895" s="4">
        <v>754.9</v>
      </c>
      <c r="L2895" s="4">
        <v>775.49000000000012</v>
      </c>
      <c r="M2895" s="4">
        <v>17.59</v>
      </c>
      <c r="N2895" s="4">
        <v>0</v>
      </c>
      <c r="O2895" s="4">
        <v>0</v>
      </c>
      <c r="P2895" s="4">
        <v>0</v>
      </c>
      <c r="Q2895" s="4">
        <v>0</v>
      </c>
      <c r="S2895" s="8">
        <f t="shared" si="135"/>
        <v>132.18000000000004</v>
      </c>
      <c r="T2895" s="8">
        <f t="shared" si="136"/>
        <v>-132.18000000000004</v>
      </c>
      <c r="U2895" s="9">
        <f t="shared" si="137"/>
        <v>-1</v>
      </c>
    </row>
    <row r="2896" spans="1:21" outlineLevel="2">
      <c r="A2896" t="s">
        <v>666</v>
      </c>
      <c r="B2896" t="s">
        <v>667</v>
      </c>
      <c r="C2896" t="s">
        <v>69</v>
      </c>
      <c r="D2896" t="s">
        <v>70</v>
      </c>
      <c r="E2896" s="4">
        <v>51616.32</v>
      </c>
      <c r="F2896" s="4">
        <v>51616.32</v>
      </c>
      <c r="G2896" s="4">
        <v>51616.32</v>
      </c>
      <c r="H2896" s="4">
        <v>51616.32</v>
      </c>
      <c r="I2896" s="4">
        <v>51616.32</v>
      </c>
      <c r="J2896" s="4">
        <v>51616.32</v>
      </c>
      <c r="K2896" s="4">
        <v>51616.32</v>
      </c>
      <c r="L2896" s="4">
        <v>0</v>
      </c>
      <c r="M2896" s="4">
        <v>0</v>
      </c>
      <c r="N2896" s="4">
        <v>0</v>
      </c>
      <c r="O2896" s="4">
        <v>0</v>
      </c>
      <c r="P2896" s="4">
        <v>0</v>
      </c>
      <c r="Q2896" s="4">
        <v>0</v>
      </c>
      <c r="S2896" s="8">
        <f t="shared" si="135"/>
        <v>0</v>
      </c>
      <c r="T2896" s="8">
        <f t="shared" si="136"/>
        <v>0</v>
      </c>
      <c r="U2896" s="9" t="e">
        <f t="shared" si="137"/>
        <v>#DIV/0!</v>
      </c>
    </row>
    <row r="2897" spans="1:21" outlineLevel="2">
      <c r="A2897" t="s">
        <v>666</v>
      </c>
      <c r="B2897" t="s">
        <v>667</v>
      </c>
      <c r="C2897" t="s">
        <v>83</v>
      </c>
      <c r="D2897" t="s">
        <v>84</v>
      </c>
      <c r="E2897" s="4">
        <v>10.56</v>
      </c>
      <c r="F2897" s="4">
        <v>1236.1499999999999</v>
      </c>
      <c r="G2897" s="4">
        <v>2602.8599999999997</v>
      </c>
      <c r="H2897" s="4">
        <v>129.73000000000002</v>
      </c>
      <c r="I2897" s="4">
        <v>966.59999999999991</v>
      </c>
      <c r="J2897" s="4">
        <v>242.01</v>
      </c>
      <c r="K2897" s="4">
        <v>535.64</v>
      </c>
      <c r="L2897" s="4">
        <v>612.17999999999995</v>
      </c>
      <c r="M2897" s="4">
        <v>20</v>
      </c>
      <c r="N2897" s="4">
        <v>0</v>
      </c>
      <c r="O2897" s="4">
        <v>0</v>
      </c>
      <c r="P2897" s="4">
        <v>0</v>
      </c>
      <c r="Q2897" s="4">
        <v>0</v>
      </c>
      <c r="S2897" s="8">
        <f t="shared" si="135"/>
        <v>105.36333333333333</v>
      </c>
      <c r="T2897" s="8">
        <f t="shared" si="136"/>
        <v>-105.36333333333333</v>
      </c>
      <c r="U2897" s="9">
        <f t="shared" si="137"/>
        <v>-1</v>
      </c>
    </row>
    <row r="2898" spans="1:21" outlineLevel="2">
      <c r="A2898" t="s">
        <v>666</v>
      </c>
      <c r="B2898" t="s">
        <v>667</v>
      </c>
      <c r="C2898" t="s">
        <v>87</v>
      </c>
      <c r="D2898" t="s">
        <v>88</v>
      </c>
      <c r="E2898" s="4">
        <v>0</v>
      </c>
      <c r="F2898" s="4">
        <v>31</v>
      </c>
      <c r="G2898" s="4">
        <v>0</v>
      </c>
      <c r="H2898" s="4">
        <v>445.54</v>
      </c>
      <c r="I2898" s="4">
        <v>322.08</v>
      </c>
      <c r="J2898" s="4">
        <v>858.25999999999988</v>
      </c>
      <c r="K2898" s="4">
        <v>622.68999999999994</v>
      </c>
      <c r="L2898" s="4">
        <v>166.91000000000003</v>
      </c>
      <c r="M2898" s="4">
        <v>0</v>
      </c>
      <c r="N2898" s="4">
        <v>0</v>
      </c>
      <c r="O2898" s="4">
        <v>0</v>
      </c>
      <c r="P2898" s="4">
        <v>0</v>
      </c>
      <c r="Q2898" s="4">
        <v>0</v>
      </c>
      <c r="S2898" s="8">
        <f t="shared" si="135"/>
        <v>27.818333333333339</v>
      </c>
      <c r="T2898" s="8">
        <f t="shared" si="136"/>
        <v>-27.818333333333339</v>
      </c>
      <c r="U2898" s="9">
        <f t="shared" si="137"/>
        <v>-1</v>
      </c>
    </row>
    <row r="2899" spans="1:21" outlineLevel="2">
      <c r="A2899" t="s">
        <v>666</v>
      </c>
      <c r="B2899" t="s">
        <v>667</v>
      </c>
      <c r="C2899" t="s">
        <v>166</v>
      </c>
      <c r="D2899" t="s">
        <v>167</v>
      </c>
      <c r="E2899" s="4">
        <v>0</v>
      </c>
      <c r="F2899" s="4">
        <v>130</v>
      </c>
      <c r="G2899" s="4">
        <v>1013.34</v>
      </c>
      <c r="H2899" s="4">
        <v>200</v>
      </c>
      <c r="I2899" s="4">
        <v>0</v>
      </c>
      <c r="J2899" s="4">
        <v>0</v>
      </c>
      <c r="K2899" s="4">
        <v>0</v>
      </c>
      <c r="L2899" s="4">
        <v>0</v>
      </c>
      <c r="M2899" s="4">
        <v>0</v>
      </c>
      <c r="N2899" s="4">
        <v>0</v>
      </c>
      <c r="O2899" s="4">
        <v>0</v>
      </c>
      <c r="P2899" s="4">
        <v>0</v>
      </c>
      <c r="Q2899" s="4">
        <v>0</v>
      </c>
      <c r="S2899" s="8">
        <f t="shared" si="135"/>
        <v>0</v>
      </c>
      <c r="T2899" s="8">
        <f t="shared" si="136"/>
        <v>0</v>
      </c>
      <c r="U2899" s="9" t="e">
        <f t="shared" si="137"/>
        <v>#DIV/0!</v>
      </c>
    </row>
    <row r="2900" spans="1:21" outlineLevel="2">
      <c r="A2900" t="s">
        <v>666</v>
      </c>
      <c r="B2900" t="s">
        <v>667</v>
      </c>
      <c r="C2900" t="s">
        <v>93</v>
      </c>
      <c r="D2900" t="s">
        <v>94</v>
      </c>
      <c r="E2900" s="4">
        <v>223.38</v>
      </c>
      <c r="F2900" s="4">
        <v>270.39</v>
      </c>
      <c r="G2900" s="4">
        <v>0</v>
      </c>
      <c r="H2900" s="4">
        <v>0</v>
      </c>
      <c r="I2900" s="4">
        <v>558.28</v>
      </c>
      <c r="J2900" s="4">
        <v>0</v>
      </c>
      <c r="K2900" s="4">
        <v>4635.2700000000004</v>
      </c>
      <c r="L2900" s="4">
        <v>1491.56</v>
      </c>
      <c r="M2900" s="4">
        <v>0</v>
      </c>
      <c r="N2900" s="4">
        <v>0</v>
      </c>
      <c r="O2900" s="4">
        <v>0</v>
      </c>
      <c r="P2900" s="4">
        <v>0</v>
      </c>
      <c r="Q2900" s="4">
        <v>0</v>
      </c>
      <c r="S2900" s="8">
        <f t="shared" si="135"/>
        <v>248.59333333333333</v>
      </c>
      <c r="T2900" s="8">
        <f t="shared" si="136"/>
        <v>-248.59333333333333</v>
      </c>
      <c r="U2900" s="9">
        <f t="shared" si="137"/>
        <v>-1</v>
      </c>
    </row>
    <row r="2901" spans="1:21" outlineLevel="2">
      <c r="A2901" t="s">
        <v>666</v>
      </c>
      <c r="B2901" t="s">
        <v>667</v>
      </c>
      <c r="C2901" t="s">
        <v>184</v>
      </c>
      <c r="D2901" t="s">
        <v>185</v>
      </c>
      <c r="E2901" s="4">
        <v>0</v>
      </c>
      <c r="F2901" s="4">
        <v>0</v>
      </c>
      <c r="G2901" s="4">
        <v>0</v>
      </c>
      <c r="H2901" s="4">
        <v>0</v>
      </c>
      <c r="I2901" s="4">
        <v>0</v>
      </c>
      <c r="J2901" s="4">
        <v>0</v>
      </c>
      <c r="K2901" s="4">
        <v>215.96</v>
      </c>
      <c r="L2901" s="4">
        <v>309.52999999999997</v>
      </c>
      <c r="M2901" s="4">
        <v>0</v>
      </c>
      <c r="N2901" s="4">
        <v>0</v>
      </c>
      <c r="O2901" s="4">
        <v>0</v>
      </c>
      <c r="P2901" s="4">
        <v>0</v>
      </c>
      <c r="Q2901" s="4">
        <v>0</v>
      </c>
      <c r="S2901" s="8">
        <f t="shared" si="135"/>
        <v>51.588333333333331</v>
      </c>
      <c r="T2901" s="8">
        <f t="shared" si="136"/>
        <v>-51.588333333333331</v>
      </c>
      <c r="U2901" s="9">
        <f t="shared" si="137"/>
        <v>-1</v>
      </c>
    </row>
    <row r="2902" spans="1:21" outlineLevel="2">
      <c r="A2902" t="s">
        <v>666</v>
      </c>
      <c r="B2902" t="s">
        <v>667</v>
      </c>
      <c r="C2902" t="s">
        <v>224</v>
      </c>
      <c r="D2902" t="s">
        <v>225</v>
      </c>
      <c r="E2902" s="4">
        <v>0</v>
      </c>
      <c r="F2902" s="4">
        <v>2925</v>
      </c>
      <c r="G2902" s="4">
        <v>0</v>
      </c>
      <c r="H2902" s="4">
        <v>0</v>
      </c>
      <c r="I2902" s="4">
        <v>750</v>
      </c>
      <c r="J2902" s="4">
        <v>1250</v>
      </c>
      <c r="K2902" s="4">
        <v>0</v>
      </c>
      <c r="L2902" s="4">
        <v>0</v>
      </c>
      <c r="M2902" s="4">
        <v>0</v>
      </c>
      <c r="N2902" s="4">
        <v>0</v>
      </c>
      <c r="O2902" s="4">
        <v>0</v>
      </c>
      <c r="P2902" s="4">
        <v>0</v>
      </c>
      <c r="Q2902" s="4">
        <v>0</v>
      </c>
      <c r="S2902" s="8">
        <f t="shared" si="135"/>
        <v>0</v>
      </c>
      <c r="T2902" s="8">
        <f t="shared" si="136"/>
        <v>0</v>
      </c>
      <c r="U2902" s="9" t="e">
        <f t="shared" si="137"/>
        <v>#DIV/0!</v>
      </c>
    </row>
    <row r="2903" spans="1:21" outlineLevel="2">
      <c r="A2903" t="s">
        <v>666</v>
      </c>
      <c r="B2903" t="s">
        <v>667</v>
      </c>
      <c r="C2903" t="s">
        <v>127</v>
      </c>
      <c r="D2903" t="s">
        <v>120</v>
      </c>
      <c r="E2903" s="4">
        <v>1026.21</v>
      </c>
      <c r="F2903" s="4">
        <v>3715.8400000000006</v>
      </c>
      <c r="G2903" s="4">
        <v>307.63</v>
      </c>
      <c r="H2903" s="4">
        <v>878.24</v>
      </c>
      <c r="I2903" s="4">
        <v>4171.51</v>
      </c>
      <c r="J2903" s="4">
        <v>1902.4099999999996</v>
      </c>
      <c r="K2903" s="4">
        <v>1584.51</v>
      </c>
      <c r="L2903" s="4">
        <v>1063.42</v>
      </c>
      <c r="M2903" s="4">
        <v>5203.0300000000007</v>
      </c>
      <c r="N2903" s="4">
        <v>0</v>
      </c>
      <c r="O2903" s="4">
        <v>0</v>
      </c>
      <c r="P2903" s="4">
        <v>0</v>
      </c>
      <c r="Q2903" s="4">
        <v>0</v>
      </c>
      <c r="S2903" s="8">
        <f t="shared" si="135"/>
        <v>1044.4083333333335</v>
      </c>
      <c r="T2903" s="8">
        <f t="shared" si="136"/>
        <v>-1044.4083333333335</v>
      </c>
      <c r="U2903" s="9">
        <f t="shared" si="137"/>
        <v>-1</v>
      </c>
    </row>
    <row r="2904" spans="1:21" outlineLevel="2">
      <c r="A2904" t="s">
        <v>666</v>
      </c>
      <c r="B2904" t="s">
        <v>667</v>
      </c>
      <c r="C2904" t="s">
        <v>238</v>
      </c>
      <c r="D2904" t="s">
        <v>239</v>
      </c>
      <c r="E2904" s="4">
        <v>0</v>
      </c>
      <c r="F2904" s="4">
        <v>80</v>
      </c>
      <c r="G2904" s="4">
        <v>385.45</v>
      </c>
      <c r="H2904" s="4">
        <v>0</v>
      </c>
      <c r="I2904" s="4">
        <v>0</v>
      </c>
      <c r="J2904" s="4">
        <v>0</v>
      </c>
      <c r="K2904" s="4">
        <v>0</v>
      </c>
      <c r="L2904" s="4">
        <v>0</v>
      </c>
      <c r="M2904" s="4">
        <v>0</v>
      </c>
      <c r="N2904" s="4">
        <v>0</v>
      </c>
      <c r="O2904" s="4">
        <v>0</v>
      </c>
      <c r="P2904" s="4">
        <v>0</v>
      </c>
      <c r="Q2904" s="4">
        <v>0</v>
      </c>
      <c r="S2904" s="8">
        <f t="shared" si="135"/>
        <v>0</v>
      </c>
      <c r="T2904" s="8">
        <f t="shared" si="136"/>
        <v>0</v>
      </c>
      <c r="U2904" s="9" t="e">
        <f t="shared" si="137"/>
        <v>#DIV/0!</v>
      </c>
    </row>
    <row r="2905" spans="1:21" outlineLevel="2">
      <c r="A2905" t="s">
        <v>666</v>
      </c>
      <c r="B2905" t="s">
        <v>667</v>
      </c>
      <c r="C2905" t="s">
        <v>668</v>
      </c>
      <c r="D2905" t="s">
        <v>669</v>
      </c>
      <c r="E2905" s="4">
        <v>216.03</v>
      </c>
      <c r="F2905" s="4">
        <v>216.03</v>
      </c>
      <c r="G2905" s="4">
        <v>119.94</v>
      </c>
      <c r="H2905" s="4">
        <v>143.97</v>
      </c>
      <c r="I2905" s="4">
        <v>143.97</v>
      </c>
      <c r="J2905" s="4">
        <v>143.97</v>
      </c>
      <c r="K2905" s="4">
        <v>211.34</v>
      </c>
      <c r="L2905" s="4">
        <v>211.34</v>
      </c>
      <c r="M2905" s="4">
        <v>211.34</v>
      </c>
      <c r="N2905" s="4">
        <v>211.34</v>
      </c>
      <c r="O2905" s="4">
        <v>-211.34</v>
      </c>
      <c r="P2905" s="4">
        <v>0</v>
      </c>
      <c r="Q2905" s="4">
        <v>0</v>
      </c>
      <c r="S2905" s="8">
        <f t="shared" si="135"/>
        <v>70.446666666666658</v>
      </c>
      <c r="T2905" s="8">
        <f t="shared" si="136"/>
        <v>-70.446666666666658</v>
      </c>
      <c r="U2905" s="9">
        <f t="shared" si="137"/>
        <v>-1</v>
      </c>
    </row>
    <row r="2906" spans="1:21" outlineLevel="2">
      <c r="A2906" t="s">
        <v>666</v>
      </c>
      <c r="B2906" t="s">
        <v>667</v>
      </c>
      <c r="C2906" t="s">
        <v>172</v>
      </c>
      <c r="D2906" t="s">
        <v>173</v>
      </c>
      <c r="E2906" s="4">
        <v>0</v>
      </c>
      <c r="F2906" s="4">
        <v>0</v>
      </c>
      <c r="G2906" s="4">
        <v>4709</v>
      </c>
      <c r="H2906" s="4">
        <v>1569.5</v>
      </c>
      <c r="I2906" s="4">
        <v>1569.5</v>
      </c>
      <c r="J2906" s="4">
        <v>1569.5</v>
      </c>
      <c r="K2906" s="4">
        <v>1569.5</v>
      </c>
      <c r="L2906" s="4">
        <v>0</v>
      </c>
      <c r="M2906" s="4">
        <v>0</v>
      </c>
      <c r="N2906" s="4">
        <v>0</v>
      </c>
      <c r="O2906" s="4">
        <v>0</v>
      </c>
      <c r="P2906" s="4">
        <v>0</v>
      </c>
      <c r="Q2906" s="4">
        <v>0</v>
      </c>
      <c r="S2906" s="8">
        <f t="shared" si="135"/>
        <v>0</v>
      </c>
      <c r="T2906" s="8">
        <f t="shared" si="136"/>
        <v>0</v>
      </c>
      <c r="U2906" s="9" t="e">
        <f t="shared" si="137"/>
        <v>#DIV/0!</v>
      </c>
    </row>
    <row r="2907" spans="1:21" outlineLevel="2">
      <c r="A2907" t="s">
        <v>666</v>
      </c>
      <c r="B2907" t="s">
        <v>667</v>
      </c>
      <c r="C2907" t="s">
        <v>132</v>
      </c>
      <c r="D2907" t="s">
        <v>133</v>
      </c>
      <c r="E2907" s="4">
        <v>-4452.3400000000311</v>
      </c>
      <c r="F2907" s="4">
        <v>-3056.4200000000101</v>
      </c>
      <c r="G2907" s="4">
        <v>-47.04</v>
      </c>
      <c r="H2907" s="4">
        <v>-105.84</v>
      </c>
      <c r="I2907" s="4">
        <v>-117.60000000000002</v>
      </c>
      <c r="J2907" s="4">
        <v>0</v>
      </c>
      <c r="K2907" s="4">
        <v>0</v>
      </c>
      <c r="L2907" s="4">
        <v>0</v>
      </c>
      <c r="M2907" s="4">
        <v>0</v>
      </c>
      <c r="N2907" s="4">
        <v>0</v>
      </c>
      <c r="O2907" s="4">
        <v>0</v>
      </c>
      <c r="P2907" s="4">
        <v>0</v>
      </c>
      <c r="Q2907" s="4">
        <v>0</v>
      </c>
      <c r="S2907" s="8">
        <f t="shared" si="135"/>
        <v>0</v>
      </c>
      <c r="T2907" s="8">
        <f t="shared" si="136"/>
        <v>0</v>
      </c>
      <c r="U2907" s="9" t="e">
        <f t="shared" si="137"/>
        <v>#DIV/0!</v>
      </c>
    </row>
    <row r="2908" spans="1:21" outlineLevel="1">
      <c r="A2908" s="1" t="s">
        <v>880</v>
      </c>
      <c r="E2908" s="4">
        <f>SUBTOTAL(9,E2877:E2907)</f>
        <v>271511.8</v>
      </c>
      <c r="F2908" s="4">
        <f>SUBTOTAL(9,F2877:F2907)</f>
        <v>378084.20000000007</v>
      </c>
      <c r="G2908" s="4">
        <f>SUBTOTAL(9,G2877:G2907)</f>
        <v>228049.36999999997</v>
      </c>
      <c r="H2908" s="4">
        <f>SUBTOTAL(9,H2877:H2907)</f>
        <v>325856.40999999992</v>
      </c>
      <c r="I2908" s="4">
        <f>SUBTOTAL(9,I2877:I2907)</f>
        <v>315860.69</v>
      </c>
      <c r="J2908" s="4">
        <f>SUBTOTAL(9,J2877:J2907)</f>
        <v>349609.31</v>
      </c>
      <c r="K2908" s="4">
        <f>SUBTOTAL(9,K2877:K2907)</f>
        <v>334602.69000000006</v>
      </c>
      <c r="L2908" s="4">
        <f>SUBTOTAL(9,L2877:L2907)</f>
        <v>43659.339999999975</v>
      </c>
      <c r="M2908" s="4">
        <f>SUBTOTAL(9,M2877:M2907)</f>
        <v>15655.279999999997</v>
      </c>
      <c r="N2908" s="4">
        <f>SUBTOTAL(9,N2877:N2907)</f>
        <v>5758.9700000000012</v>
      </c>
      <c r="O2908" s="4">
        <f>SUBTOTAL(9,O2877:O2907)</f>
        <v>-5758.9700000000084</v>
      </c>
      <c r="P2908" s="4">
        <f>SUBTOTAL(9,P2877:P2907)</f>
        <v>-1.0686562745831907E-11</v>
      </c>
      <c r="Q2908" s="4">
        <f>SUBTOTAL(9,Q2877:Q2907)</f>
        <v>-9.8054897534893826E-13</v>
      </c>
      <c r="R2908" s="4">
        <f>SUBTOTAL(9,R2877:R2907)</f>
        <v>-8917.1300000000047</v>
      </c>
      <c r="S2908" s="8">
        <f t="shared" si="135"/>
        <v>9885.7699999999932</v>
      </c>
      <c r="T2908" s="8">
        <f t="shared" si="136"/>
        <v>-18802.899999999998</v>
      </c>
      <c r="U2908" s="9">
        <f t="shared" si="137"/>
        <v>-1.9020167371889101</v>
      </c>
    </row>
    <row r="2909" spans="1:21" outlineLevel="2">
      <c r="A2909" t="s">
        <v>670</v>
      </c>
      <c r="B2909" t="s">
        <v>671</v>
      </c>
      <c r="C2909" t="s">
        <v>218</v>
      </c>
      <c r="D2909" t="s">
        <v>219</v>
      </c>
      <c r="E2909" s="4">
        <v>8917.1299999999992</v>
      </c>
      <c r="F2909" s="4">
        <v>8917.1299999999992</v>
      </c>
      <c r="G2909" s="4">
        <v>8917.1299999999992</v>
      </c>
      <c r="H2909" s="4">
        <v>8917.1299999999992</v>
      </c>
      <c r="I2909" s="4">
        <v>8917.1299999999992</v>
      </c>
      <c r="J2909" s="4">
        <v>8917.1299999999992</v>
      </c>
      <c r="K2909" s="4">
        <v>8917.1299999999992</v>
      </c>
      <c r="L2909" s="4">
        <v>8917.1299999999992</v>
      </c>
      <c r="M2909" s="4">
        <v>8917.1299999999992</v>
      </c>
      <c r="N2909" s="4">
        <v>8917.1299999999992</v>
      </c>
      <c r="O2909" s="4">
        <v>8917.1299999999992</v>
      </c>
      <c r="P2909" s="4">
        <v>8917.1299999999992</v>
      </c>
      <c r="Q2909" s="4">
        <v>8917.1299999999992</v>
      </c>
      <c r="R2909" s="4">
        <v>8917.1299999999992</v>
      </c>
      <c r="S2909" s="8">
        <f t="shared" si="135"/>
        <v>8917.1299999999992</v>
      </c>
      <c r="T2909" s="8">
        <f t="shared" si="136"/>
        <v>0</v>
      </c>
      <c r="U2909" s="9">
        <f t="shared" si="137"/>
        <v>0</v>
      </c>
    </row>
    <row r="2910" spans="1:21" outlineLevel="2">
      <c r="A2910" t="s">
        <v>670</v>
      </c>
      <c r="B2910" t="s">
        <v>671</v>
      </c>
      <c r="C2910" t="s">
        <v>398</v>
      </c>
      <c r="D2910" t="s">
        <v>399</v>
      </c>
      <c r="E2910" s="4">
        <v>0</v>
      </c>
      <c r="F2910" s="4">
        <v>0</v>
      </c>
      <c r="G2910" s="4">
        <v>0</v>
      </c>
      <c r="H2910" s="4">
        <v>0</v>
      </c>
      <c r="I2910" s="4">
        <v>0</v>
      </c>
      <c r="J2910" s="4">
        <v>0</v>
      </c>
      <c r="K2910" s="4">
        <v>0</v>
      </c>
      <c r="L2910" s="4">
        <v>0</v>
      </c>
      <c r="M2910" s="4">
        <v>0</v>
      </c>
      <c r="N2910" s="4">
        <v>0</v>
      </c>
      <c r="O2910" s="4">
        <v>3891</v>
      </c>
      <c r="P2910" s="4">
        <v>1297</v>
      </c>
      <c r="Q2910" s="4">
        <v>0</v>
      </c>
      <c r="S2910" s="8">
        <f t="shared" si="135"/>
        <v>864.66666666666663</v>
      </c>
      <c r="T2910" s="8">
        <f t="shared" si="136"/>
        <v>-864.66666666666663</v>
      </c>
      <c r="U2910" s="9">
        <f t="shared" si="137"/>
        <v>-1</v>
      </c>
    </row>
    <row r="2911" spans="1:21" outlineLevel="1">
      <c r="A2911" s="1" t="s">
        <v>881</v>
      </c>
      <c r="E2911" s="4">
        <f>SUBTOTAL(9,E2909:E2910)</f>
        <v>8917.1299999999992</v>
      </c>
      <c r="F2911" s="4">
        <f>SUBTOTAL(9,F2909:F2910)</f>
        <v>8917.1299999999992</v>
      </c>
      <c r="G2911" s="4">
        <f>SUBTOTAL(9,G2909:G2910)</f>
        <v>8917.1299999999992</v>
      </c>
      <c r="H2911" s="4">
        <f>SUBTOTAL(9,H2909:H2910)</f>
        <v>8917.1299999999992</v>
      </c>
      <c r="I2911" s="4">
        <f>SUBTOTAL(9,I2909:I2910)</f>
        <v>8917.1299999999992</v>
      </c>
      <c r="J2911" s="4">
        <f>SUBTOTAL(9,J2909:J2910)</f>
        <v>8917.1299999999992</v>
      </c>
      <c r="K2911" s="4">
        <f>SUBTOTAL(9,K2909:K2910)</f>
        <v>8917.1299999999992</v>
      </c>
      <c r="L2911" s="4">
        <f>SUBTOTAL(9,L2909:L2910)</f>
        <v>8917.1299999999992</v>
      </c>
      <c r="M2911" s="4">
        <f>SUBTOTAL(9,M2909:M2910)</f>
        <v>8917.1299999999992</v>
      </c>
      <c r="N2911" s="4">
        <f>SUBTOTAL(9,N2909:N2910)</f>
        <v>8917.1299999999992</v>
      </c>
      <c r="O2911" s="4">
        <f>SUBTOTAL(9,O2909:O2910)</f>
        <v>12808.13</v>
      </c>
      <c r="P2911" s="4">
        <f>SUBTOTAL(9,P2909:P2910)</f>
        <v>10214.129999999999</v>
      </c>
      <c r="Q2911" s="4">
        <f>SUBTOTAL(9,Q2909:Q2910)</f>
        <v>8917.1299999999992</v>
      </c>
      <c r="R2911" s="4">
        <f>SUBTOTAL(9,R2909:R2910)</f>
        <v>8917.1299999999992</v>
      </c>
      <c r="S2911" s="8">
        <f t="shared" si="135"/>
        <v>9781.7966666666653</v>
      </c>
      <c r="T2911" s="8">
        <f t="shared" si="136"/>
        <v>-864.66666666666606</v>
      </c>
      <c r="U2911" s="9">
        <f t="shared" si="137"/>
        <v>-8.8395485628236611E-2</v>
      </c>
    </row>
    <row r="2912" spans="1:21" outlineLevel="2">
      <c r="A2912" t="s">
        <v>672</v>
      </c>
      <c r="B2912" t="s">
        <v>673</v>
      </c>
      <c r="C2912" t="s">
        <v>21</v>
      </c>
      <c r="D2912" t="s">
        <v>22</v>
      </c>
      <c r="E2912" s="4">
        <v>0</v>
      </c>
      <c r="F2912" s="4">
        <v>0</v>
      </c>
      <c r="G2912" s="4">
        <v>0</v>
      </c>
      <c r="H2912" s="4">
        <v>109.59</v>
      </c>
      <c r="I2912" s="4">
        <v>0</v>
      </c>
      <c r="J2912" s="4">
        <v>0</v>
      </c>
      <c r="K2912" s="4">
        <v>0</v>
      </c>
      <c r="L2912" s="4">
        <v>0</v>
      </c>
      <c r="M2912" s="4">
        <v>0</v>
      </c>
      <c r="N2912" s="4">
        <v>0</v>
      </c>
      <c r="O2912" s="4">
        <v>0</v>
      </c>
      <c r="P2912" s="4">
        <v>0</v>
      </c>
      <c r="Q2912" s="4">
        <v>0</v>
      </c>
      <c r="S2912" s="8">
        <f t="shared" si="135"/>
        <v>0</v>
      </c>
      <c r="T2912" s="8">
        <f t="shared" si="136"/>
        <v>0</v>
      </c>
      <c r="U2912" s="9" t="e">
        <f t="shared" si="137"/>
        <v>#DIV/0!</v>
      </c>
    </row>
    <row r="2913" spans="1:22" outlineLevel="2">
      <c r="A2913" t="s">
        <v>672</v>
      </c>
      <c r="B2913" t="s">
        <v>673</v>
      </c>
      <c r="C2913" t="s">
        <v>23</v>
      </c>
      <c r="D2913" t="s">
        <v>24</v>
      </c>
      <c r="E2913" s="4">
        <v>0</v>
      </c>
      <c r="F2913" s="4">
        <v>0</v>
      </c>
      <c r="G2913" s="4">
        <v>0</v>
      </c>
      <c r="H2913" s="4">
        <v>0</v>
      </c>
      <c r="I2913" s="4">
        <v>0</v>
      </c>
      <c r="J2913" s="4">
        <v>0</v>
      </c>
      <c r="K2913" s="4">
        <v>0</v>
      </c>
      <c r="L2913" s="4">
        <v>0</v>
      </c>
      <c r="M2913" s="4">
        <v>0</v>
      </c>
      <c r="N2913" s="4">
        <v>16</v>
      </c>
      <c r="O2913" s="4">
        <v>0</v>
      </c>
      <c r="P2913" s="4">
        <v>0</v>
      </c>
      <c r="Q2913" s="4">
        <v>0</v>
      </c>
      <c r="S2913" s="8">
        <f t="shared" si="135"/>
        <v>2.6666666666666665</v>
      </c>
      <c r="T2913" s="8">
        <f t="shared" si="136"/>
        <v>-2.6666666666666665</v>
      </c>
      <c r="U2913" s="9">
        <f t="shared" si="137"/>
        <v>-1</v>
      </c>
    </row>
    <row r="2914" spans="1:22" outlineLevel="2">
      <c r="A2914" t="s">
        <v>672</v>
      </c>
      <c r="B2914" t="s">
        <v>673</v>
      </c>
      <c r="C2914" t="s">
        <v>25</v>
      </c>
      <c r="D2914" t="s">
        <v>26</v>
      </c>
      <c r="E2914" s="4">
        <v>0</v>
      </c>
      <c r="F2914" s="4">
        <v>0</v>
      </c>
      <c r="G2914" s="4">
        <v>0</v>
      </c>
      <c r="H2914" s="4">
        <v>0</v>
      </c>
      <c r="I2914" s="4">
        <v>0</v>
      </c>
      <c r="J2914" s="4">
        <v>0</v>
      </c>
      <c r="K2914" s="4">
        <v>0</v>
      </c>
      <c r="L2914" s="4">
        <v>0</v>
      </c>
      <c r="M2914" s="4">
        <v>0</v>
      </c>
      <c r="N2914" s="4">
        <v>296.93</v>
      </c>
      <c r="O2914" s="4">
        <v>0</v>
      </c>
      <c r="P2914" s="4">
        <v>0</v>
      </c>
      <c r="Q2914" s="4">
        <v>0</v>
      </c>
      <c r="S2914" s="8">
        <f t="shared" si="135"/>
        <v>49.488333333333337</v>
      </c>
      <c r="T2914" s="8">
        <f t="shared" si="136"/>
        <v>-49.488333333333337</v>
      </c>
      <c r="U2914" s="9">
        <f t="shared" si="137"/>
        <v>-1</v>
      </c>
    </row>
    <row r="2915" spans="1:22" outlineLevel="2">
      <c r="A2915" t="s">
        <v>672</v>
      </c>
      <c r="B2915" t="s">
        <v>673</v>
      </c>
      <c r="C2915" t="s">
        <v>65</v>
      </c>
      <c r="D2915" t="s">
        <v>66</v>
      </c>
      <c r="E2915" s="4">
        <v>0</v>
      </c>
      <c r="F2915" s="4">
        <v>1188.6500000000001</v>
      </c>
      <c r="G2915" s="4">
        <v>0</v>
      </c>
      <c r="H2915" s="4">
        <v>0</v>
      </c>
      <c r="I2915" s="4">
        <v>0</v>
      </c>
      <c r="J2915" s="4">
        <v>0</v>
      </c>
      <c r="K2915" s="4">
        <v>0</v>
      </c>
      <c r="L2915" s="4">
        <v>0</v>
      </c>
      <c r="M2915" s="4">
        <v>0</v>
      </c>
      <c r="N2915" s="4">
        <v>0</v>
      </c>
      <c r="O2915" s="4">
        <v>0</v>
      </c>
      <c r="P2915" s="4">
        <v>0</v>
      </c>
      <c r="Q2915" s="4">
        <v>0</v>
      </c>
      <c r="S2915" s="8">
        <f t="shared" si="135"/>
        <v>0</v>
      </c>
      <c r="T2915" s="8">
        <f t="shared" si="136"/>
        <v>0</v>
      </c>
      <c r="U2915" s="9" t="e">
        <f t="shared" si="137"/>
        <v>#DIV/0!</v>
      </c>
    </row>
    <row r="2916" spans="1:22" outlineLevel="2">
      <c r="A2916" t="s">
        <v>672</v>
      </c>
      <c r="B2916" t="s">
        <v>673</v>
      </c>
      <c r="C2916" t="s">
        <v>83</v>
      </c>
      <c r="D2916" t="s">
        <v>84</v>
      </c>
      <c r="E2916" s="4">
        <v>0</v>
      </c>
      <c r="F2916" s="4">
        <v>0</v>
      </c>
      <c r="G2916" s="4">
        <v>0</v>
      </c>
      <c r="H2916" s="4">
        <v>0</v>
      </c>
      <c r="I2916" s="4">
        <v>0</v>
      </c>
      <c r="J2916" s="4">
        <v>0</v>
      </c>
      <c r="K2916" s="4">
        <v>0</v>
      </c>
      <c r="L2916" s="4">
        <v>0</v>
      </c>
      <c r="M2916" s="4">
        <v>0</v>
      </c>
      <c r="N2916" s="4">
        <v>239.86</v>
      </c>
      <c r="O2916" s="4">
        <v>0</v>
      </c>
      <c r="P2916" s="4">
        <v>0</v>
      </c>
      <c r="Q2916" s="4">
        <v>0</v>
      </c>
      <c r="S2916" s="8">
        <f t="shared" si="135"/>
        <v>39.976666666666667</v>
      </c>
      <c r="T2916" s="8">
        <f t="shared" si="136"/>
        <v>-39.976666666666667</v>
      </c>
      <c r="U2916" s="9">
        <f t="shared" si="137"/>
        <v>-1</v>
      </c>
    </row>
    <row r="2917" spans="1:22" outlineLevel="2">
      <c r="A2917" t="s">
        <v>672</v>
      </c>
      <c r="B2917" t="s">
        <v>673</v>
      </c>
      <c r="C2917" t="s">
        <v>93</v>
      </c>
      <c r="D2917" t="s">
        <v>94</v>
      </c>
      <c r="E2917" s="4">
        <v>330.69000000000005</v>
      </c>
      <c r="F2917" s="4">
        <v>0</v>
      </c>
      <c r="G2917" s="4">
        <v>0</v>
      </c>
      <c r="H2917" s="4">
        <v>0</v>
      </c>
      <c r="I2917" s="4">
        <v>0</v>
      </c>
      <c r="J2917" s="4">
        <v>0</v>
      </c>
      <c r="K2917" s="4">
        <v>0</v>
      </c>
      <c r="L2917" s="4">
        <v>0</v>
      </c>
      <c r="M2917" s="4">
        <v>0</v>
      </c>
      <c r="N2917" s="4">
        <v>0</v>
      </c>
      <c r="O2917" s="4">
        <v>0</v>
      </c>
      <c r="P2917" s="4">
        <v>0</v>
      </c>
      <c r="Q2917" s="4">
        <v>0</v>
      </c>
      <c r="S2917" s="8">
        <f t="shared" si="135"/>
        <v>0</v>
      </c>
      <c r="T2917" s="8">
        <f t="shared" si="136"/>
        <v>0</v>
      </c>
      <c r="U2917" s="9" t="e">
        <f t="shared" si="137"/>
        <v>#DIV/0!</v>
      </c>
    </row>
    <row r="2918" spans="1:22" outlineLevel="1">
      <c r="A2918" s="1" t="s">
        <v>882</v>
      </c>
      <c r="E2918" s="4">
        <f>SUBTOTAL(9,E2912:E2917)</f>
        <v>330.69000000000005</v>
      </c>
      <c r="F2918" s="4">
        <f>SUBTOTAL(9,F2912:F2917)</f>
        <v>1188.6500000000001</v>
      </c>
      <c r="G2918" s="4">
        <f>SUBTOTAL(9,G2912:G2917)</f>
        <v>0</v>
      </c>
      <c r="H2918" s="4">
        <f>SUBTOTAL(9,H2912:H2917)</f>
        <v>109.59</v>
      </c>
      <c r="I2918" s="4">
        <f>SUBTOTAL(9,I2912:I2917)</f>
        <v>0</v>
      </c>
      <c r="J2918" s="4">
        <f>SUBTOTAL(9,J2912:J2917)</f>
        <v>0</v>
      </c>
      <c r="K2918" s="4">
        <f>SUBTOTAL(9,K2912:K2917)</f>
        <v>0</v>
      </c>
      <c r="L2918" s="4">
        <f>SUBTOTAL(9,L2912:L2917)</f>
        <v>0</v>
      </c>
      <c r="M2918" s="4">
        <f>SUBTOTAL(9,M2912:M2917)</f>
        <v>0</v>
      </c>
      <c r="N2918" s="4">
        <f>SUBTOTAL(9,N2912:N2917)</f>
        <v>552.79</v>
      </c>
      <c r="O2918" s="4">
        <f>SUBTOTAL(9,O2912:O2917)</f>
        <v>0</v>
      </c>
      <c r="P2918" s="4">
        <f>SUBTOTAL(9,P2912:P2917)</f>
        <v>0</v>
      </c>
      <c r="Q2918" s="4">
        <f>SUBTOTAL(9,Q2912:Q2917)</f>
        <v>0</v>
      </c>
      <c r="R2918" s="4">
        <f>SUBTOTAL(9,R2912:R2917)</f>
        <v>0</v>
      </c>
      <c r="S2918" s="8">
        <f t="shared" si="135"/>
        <v>92.131666666666661</v>
      </c>
      <c r="T2918" s="8">
        <f t="shared" si="136"/>
        <v>-92.131666666666661</v>
      </c>
      <c r="U2918" s="9">
        <f t="shared" si="137"/>
        <v>-1</v>
      </c>
    </row>
    <row r="2919" spans="1:22" outlineLevel="2">
      <c r="A2919" t="s">
        <v>674</v>
      </c>
      <c r="B2919" t="s">
        <v>325</v>
      </c>
      <c r="C2919" t="s">
        <v>61</v>
      </c>
      <c r="D2919" t="s">
        <v>62</v>
      </c>
      <c r="E2919" s="4">
        <v>56000</v>
      </c>
      <c r="F2919" s="4">
        <v>0</v>
      </c>
      <c r="G2919" s="4">
        <v>0</v>
      </c>
      <c r="H2919" s="4">
        <v>24000</v>
      </c>
      <c r="I2919" s="4">
        <v>0</v>
      </c>
      <c r="J2919" s="4">
        <v>0</v>
      </c>
      <c r="K2919" s="4">
        <v>0</v>
      </c>
      <c r="L2919" s="4">
        <v>0</v>
      </c>
      <c r="M2919" s="4">
        <v>48000</v>
      </c>
      <c r="N2919" s="4">
        <v>0</v>
      </c>
      <c r="O2919" s="4">
        <v>0</v>
      </c>
      <c r="P2919" s="4">
        <v>0</v>
      </c>
      <c r="Q2919" s="4">
        <v>45103.130000000005</v>
      </c>
      <c r="S2919" s="8">
        <f t="shared" si="135"/>
        <v>15517.188333333334</v>
      </c>
      <c r="T2919" s="8">
        <f t="shared" si="136"/>
        <v>-15517.188333333334</v>
      </c>
      <c r="U2919" s="9">
        <f t="shared" si="137"/>
        <v>-1</v>
      </c>
    </row>
    <row r="2920" spans="1:22" outlineLevel="2">
      <c r="A2920" t="s">
        <v>674</v>
      </c>
      <c r="B2920" t="s">
        <v>325</v>
      </c>
      <c r="C2920" t="s">
        <v>87</v>
      </c>
      <c r="D2920" t="s">
        <v>88</v>
      </c>
      <c r="E2920" s="4">
        <v>0</v>
      </c>
      <c r="F2920" s="4">
        <v>0</v>
      </c>
      <c r="G2920" s="4">
        <v>19000</v>
      </c>
      <c r="H2920" s="4">
        <v>0</v>
      </c>
      <c r="I2920" s="4">
        <v>0</v>
      </c>
      <c r="J2920" s="4">
        <v>0</v>
      </c>
      <c r="K2920" s="4">
        <v>0</v>
      </c>
      <c r="L2920" s="4">
        <v>0</v>
      </c>
      <c r="M2920" s="4">
        <v>0</v>
      </c>
      <c r="N2920" s="4">
        <v>0</v>
      </c>
      <c r="O2920" s="4">
        <v>0</v>
      </c>
      <c r="P2920" s="4">
        <v>0</v>
      </c>
      <c r="Q2920" s="4">
        <v>0</v>
      </c>
      <c r="S2920" s="8">
        <f t="shared" si="135"/>
        <v>0</v>
      </c>
      <c r="T2920" s="8">
        <f t="shared" si="136"/>
        <v>0</v>
      </c>
      <c r="U2920" s="9" t="e">
        <f t="shared" si="137"/>
        <v>#DIV/0!</v>
      </c>
    </row>
    <row r="2921" spans="1:22" outlineLevel="2">
      <c r="A2921" t="s">
        <v>674</v>
      </c>
      <c r="B2921" t="s">
        <v>325</v>
      </c>
      <c r="C2921" t="s">
        <v>168</v>
      </c>
      <c r="D2921" t="s">
        <v>169</v>
      </c>
      <c r="E2921" s="4">
        <v>0</v>
      </c>
      <c r="F2921" s="4">
        <v>0</v>
      </c>
      <c r="G2921" s="4">
        <v>100828.7</v>
      </c>
      <c r="H2921" s="4">
        <v>0</v>
      </c>
      <c r="I2921" s="4">
        <v>0</v>
      </c>
      <c r="J2921" s="4">
        <v>13017</v>
      </c>
      <c r="K2921" s="4">
        <v>0</v>
      </c>
      <c r="L2921" s="4">
        <v>0</v>
      </c>
      <c r="M2921" s="4">
        <v>0</v>
      </c>
      <c r="N2921" s="4">
        <v>0</v>
      </c>
      <c r="O2921" s="4">
        <v>0</v>
      </c>
      <c r="P2921" s="4">
        <v>0</v>
      </c>
      <c r="Q2921" s="4">
        <v>0</v>
      </c>
      <c r="S2921" s="8">
        <f t="shared" si="135"/>
        <v>0</v>
      </c>
      <c r="T2921" s="8">
        <f t="shared" si="136"/>
        <v>0</v>
      </c>
      <c r="U2921" s="9" t="e">
        <f t="shared" si="137"/>
        <v>#DIV/0!</v>
      </c>
    </row>
    <row r="2922" spans="1:22" outlineLevel="2">
      <c r="A2922" t="s">
        <v>674</v>
      </c>
      <c r="B2922" t="s">
        <v>325</v>
      </c>
      <c r="C2922" t="s">
        <v>99</v>
      </c>
      <c r="D2922" t="s">
        <v>100</v>
      </c>
      <c r="E2922" s="4">
        <v>382170.06</v>
      </c>
      <c r="F2922" s="4">
        <v>-312201.43</v>
      </c>
      <c r="G2922" s="4">
        <v>20473.80000000001</v>
      </c>
      <c r="H2922" s="4">
        <v>356031.41000000003</v>
      </c>
      <c r="I2922" s="4">
        <v>22830.6</v>
      </c>
      <c r="J2922" s="4">
        <v>0</v>
      </c>
      <c r="K2922" s="4">
        <v>0</v>
      </c>
      <c r="L2922" s="4">
        <v>-268152.46999999997</v>
      </c>
      <c r="M2922" s="4">
        <v>0</v>
      </c>
      <c r="N2922" s="4">
        <v>0</v>
      </c>
      <c r="O2922" s="4">
        <v>0</v>
      </c>
      <c r="P2922" s="4">
        <v>0</v>
      </c>
      <c r="Q2922" s="4">
        <v>0</v>
      </c>
      <c r="S2922" s="8">
        <f t="shared" si="135"/>
        <v>-44692.078333333331</v>
      </c>
      <c r="T2922" s="8">
        <f t="shared" si="136"/>
        <v>44692.078333333331</v>
      </c>
      <c r="U2922" s="9">
        <f t="shared" si="137"/>
        <v>-1</v>
      </c>
    </row>
    <row r="2923" spans="1:22" outlineLevel="2">
      <c r="A2923" t="s">
        <v>674</v>
      </c>
      <c r="B2923" t="s">
        <v>325</v>
      </c>
      <c r="C2923" t="s">
        <v>101</v>
      </c>
      <c r="D2923" t="s">
        <v>102</v>
      </c>
      <c r="E2923" s="4">
        <v>28398.800000000017</v>
      </c>
      <c r="F2923" s="4">
        <v>26430</v>
      </c>
      <c r="G2923" s="4">
        <v>13750</v>
      </c>
      <c r="H2923" s="4">
        <v>-16081.25</v>
      </c>
      <c r="I2923" s="4">
        <v>1195318.2000000002</v>
      </c>
      <c r="J2923" s="4">
        <v>72374.219999999972</v>
      </c>
      <c r="K2923" s="4">
        <v>50099.99</v>
      </c>
      <c r="L2923" s="4">
        <v>1501.4699999999993</v>
      </c>
      <c r="M2923" s="4">
        <v>31641.190000000002</v>
      </c>
      <c r="N2923" s="4">
        <v>1137.5</v>
      </c>
      <c r="O2923" s="4">
        <v>0</v>
      </c>
      <c r="P2923" s="4">
        <v>2403.8000000000002</v>
      </c>
      <c r="Q2923" s="4">
        <v>0</v>
      </c>
      <c r="R2923" s="4">
        <v>1051715.5</v>
      </c>
      <c r="S2923" s="8">
        <f t="shared" si="135"/>
        <v>6113.9933333333347</v>
      </c>
      <c r="T2923" s="8">
        <f t="shared" si="136"/>
        <v>1045601.5066666667</v>
      </c>
      <c r="U2923" s="9">
        <f t="shared" si="137"/>
        <v>171.0177701643988</v>
      </c>
      <c r="V2923" t="s">
        <v>896</v>
      </c>
    </row>
    <row r="2924" spans="1:22" outlineLevel="2">
      <c r="A2924" t="s">
        <v>674</v>
      </c>
      <c r="B2924" t="s">
        <v>325</v>
      </c>
      <c r="C2924" t="s">
        <v>111</v>
      </c>
      <c r="D2924" t="s">
        <v>112</v>
      </c>
      <c r="E2924" s="4">
        <v>0</v>
      </c>
      <c r="F2924" s="4">
        <v>2008.5</v>
      </c>
      <c r="G2924" s="4">
        <v>3670.29</v>
      </c>
      <c r="H2924" s="4">
        <v>15247.5</v>
      </c>
      <c r="I2924" s="4">
        <v>41129.949999999997</v>
      </c>
      <c r="J2924" s="4">
        <v>16740</v>
      </c>
      <c r="K2924" s="4">
        <v>20002.12</v>
      </c>
      <c r="L2924" s="4">
        <v>21460</v>
      </c>
      <c r="M2924" s="4">
        <v>0</v>
      </c>
      <c r="N2924" s="4">
        <v>40000</v>
      </c>
      <c r="O2924" s="4">
        <v>40000</v>
      </c>
      <c r="P2924" s="4">
        <v>20000</v>
      </c>
      <c r="Q2924" s="4">
        <v>40000</v>
      </c>
      <c r="R2924" s="4">
        <v>20000</v>
      </c>
      <c r="S2924" s="8">
        <f t="shared" si="135"/>
        <v>26910</v>
      </c>
      <c r="T2924" s="8">
        <f t="shared" si="136"/>
        <v>-6910</v>
      </c>
      <c r="U2924" s="9">
        <f t="shared" si="137"/>
        <v>-0.25678186547751763</v>
      </c>
    </row>
    <row r="2925" spans="1:22" outlineLevel="1">
      <c r="A2925" s="1" t="s">
        <v>883</v>
      </c>
      <c r="E2925" s="4">
        <f>SUBTOTAL(9,E2919:E2924)</f>
        <v>466568.86</v>
      </c>
      <c r="F2925" s="4">
        <f>SUBTOTAL(9,F2919:F2924)</f>
        <v>-283762.93</v>
      </c>
      <c r="G2925" s="4">
        <f>SUBTOTAL(9,G2919:G2924)</f>
        <v>157722.79</v>
      </c>
      <c r="H2925" s="4">
        <f>SUBTOTAL(9,H2919:H2924)</f>
        <v>379197.66000000003</v>
      </c>
      <c r="I2925" s="4">
        <f>SUBTOTAL(9,I2919:I2924)</f>
        <v>1259278.7500000002</v>
      </c>
      <c r="J2925" s="4">
        <f>SUBTOTAL(9,J2919:J2924)</f>
        <v>102131.21999999997</v>
      </c>
      <c r="K2925" s="4">
        <f>SUBTOTAL(9,K2919:K2924)</f>
        <v>70102.11</v>
      </c>
      <c r="L2925" s="4">
        <f>SUBTOTAL(9,L2919:L2924)</f>
        <v>-245191</v>
      </c>
      <c r="M2925" s="4">
        <f>SUBTOTAL(9,M2919:M2924)</f>
        <v>79641.19</v>
      </c>
      <c r="N2925" s="4">
        <f>SUBTOTAL(9,N2919:N2924)</f>
        <v>41137.5</v>
      </c>
      <c r="O2925" s="4">
        <f>SUBTOTAL(9,O2919:O2924)</f>
        <v>40000</v>
      </c>
      <c r="P2925" s="4">
        <f>SUBTOTAL(9,P2919:P2924)</f>
        <v>22403.8</v>
      </c>
      <c r="Q2925" s="4">
        <f>SUBTOTAL(9,Q2919:Q2924)</f>
        <v>85103.13</v>
      </c>
      <c r="R2925" s="4">
        <f>SUBTOTAL(9,R2919:R2924)</f>
        <v>1071715.5</v>
      </c>
      <c r="S2925" s="8">
        <f t="shared" si="135"/>
        <v>3849.1033333333348</v>
      </c>
      <c r="T2925" s="8">
        <f t="shared" si="136"/>
        <v>1067866.3966666667</v>
      </c>
      <c r="U2925" s="9">
        <f t="shared" si="137"/>
        <v>277.43250938963263</v>
      </c>
      <c r="V2925" t="s">
        <v>896</v>
      </c>
    </row>
    <row r="2926" spans="1:22" outlineLevel="2">
      <c r="A2926" t="s">
        <v>675</v>
      </c>
      <c r="B2926" t="s">
        <v>676</v>
      </c>
      <c r="C2926" t="s">
        <v>101</v>
      </c>
      <c r="D2926" t="s">
        <v>102</v>
      </c>
      <c r="E2926" s="4">
        <v>0</v>
      </c>
      <c r="F2926" s="4">
        <v>0</v>
      </c>
      <c r="G2926" s="4">
        <v>0</v>
      </c>
      <c r="H2926" s="4">
        <v>0</v>
      </c>
      <c r="I2926" s="4">
        <v>0</v>
      </c>
      <c r="J2926" s="4">
        <v>0</v>
      </c>
      <c r="K2926" s="4">
        <v>0</v>
      </c>
      <c r="L2926" s="4">
        <v>0</v>
      </c>
      <c r="M2926" s="4">
        <v>0</v>
      </c>
      <c r="N2926" s="4">
        <v>0</v>
      </c>
      <c r="O2926" s="4">
        <v>0</v>
      </c>
      <c r="P2926" s="4">
        <v>0</v>
      </c>
      <c r="Q2926" s="4">
        <v>0</v>
      </c>
      <c r="S2926" s="8">
        <f t="shared" si="135"/>
        <v>0</v>
      </c>
      <c r="T2926" s="8">
        <f t="shared" si="136"/>
        <v>0</v>
      </c>
      <c r="U2926" s="9" t="e">
        <f t="shared" si="137"/>
        <v>#DIV/0!</v>
      </c>
    </row>
    <row r="2927" spans="1:22" outlineLevel="1">
      <c r="A2927" s="1" t="s">
        <v>884</v>
      </c>
      <c r="E2927" s="4">
        <f>SUBTOTAL(9,E2926:E2926)</f>
        <v>0</v>
      </c>
      <c r="F2927" s="4">
        <f>SUBTOTAL(9,F2926:F2926)</f>
        <v>0</v>
      </c>
      <c r="G2927" s="4">
        <f>SUBTOTAL(9,G2926:G2926)</f>
        <v>0</v>
      </c>
      <c r="H2927" s="4">
        <f>SUBTOTAL(9,H2926:H2926)</f>
        <v>0</v>
      </c>
      <c r="I2927" s="4">
        <f>SUBTOTAL(9,I2926:I2926)</f>
        <v>0</v>
      </c>
      <c r="J2927" s="4">
        <f>SUBTOTAL(9,J2926:J2926)</f>
        <v>0</v>
      </c>
      <c r="K2927" s="4">
        <f>SUBTOTAL(9,K2926:K2926)</f>
        <v>0</v>
      </c>
      <c r="L2927" s="4">
        <f>SUBTOTAL(9,L2926:L2926)</f>
        <v>0</v>
      </c>
      <c r="M2927" s="4">
        <f>SUBTOTAL(9,M2926:M2926)</f>
        <v>0</v>
      </c>
      <c r="N2927" s="4">
        <f>SUBTOTAL(9,N2926:N2926)</f>
        <v>0</v>
      </c>
      <c r="O2927" s="4">
        <f>SUBTOTAL(9,O2926:O2926)</f>
        <v>0</v>
      </c>
      <c r="P2927" s="4">
        <f>SUBTOTAL(9,P2926:P2926)</f>
        <v>0</v>
      </c>
      <c r="Q2927" s="4">
        <f>SUBTOTAL(9,Q2926:Q2926)</f>
        <v>0</v>
      </c>
      <c r="R2927" s="4">
        <f>SUBTOTAL(9,R2926:R2926)</f>
        <v>0</v>
      </c>
      <c r="S2927" s="8">
        <f t="shared" si="135"/>
        <v>0</v>
      </c>
      <c r="T2927" s="8">
        <f t="shared" si="136"/>
        <v>0</v>
      </c>
      <c r="U2927" s="9" t="e">
        <f t="shared" si="137"/>
        <v>#DIV/0!</v>
      </c>
    </row>
    <row r="2928" spans="1:22" outlineLevel="2">
      <c r="A2928" t="s">
        <v>677</v>
      </c>
      <c r="B2928" t="s">
        <v>678</v>
      </c>
      <c r="C2928" t="s">
        <v>21</v>
      </c>
      <c r="D2928" t="s">
        <v>22</v>
      </c>
      <c r="E2928" s="4">
        <v>116.32000000000001</v>
      </c>
      <c r="F2928" s="4">
        <v>29.369999999999997</v>
      </c>
      <c r="G2928" s="4">
        <v>119.22999999999999</v>
      </c>
      <c r="H2928" s="4">
        <v>542.9799999999999</v>
      </c>
      <c r="I2928" s="4">
        <v>185.03</v>
      </c>
      <c r="J2928" s="4">
        <v>249.59</v>
      </c>
      <c r="K2928" s="4">
        <v>1568.4299999999998</v>
      </c>
      <c r="L2928" s="4">
        <v>469.99999999999994</v>
      </c>
      <c r="M2928" s="4">
        <v>137.55000000000001</v>
      </c>
      <c r="N2928" s="4">
        <v>6.95</v>
      </c>
      <c r="O2928" s="4">
        <v>441.22</v>
      </c>
      <c r="P2928" s="4">
        <v>50.3</v>
      </c>
      <c r="Q2928" s="4">
        <v>0</v>
      </c>
      <c r="S2928" s="8">
        <f t="shared" si="135"/>
        <v>184.33666666666667</v>
      </c>
      <c r="T2928" s="8">
        <f t="shared" si="136"/>
        <v>-184.33666666666667</v>
      </c>
      <c r="U2928" s="9">
        <f t="shared" si="137"/>
        <v>-1</v>
      </c>
    </row>
    <row r="2929" spans="1:21" outlineLevel="2">
      <c r="A2929" t="s">
        <v>677</v>
      </c>
      <c r="B2929" t="s">
        <v>678</v>
      </c>
      <c r="C2929" t="s">
        <v>23</v>
      </c>
      <c r="D2929" t="s">
        <v>24</v>
      </c>
      <c r="E2929" s="4">
        <v>185.23000000000002</v>
      </c>
      <c r="F2929" s="4">
        <v>0</v>
      </c>
      <c r="G2929" s="4">
        <v>939.47</v>
      </c>
      <c r="H2929" s="4">
        <v>3723.8500000000004</v>
      </c>
      <c r="I2929" s="4">
        <v>1855.9599999999998</v>
      </c>
      <c r="J2929" s="4">
        <v>342.42999999999995</v>
      </c>
      <c r="K2929" s="4">
        <v>2683.99</v>
      </c>
      <c r="L2929" s="4">
        <v>17999.03</v>
      </c>
      <c r="M2929" s="4">
        <v>126.96</v>
      </c>
      <c r="N2929" s="4">
        <v>0</v>
      </c>
      <c r="O2929" s="4">
        <v>1661.53</v>
      </c>
      <c r="P2929" s="4">
        <v>0</v>
      </c>
      <c r="Q2929" s="4">
        <v>0</v>
      </c>
      <c r="S2929" s="8">
        <f t="shared" si="135"/>
        <v>3297.9199999999996</v>
      </c>
      <c r="T2929" s="8">
        <f t="shared" si="136"/>
        <v>-3297.9199999999996</v>
      </c>
      <c r="U2929" s="9">
        <f t="shared" si="137"/>
        <v>-1</v>
      </c>
    </row>
    <row r="2930" spans="1:21" outlineLevel="2">
      <c r="A2930" t="s">
        <v>677</v>
      </c>
      <c r="B2930" t="s">
        <v>678</v>
      </c>
      <c r="C2930" t="s">
        <v>25</v>
      </c>
      <c r="D2930" t="s">
        <v>26</v>
      </c>
      <c r="E2930" s="4">
        <v>0</v>
      </c>
      <c r="F2930" s="4">
        <v>0</v>
      </c>
      <c r="G2930" s="4">
        <v>0</v>
      </c>
      <c r="H2930" s="4">
        <v>0</v>
      </c>
      <c r="I2930" s="4">
        <v>0</v>
      </c>
      <c r="J2930" s="4">
        <v>0</v>
      </c>
      <c r="K2930" s="4">
        <v>0</v>
      </c>
      <c r="L2930" s="4">
        <v>0</v>
      </c>
      <c r="M2930" s="4">
        <v>0</v>
      </c>
      <c r="N2930" s="4">
        <v>1028.71</v>
      </c>
      <c r="O2930" s="4">
        <v>2536.14</v>
      </c>
      <c r="P2930" s="4">
        <v>0</v>
      </c>
      <c r="Q2930" s="4">
        <v>0</v>
      </c>
      <c r="S2930" s="8">
        <f t="shared" si="135"/>
        <v>594.14166666666665</v>
      </c>
      <c r="T2930" s="8">
        <f t="shared" si="136"/>
        <v>-594.14166666666665</v>
      </c>
      <c r="U2930" s="9">
        <f t="shared" si="137"/>
        <v>-1</v>
      </c>
    </row>
    <row r="2931" spans="1:21" outlineLevel="2">
      <c r="A2931" t="s">
        <v>677</v>
      </c>
      <c r="B2931" t="s">
        <v>678</v>
      </c>
      <c r="C2931" t="s">
        <v>27</v>
      </c>
      <c r="D2931" t="s">
        <v>28</v>
      </c>
      <c r="E2931" s="4">
        <v>0</v>
      </c>
      <c r="F2931" s="4">
        <v>0</v>
      </c>
      <c r="G2931" s="4">
        <v>0</v>
      </c>
      <c r="H2931" s="4">
        <v>0</v>
      </c>
      <c r="I2931" s="4">
        <v>0</v>
      </c>
      <c r="J2931" s="4">
        <v>0</v>
      </c>
      <c r="K2931" s="4">
        <v>0</v>
      </c>
      <c r="L2931" s="4">
        <v>0</v>
      </c>
      <c r="M2931" s="4">
        <v>0</v>
      </c>
      <c r="N2931" s="4">
        <v>78.400000000000006</v>
      </c>
      <c r="O2931" s="4">
        <v>2560.8900000000003</v>
      </c>
      <c r="P2931" s="4">
        <v>0</v>
      </c>
      <c r="Q2931" s="4">
        <v>0</v>
      </c>
      <c r="S2931" s="8">
        <f t="shared" si="135"/>
        <v>439.88166666666672</v>
      </c>
      <c r="T2931" s="8">
        <f t="shared" si="136"/>
        <v>-439.88166666666672</v>
      </c>
      <c r="U2931" s="9">
        <f t="shared" si="137"/>
        <v>-1</v>
      </c>
    </row>
    <row r="2932" spans="1:21" outlineLevel="2">
      <c r="A2932" t="s">
        <v>677</v>
      </c>
      <c r="B2932" t="s">
        <v>678</v>
      </c>
      <c r="C2932" t="s">
        <v>136</v>
      </c>
      <c r="D2932" t="s">
        <v>137</v>
      </c>
      <c r="E2932" s="4">
        <v>0</v>
      </c>
      <c r="F2932" s="4">
        <v>0</v>
      </c>
      <c r="G2932" s="4">
        <v>0</v>
      </c>
      <c r="H2932" s="4">
        <v>546.41999999999996</v>
      </c>
      <c r="I2932" s="4">
        <v>-153.66</v>
      </c>
      <c r="J2932" s="4">
        <v>145.4</v>
      </c>
      <c r="K2932" s="4">
        <v>-145.4</v>
      </c>
      <c r="L2932" s="4">
        <v>351.98</v>
      </c>
      <c r="M2932" s="4">
        <v>-95.69</v>
      </c>
      <c r="N2932" s="4">
        <v>95.69</v>
      </c>
      <c r="O2932" s="4">
        <v>142.97999999999999</v>
      </c>
      <c r="P2932" s="4">
        <v>75.540000000000006</v>
      </c>
      <c r="Q2932" s="4">
        <v>240.54</v>
      </c>
      <c r="R2932" s="4">
        <v>166.64</v>
      </c>
      <c r="S2932" s="8">
        <f t="shared" si="135"/>
        <v>135.17333333333332</v>
      </c>
      <c r="T2932" s="8">
        <f t="shared" si="136"/>
        <v>31.466666666666669</v>
      </c>
      <c r="U2932" s="9">
        <f t="shared" si="137"/>
        <v>0.23278753205760508</v>
      </c>
    </row>
    <row r="2933" spans="1:21" outlineLevel="2">
      <c r="A2933" t="s">
        <v>677</v>
      </c>
      <c r="B2933" t="s">
        <v>678</v>
      </c>
      <c r="C2933" t="s">
        <v>372</v>
      </c>
      <c r="D2933" t="s">
        <v>373</v>
      </c>
      <c r="E2933" s="4">
        <v>0</v>
      </c>
      <c r="F2933" s="4">
        <v>0</v>
      </c>
      <c r="G2933" s="4">
        <v>0</v>
      </c>
      <c r="H2933" s="4">
        <v>0</v>
      </c>
      <c r="I2933" s="4">
        <v>0</v>
      </c>
      <c r="J2933" s="4">
        <v>0</v>
      </c>
      <c r="K2933" s="4">
        <v>0</v>
      </c>
      <c r="L2933" s="4">
        <v>0</v>
      </c>
      <c r="M2933" s="4">
        <v>102182</v>
      </c>
      <c r="N2933" s="4">
        <v>0</v>
      </c>
      <c r="O2933" s="4">
        <v>0</v>
      </c>
      <c r="P2933" s="4">
        <v>0</v>
      </c>
      <c r="Q2933" s="4">
        <v>0</v>
      </c>
      <c r="S2933" s="8">
        <f t="shared" si="135"/>
        <v>17030.333333333332</v>
      </c>
      <c r="T2933" s="8">
        <f t="shared" si="136"/>
        <v>-17030.333333333332</v>
      </c>
      <c r="U2933" s="9">
        <f t="shared" si="137"/>
        <v>-1</v>
      </c>
    </row>
    <row r="2934" spans="1:21" outlineLevel="2">
      <c r="A2934" t="s">
        <v>677</v>
      </c>
      <c r="B2934" t="s">
        <v>678</v>
      </c>
      <c r="C2934" t="s">
        <v>33</v>
      </c>
      <c r="D2934" t="s">
        <v>34</v>
      </c>
      <c r="E2934" s="4">
        <v>0</v>
      </c>
      <c r="F2934" s="4">
        <v>789</v>
      </c>
      <c r="G2934" s="4">
        <v>0</v>
      </c>
      <c r="H2934" s="4">
        <v>0</v>
      </c>
      <c r="I2934" s="4">
        <v>0</v>
      </c>
      <c r="J2934" s="4">
        <v>0</v>
      </c>
      <c r="K2934" s="4">
        <v>0</v>
      </c>
      <c r="L2934" s="4">
        <v>0</v>
      </c>
      <c r="M2934" s="4">
        <v>0</v>
      </c>
      <c r="N2934" s="4">
        <v>0</v>
      </c>
      <c r="O2934" s="4">
        <v>0</v>
      </c>
      <c r="P2934" s="4">
        <v>0</v>
      </c>
      <c r="Q2934" s="4">
        <v>0</v>
      </c>
      <c r="S2934" s="8">
        <f t="shared" si="135"/>
        <v>0</v>
      </c>
      <c r="T2934" s="8">
        <f t="shared" si="136"/>
        <v>0</v>
      </c>
      <c r="U2934" s="9" t="e">
        <f t="shared" si="137"/>
        <v>#DIV/0!</v>
      </c>
    </row>
    <row r="2935" spans="1:21" outlineLevel="2">
      <c r="A2935" t="s">
        <v>677</v>
      </c>
      <c r="B2935" t="s">
        <v>678</v>
      </c>
      <c r="C2935" t="s">
        <v>180</v>
      </c>
      <c r="D2935" t="s">
        <v>181</v>
      </c>
      <c r="E2935" s="4">
        <v>828.6</v>
      </c>
      <c r="F2935" s="4">
        <v>0</v>
      </c>
      <c r="G2935" s="4">
        <v>0</v>
      </c>
      <c r="H2935" s="4">
        <v>0</v>
      </c>
      <c r="I2935" s="4">
        <v>0</v>
      </c>
      <c r="J2935" s="4">
        <v>0</v>
      </c>
      <c r="K2935" s="4">
        <v>0</v>
      </c>
      <c r="L2935" s="4">
        <v>0</v>
      </c>
      <c r="M2935" s="4">
        <v>0</v>
      </c>
      <c r="N2935" s="4">
        <v>0</v>
      </c>
      <c r="O2935" s="4">
        <v>0</v>
      </c>
      <c r="P2935" s="4">
        <v>0</v>
      </c>
      <c r="Q2935" s="4">
        <v>0</v>
      </c>
      <c r="S2935" s="8">
        <f t="shared" si="135"/>
        <v>0</v>
      </c>
      <c r="T2935" s="8">
        <f t="shared" si="136"/>
        <v>0</v>
      </c>
      <c r="U2935" s="9" t="e">
        <f t="shared" si="137"/>
        <v>#DIV/0!</v>
      </c>
    </row>
    <row r="2936" spans="1:21" outlineLevel="2">
      <c r="A2936" t="s">
        <v>677</v>
      </c>
      <c r="B2936" t="s">
        <v>678</v>
      </c>
      <c r="C2936" t="s">
        <v>234</v>
      </c>
      <c r="D2936" t="s">
        <v>235</v>
      </c>
      <c r="E2936" s="4">
        <v>10686.08</v>
      </c>
      <c r="F2936" s="4">
        <v>10686.08</v>
      </c>
      <c r="G2936" s="4">
        <v>10686.08</v>
      </c>
      <c r="H2936" s="4">
        <v>10686.08</v>
      </c>
      <c r="I2936" s="4">
        <v>10686.08</v>
      </c>
      <c r="J2936" s="4">
        <v>19423.059999999998</v>
      </c>
      <c r="K2936" s="4">
        <v>11889.73</v>
      </c>
      <c r="L2936" s="4">
        <v>11889.73</v>
      </c>
      <c r="M2936" s="4">
        <v>11889.73</v>
      </c>
      <c r="N2936" s="4">
        <v>11889.73</v>
      </c>
      <c r="O2936" s="4">
        <v>11889.73</v>
      </c>
      <c r="P2936" s="4">
        <v>11889.73</v>
      </c>
      <c r="Q2936" s="4">
        <v>11889.73</v>
      </c>
      <c r="R2936" s="4">
        <v>11889.73</v>
      </c>
      <c r="S2936" s="8">
        <f t="shared" si="135"/>
        <v>11889.729999999998</v>
      </c>
      <c r="T2936" s="8">
        <f t="shared" si="136"/>
        <v>0</v>
      </c>
      <c r="U2936" s="9">
        <f t="shared" si="137"/>
        <v>1.5298828514573979E-16</v>
      </c>
    </row>
    <row r="2937" spans="1:21" outlineLevel="2">
      <c r="A2937" t="s">
        <v>677</v>
      </c>
      <c r="B2937" t="s">
        <v>678</v>
      </c>
      <c r="C2937" t="s">
        <v>47</v>
      </c>
      <c r="D2937" t="s">
        <v>48</v>
      </c>
      <c r="E2937" s="4">
        <v>8.2799999999999994</v>
      </c>
      <c r="F2937" s="4">
        <v>8.2799999999999994</v>
      </c>
      <c r="G2937" s="4">
        <v>-91.710000000000008</v>
      </c>
      <c r="H2937" s="4">
        <v>-91.710000000000008</v>
      </c>
      <c r="I2937" s="4">
        <v>8.2899999999999991</v>
      </c>
      <c r="J2937" s="4">
        <v>8.2799999999999994</v>
      </c>
      <c r="K2937" s="4">
        <v>8.2899999999999991</v>
      </c>
      <c r="L2937" s="4">
        <v>8.2899999999999991</v>
      </c>
      <c r="M2937" s="4">
        <v>8.2899999999999991</v>
      </c>
      <c r="N2937" s="4">
        <v>8.2799999999999994</v>
      </c>
      <c r="O2937" s="4">
        <v>8.2899999999999991</v>
      </c>
      <c r="P2937" s="4">
        <v>8.2899999999999991</v>
      </c>
      <c r="Q2937" s="4">
        <v>8.2799999999999994</v>
      </c>
      <c r="R2937" s="4">
        <v>8.2899999999999991</v>
      </c>
      <c r="S2937" s="8">
        <f t="shared" si="135"/>
        <v>8.2866666666666671</v>
      </c>
      <c r="T2937" s="8">
        <f t="shared" si="136"/>
        <v>3.333333333332078E-3</v>
      </c>
      <c r="U2937" s="9">
        <f t="shared" si="137"/>
        <v>4.0225261464184368E-4</v>
      </c>
    </row>
    <row r="2938" spans="1:21" outlineLevel="2">
      <c r="A2938" t="s">
        <v>677</v>
      </c>
      <c r="B2938" t="s">
        <v>678</v>
      </c>
      <c r="C2938" t="s">
        <v>55</v>
      </c>
      <c r="D2938" t="s">
        <v>56</v>
      </c>
      <c r="E2938" s="4">
        <v>0</v>
      </c>
      <c r="F2938" s="4">
        <v>19.739999999999998</v>
      </c>
      <c r="G2938" s="4">
        <v>0</v>
      </c>
      <c r="H2938" s="4">
        <v>188.31</v>
      </c>
      <c r="I2938" s="4">
        <v>0</v>
      </c>
      <c r="J2938" s="4">
        <v>0</v>
      </c>
      <c r="K2938" s="4">
        <v>0</v>
      </c>
      <c r="L2938" s="4">
        <v>0</v>
      </c>
      <c r="M2938" s="4">
        <v>0</v>
      </c>
      <c r="N2938" s="4">
        <v>0</v>
      </c>
      <c r="O2938" s="4">
        <v>0</v>
      </c>
      <c r="P2938" s="4">
        <v>0</v>
      </c>
      <c r="Q2938" s="4">
        <v>0</v>
      </c>
      <c r="S2938" s="8">
        <f t="shared" si="135"/>
        <v>0</v>
      </c>
      <c r="T2938" s="8">
        <f t="shared" si="136"/>
        <v>0</v>
      </c>
      <c r="U2938" s="9" t="e">
        <f t="shared" si="137"/>
        <v>#DIV/0!</v>
      </c>
    </row>
    <row r="2939" spans="1:21" outlineLevel="2">
      <c r="A2939" t="s">
        <v>677</v>
      </c>
      <c r="B2939" t="s">
        <v>678</v>
      </c>
      <c r="C2939" t="s">
        <v>63</v>
      </c>
      <c r="D2939" t="s">
        <v>64</v>
      </c>
      <c r="E2939" s="4">
        <v>15.45</v>
      </c>
      <c r="F2939" s="4">
        <v>0</v>
      </c>
      <c r="G2939" s="4">
        <v>0</v>
      </c>
      <c r="H2939" s="4">
        <v>15.45</v>
      </c>
      <c r="I2939" s="4">
        <v>0</v>
      </c>
      <c r="J2939" s="4">
        <v>0</v>
      </c>
      <c r="K2939" s="4">
        <v>0</v>
      </c>
      <c r="L2939" s="4">
        <v>0</v>
      </c>
      <c r="M2939" s="4">
        <v>0</v>
      </c>
      <c r="N2939" s="4">
        <v>0</v>
      </c>
      <c r="O2939" s="4">
        <v>0</v>
      </c>
      <c r="P2939" s="4">
        <v>0</v>
      </c>
      <c r="Q2939" s="4">
        <v>0</v>
      </c>
      <c r="S2939" s="8">
        <f t="shared" si="135"/>
        <v>0</v>
      </c>
      <c r="T2939" s="8">
        <f t="shared" si="136"/>
        <v>0</v>
      </c>
      <c r="U2939" s="9" t="e">
        <f t="shared" si="137"/>
        <v>#DIV/0!</v>
      </c>
    </row>
    <row r="2940" spans="1:21" outlineLevel="2">
      <c r="A2940" t="s">
        <v>677</v>
      </c>
      <c r="B2940" t="s">
        <v>678</v>
      </c>
      <c r="C2940" t="s">
        <v>65</v>
      </c>
      <c r="D2940" t="s">
        <v>66</v>
      </c>
      <c r="E2940" s="4">
        <v>0</v>
      </c>
      <c r="F2940" s="4">
        <v>0</v>
      </c>
      <c r="G2940" s="4">
        <v>0</v>
      </c>
      <c r="H2940" s="4">
        <v>0</v>
      </c>
      <c r="I2940" s="4">
        <v>0</v>
      </c>
      <c r="J2940" s="4">
        <v>0</v>
      </c>
      <c r="K2940" s="4">
        <v>0</v>
      </c>
      <c r="L2940" s="4">
        <v>0</v>
      </c>
      <c r="M2940" s="4">
        <v>398.02</v>
      </c>
      <c r="N2940" s="4">
        <v>0</v>
      </c>
      <c r="O2940" s="4">
        <v>0</v>
      </c>
      <c r="P2940" s="4">
        <v>0</v>
      </c>
      <c r="Q2940" s="4">
        <v>0</v>
      </c>
      <c r="S2940" s="8">
        <f t="shared" si="135"/>
        <v>66.336666666666659</v>
      </c>
      <c r="T2940" s="8">
        <f t="shared" si="136"/>
        <v>-66.336666666666659</v>
      </c>
      <c r="U2940" s="9">
        <f t="shared" si="137"/>
        <v>-1</v>
      </c>
    </row>
    <row r="2941" spans="1:21" outlineLevel="2">
      <c r="A2941" t="s">
        <v>677</v>
      </c>
      <c r="B2941" t="s">
        <v>678</v>
      </c>
      <c r="C2941" t="s">
        <v>87</v>
      </c>
      <c r="D2941" t="s">
        <v>88</v>
      </c>
      <c r="E2941" s="4">
        <v>0</v>
      </c>
      <c r="F2941" s="4">
        <v>0</v>
      </c>
      <c r="G2941" s="4">
        <v>0</v>
      </c>
      <c r="H2941" s="4">
        <v>0</v>
      </c>
      <c r="I2941" s="4">
        <v>0</v>
      </c>
      <c r="J2941" s="4">
        <v>0</v>
      </c>
      <c r="K2941" s="4">
        <v>0</v>
      </c>
      <c r="L2941" s="4">
        <v>0</v>
      </c>
      <c r="M2941" s="4">
        <v>0</v>
      </c>
      <c r="N2941" s="4">
        <v>0</v>
      </c>
      <c r="O2941" s="4">
        <v>0</v>
      </c>
      <c r="P2941" s="4">
        <v>79.62</v>
      </c>
      <c r="Q2941" s="4">
        <v>0</v>
      </c>
      <c r="S2941" s="8">
        <f t="shared" si="135"/>
        <v>13.270000000000001</v>
      </c>
      <c r="T2941" s="8">
        <f t="shared" si="136"/>
        <v>-13.270000000000001</v>
      </c>
      <c r="U2941" s="9">
        <f t="shared" si="137"/>
        <v>-1</v>
      </c>
    </row>
    <row r="2942" spans="1:21" outlineLevel="2">
      <c r="A2942" t="s">
        <v>677</v>
      </c>
      <c r="B2942" t="s">
        <v>678</v>
      </c>
      <c r="C2942" t="s">
        <v>166</v>
      </c>
      <c r="D2942" t="s">
        <v>167</v>
      </c>
      <c r="E2942" s="4">
        <v>195</v>
      </c>
      <c r="F2942" s="4">
        <v>0</v>
      </c>
      <c r="G2942" s="4">
        <v>240</v>
      </c>
      <c r="H2942" s="4">
        <v>0</v>
      </c>
      <c r="I2942" s="4">
        <v>0</v>
      </c>
      <c r="J2942" s="4">
        <v>0</v>
      </c>
      <c r="K2942" s="4">
        <v>0</v>
      </c>
      <c r="L2942" s="4">
        <v>0</v>
      </c>
      <c r="M2942" s="4">
        <v>0</v>
      </c>
      <c r="N2942" s="4">
        <v>0</v>
      </c>
      <c r="O2942" s="4">
        <v>0</v>
      </c>
      <c r="P2942" s="4">
        <v>0</v>
      </c>
      <c r="Q2942" s="4">
        <v>0</v>
      </c>
      <c r="S2942" s="8">
        <f t="shared" si="135"/>
        <v>0</v>
      </c>
      <c r="T2942" s="8">
        <f t="shared" si="136"/>
        <v>0</v>
      </c>
      <c r="U2942" s="9" t="e">
        <f t="shared" si="137"/>
        <v>#DIV/0!</v>
      </c>
    </row>
    <row r="2943" spans="1:21" outlineLevel="2">
      <c r="A2943" t="s">
        <v>677</v>
      </c>
      <c r="B2943" t="s">
        <v>678</v>
      </c>
      <c r="C2943" t="s">
        <v>127</v>
      </c>
      <c r="D2943" t="s">
        <v>120</v>
      </c>
      <c r="E2943" s="4">
        <v>0</v>
      </c>
      <c r="F2943" s="4">
        <v>0</v>
      </c>
      <c r="G2943" s="4">
        <v>0</v>
      </c>
      <c r="H2943" s="4">
        <v>0</v>
      </c>
      <c r="I2943" s="4">
        <v>0</v>
      </c>
      <c r="J2943" s="4">
        <v>0</v>
      </c>
      <c r="K2943" s="4">
        <v>0</v>
      </c>
      <c r="L2943" s="4">
        <v>0</v>
      </c>
      <c r="M2943" s="4">
        <v>0</v>
      </c>
      <c r="N2943" s="4">
        <v>0</v>
      </c>
      <c r="O2943" s="4">
        <v>0</v>
      </c>
      <c r="P2943" s="4">
        <v>398.40999999999997</v>
      </c>
      <c r="Q2943" s="4">
        <v>0</v>
      </c>
      <c r="S2943" s="8">
        <f t="shared" si="135"/>
        <v>66.401666666666657</v>
      </c>
      <c r="T2943" s="8">
        <f t="shared" si="136"/>
        <v>-66.401666666666657</v>
      </c>
      <c r="U2943" s="9">
        <f t="shared" si="137"/>
        <v>-1</v>
      </c>
    </row>
    <row r="2944" spans="1:21" outlineLevel="1">
      <c r="A2944" s="1" t="s">
        <v>885</v>
      </c>
      <c r="E2944" s="4">
        <f>SUBTOTAL(9,E2928:E2943)</f>
        <v>12034.960000000001</v>
      </c>
      <c r="F2944" s="4">
        <f>SUBTOTAL(9,F2928:F2943)</f>
        <v>11532.470000000001</v>
      </c>
      <c r="G2944" s="4">
        <f>SUBTOTAL(9,G2928:G2943)</f>
        <v>11893.070000000002</v>
      </c>
      <c r="H2944" s="4">
        <f>SUBTOTAL(9,H2928:H2943)</f>
        <v>15611.380000000001</v>
      </c>
      <c r="I2944" s="4">
        <f>SUBTOTAL(9,I2928:I2943)</f>
        <v>12581.7</v>
      </c>
      <c r="J2944" s="4">
        <f>SUBTOTAL(9,J2928:J2943)</f>
        <v>20168.759999999995</v>
      </c>
      <c r="K2944" s="4">
        <f>SUBTOTAL(9,K2928:K2943)</f>
        <v>16005.04</v>
      </c>
      <c r="L2944" s="4">
        <f>SUBTOTAL(9,L2928:L2943)</f>
        <v>30719.03</v>
      </c>
      <c r="M2944" s="4">
        <f>SUBTOTAL(9,M2928:M2943)</f>
        <v>114646.86</v>
      </c>
      <c r="N2944" s="4">
        <f>SUBTOTAL(9,N2928:N2943)</f>
        <v>13107.76</v>
      </c>
      <c r="O2944" s="4">
        <f>SUBTOTAL(9,O2928:O2943)</f>
        <v>19240.78</v>
      </c>
      <c r="P2944" s="4">
        <f>SUBTOTAL(9,P2928:P2943)</f>
        <v>12501.890000000001</v>
      </c>
      <c r="Q2944" s="4">
        <f>SUBTOTAL(9,Q2928:Q2943)</f>
        <v>12138.550000000001</v>
      </c>
      <c r="R2944" s="4">
        <f>SUBTOTAL(9,R2928:R2943)</f>
        <v>12064.66</v>
      </c>
      <c r="S2944" s="8">
        <f t="shared" si="135"/>
        <v>33725.811666666668</v>
      </c>
      <c r="T2944" s="8">
        <f t="shared" si="136"/>
        <v>-21661.151666666668</v>
      </c>
      <c r="U2944" s="9">
        <f t="shared" si="137"/>
        <v>-0.6422722121785357</v>
      </c>
    </row>
    <row r="2945" spans="1:22" outlineLevel="2">
      <c r="A2945" t="s">
        <v>679</v>
      </c>
      <c r="B2945" t="s">
        <v>680</v>
      </c>
      <c r="C2945" t="s">
        <v>19</v>
      </c>
      <c r="D2945" t="s">
        <v>20</v>
      </c>
      <c r="E2945" s="4">
        <v>1928.08</v>
      </c>
      <c r="F2945" s="4">
        <v>523.71999999999991</v>
      </c>
      <c r="G2945" s="4">
        <v>3171.8900000000003</v>
      </c>
      <c r="H2945" s="4">
        <v>185.09</v>
      </c>
      <c r="I2945" s="4">
        <v>193.54999999999998</v>
      </c>
      <c r="J2945" s="4">
        <v>3174.7299999999996</v>
      </c>
      <c r="K2945" s="4">
        <v>2078.0700000000002</v>
      </c>
      <c r="L2945" s="4">
        <v>2036.1300000000003</v>
      </c>
      <c r="M2945" s="4">
        <v>246.23000000000002</v>
      </c>
      <c r="N2945" s="4">
        <v>9733.2200000000012</v>
      </c>
      <c r="O2945" s="4">
        <v>11762.710000000003</v>
      </c>
      <c r="P2945" s="4">
        <v>2606.38</v>
      </c>
      <c r="Q2945" s="4">
        <v>852.18</v>
      </c>
      <c r="R2945" s="4">
        <v>6915.2300000000005</v>
      </c>
      <c r="S2945" s="8">
        <f t="shared" si="135"/>
        <v>4539.4750000000013</v>
      </c>
      <c r="T2945" s="8">
        <f t="shared" si="136"/>
        <v>2375.7549999999992</v>
      </c>
      <c r="U2945" s="9">
        <f t="shared" si="137"/>
        <v>0.5233545729407032</v>
      </c>
    </row>
    <row r="2946" spans="1:22" outlineLevel="2">
      <c r="A2946" t="s">
        <v>679</v>
      </c>
      <c r="B2946" t="s">
        <v>680</v>
      </c>
      <c r="C2946" t="s">
        <v>23</v>
      </c>
      <c r="D2946" t="s">
        <v>24</v>
      </c>
      <c r="E2946" s="4">
        <v>0</v>
      </c>
      <c r="F2946" s="4">
        <v>0</v>
      </c>
      <c r="G2946" s="4">
        <v>0</v>
      </c>
      <c r="H2946" s="4">
        <v>0</v>
      </c>
      <c r="I2946" s="4">
        <v>0</v>
      </c>
      <c r="J2946" s="4">
        <v>0</v>
      </c>
      <c r="K2946" s="4">
        <v>0</v>
      </c>
      <c r="L2946" s="4">
        <v>0</v>
      </c>
      <c r="M2946" s="4">
        <v>228.09</v>
      </c>
      <c r="N2946" s="4">
        <v>0</v>
      </c>
      <c r="O2946" s="4">
        <v>0</v>
      </c>
      <c r="P2946" s="4">
        <v>0</v>
      </c>
      <c r="Q2946" s="4">
        <v>0</v>
      </c>
      <c r="S2946" s="8">
        <f t="shared" si="135"/>
        <v>38.015000000000001</v>
      </c>
      <c r="T2946" s="8">
        <f t="shared" si="136"/>
        <v>-38.015000000000001</v>
      </c>
      <c r="U2946" s="9">
        <f t="shared" si="137"/>
        <v>-1</v>
      </c>
    </row>
    <row r="2947" spans="1:22" outlineLevel="2">
      <c r="A2947" t="s">
        <v>679</v>
      </c>
      <c r="B2947" t="s">
        <v>680</v>
      </c>
      <c r="C2947" t="s">
        <v>208</v>
      </c>
      <c r="D2947" t="s">
        <v>209</v>
      </c>
      <c r="E2947" s="4">
        <v>16080</v>
      </c>
      <c r="F2947" s="4">
        <v>16080.38</v>
      </c>
      <c r="G2947" s="4">
        <v>20122.699999999997</v>
      </c>
      <c r="H2947" s="4">
        <v>16080.38</v>
      </c>
      <c r="I2947" s="4">
        <v>16080.38</v>
      </c>
      <c r="J2947" s="4">
        <v>16795.849999999999</v>
      </c>
      <c r="K2947" s="4">
        <v>16080.38</v>
      </c>
      <c r="L2947" s="4">
        <v>16080.38</v>
      </c>
      <c r="M2947" s="4">
        <v>16012.59</v>
      </c>
      <c r="N2947" s="4">
        <v>17390.580000000002</v>
      </c>
      <c r="O2947" s="4">
        <v>17390.580000000002</v>
      </c>
      <c r="P2947" s="4">
        <v>17206.8</v>
      </c>
      <c r="Q2947" s="4">
        <v>18767.66</v>
      </c>
      <c r="R2947" s="4">
        <v>18767.66</v>
      </c>
      <c r="S2947" s="8">
        <f t="shared" ref="S2947:S2972" si="138">AVERAGE(L2947:Q2947)</f>
        <v>17141.431666666667</v>
      </c>
      <c r="T2947" s="8">
        <f t="shared" ref="T2947:T2972" si="139">R2947-S2947</f>
        <v>1626.2283333333326</v>
      </c>
      <c r="U2947" s="9">
        <f t="shared" ref="U2947:U2972" si="140">(R2947-S2947)/S2947</f>
        <v>9.4871208248941435E-2</v>
      </c>
    </row>
    <row r="2948" spans="1:22" outlineLevel="2">
      <c r="A2948" t="s">
        <v>679</v>
      </c>
      <c r="B2948" t="s">
        <v>680</v>
      </c>
      <c r="C2948" t="s">
        <v>37</v>
      </c>
      <c r="D2948" t="s">
        <v>38</v>
      </c>
      <c r="E2948" s="4">
        <v>113.76</v>
      </c>
      <c r="F2948" s="4">
        <v>1501.55</v>
      </c>
      <c r="G2948" s="4">
        <v>-30.98</v>
      </c>
      <c r="H2948" s="4">
        <v>0</v>
      </c>
      <c r="I2948" s="4">
        <v>106.36000000000001</v>
      </c>
      <c r="J2948" s="4">
        <v>454.12</v>
      </c>
      <c r="K2948" s="4">
        <v>288.97000000000003</v>
      </c>
      <c r="L2948" s="4">
        <v>137.34</v>
      </c>
      <c r="M2948" s="4">
        <v>152.97</v>
      </c>
      <c r="N2948" s="4">
        <v>0</v>
      </c>
      <c r="O2948" s="4">
        <v>0</v>
      </c>
      <c r="P2948" s="4">
        <v>0</v>
      </c>
      <c r="Q2948" s="4">
        <v>-1213.95</v>
      </c>
      <c r="S2948" s="8">
        <f t="shared" si="138"/>
        <v>-153.94000000000003</v>
      </c>
      <c r="T2948" s="8">
        <f t="shared" si="139"/>
        <v>153.94000000000003</v>
      </c>
      <c r="U2948" s="9">
        <f t="shared" si="140"/>
        <v>-1</v>
      </c>
    </row>
    <row r="2949" spans="1:22" outlineLevel="2">
      <c r="A2949" t="s">
        <v>679</v>
      </c>
      <c r="B2949" t="s">
        <v>680</v>
      </c>
      <c r="C2949" t="s">
        <v>180</v>
      </c>
      <c r="D2949" t="s">
        <v>181</v>
      </c>
      <c r="E2949" s="4">
        <v>314.37</v>
      </c>
      <c r="F2949" s="4">
        <v>27.11</v>
      </c>
      <c r="G2949" s="4">
        <v>0</v>
      </c>
      <c r="H2949" s="4">
        <v>0</v>
      </c>
      <c r="I2949" s="4">
        <v>0</v>
      </c>
      <c r="J2949" s="4">
        <v>0</v>
      </c>
      <c r="K2949" s="4">
        <v>0</v>
      </c>
      <c r="L2949" s="4">
        <v>0</v>
      </c>
      <c r="M2949" s="4">
        <v>0</v>
      </c>
      <c r="N2949" s="4">
        <v>0</v>
      </c>
      <c r="O2949" s="4">
        <v>0</v>
      </c>
      <c r="P2949" s="4">
        <v>0</v>
      </c>
      <c r="Q2949" s="4">
        <v>0</v>
      </c>
      <c r="S2949" s="8">
        <f t="shared" si="138"/>
        <v>0</v>
      </c>
      <c r="T2949" s="8">
        <f t="shared" si="139"/>
        <v>0</v>
      </c>
      <c r="U2949" s="9" t="e">
        <f t="shared" si="140"/>
        <v>#DIV/0!</v>
      </c>
    </row>
    <row r="2950" spans="1:22" outlineLevel="2">
      <c r="A2950" t="s">
        <v>679</v>
      </c>
      <c r="B2950" t="s">
        <v>680</v>
      </c>
      <c r="C2950" t="s">
        <v>39</v>
      </c>
      <c r="D2950" t="s">
        <v>40</v>
      </c>
      <c r="E2950" s="4">
        <v>0</v>
      </c>
      <c r="F2950" s="4">
        <v>1300.8900000000001</v>
      </c>
      <c r="G2950" s="4">
        <v>2215.06</v>
      </c>
      <c r="H2950" s="4">
        <v>1193.6099999999999</v>
      </c>
      <c r="I2950" s="4">
        <v>2146.7600000000002</v>
      </c>
      <c r="J2950" s="4">
        <v>1080.82</v>
      </c>
      <c r="K2950" s="4">
        <v>1576.89</v>
      </c>
      <c r="L2950" s="4">
        <v>2266.69</v>
      </c>
      <c r="M2950" s="4">
        <v>1140.1300000000001</v>
      </c>
      <c r="N2950" s="4">
        <v>3396.64</v>
      </c>
      <c r="O2950" s="4">
        <v>1140.1300000000001</v>
      </c>
      <c r="P2950" s="4">
        <v>2431.0500000000002</v>
      </c>
      <c r="Q2950" s="4">
        <v>955.5</v>
      </c>
      <c r="R2950" s="4">
        <v>1404.61</v>
      </c>
      <c r="S2950" s="8">
        <f t="shared" si="138"/>
        <v>1888.3566666666666</v>
      </c>
      <c r="T2950" s="8">
        <f t="shared" si="139"/>
        <v>-483.74666666666667</v>
      </c>
      <c r="U2950" s="9">
        <f t="shared" si="140"/>
        <v>-0.25617335708120115</v>
      </c>
    </row>
    <row r="2951" spans="1:22" outlineLevel="2">
      <c r="A2951" t="s">
        <v>679</v>
      </c>
      <c r="B2951" t="s">
        <v>680</v>
      </c>
      <c r="C2951" t="s">
        <v>458</v>
      </c>
      <c r="D2951" t="s">
        <v>459</v>
      </c>
      <c r="E2951" s="4">
        <v>0</v>
      </c>
      <c r="F2951" s="4">
        <v>0</v>
      </c>
      <c r="G2951" s="4">
        <v>0</v>
      </c>
      <c r="H2951" s="4">
        <v>0</v>
      </c>
      <c r="I2951" s="4">
        <v>710.63</v>
      </c>
      <c r="J2951" s="4">
        <v>771.92</v>
      </c>
      <c r="K2951" s="4">
        <v>-710.63</v>
      </c>
      <c r="L2951" s="4">
        <v>0</v>
      </c>
      <c r="M2951" s="4">
        <v>0</v>
      </c>
      <c r="N2951" s="4">
        <v>621.42000000000007</v>
      </c>
      <c r="O2951" s="4">
        <v>13.04</v>
      </c>
      <c r="P2951" s="4">
        <v>509.43</v>
      </c>
      <c r="Q2951" s="4">
        <v>0</v>
      </c>
      <c r="S2951" s="8">
        <f t="shared" si="138"/>
        <v>190.64833333333334</v>
      </c>
      <c r="T2951" s="8">
        <f t="shared" si="139"/>
        <v>-190.64833333333334</v>
      </c>
      <c r="U2951" s="9">
        <f t="shared" si="140"/>
        <v>-1</v>
      </c>
    </row>
    <row r="2952" spans="1:22" outlineLevel="2">
      <c r="A2952" t="s">
        <v>679</v>
      </c>
      <c r="B2952" t="s">
        <v>680</v>
      </c>
      <c r="C2952" t="s">
        <v>41</v>
      </c>
      <c r="D2952" t="s">
        <v>42</v>
      </c>
      <c r="E2952" s="4">
        <v>56.74</v>
      </c>
      <c r="F2952" s="4">
        <v>40.049999999999997</v>
      </c>
      <c r="G2952" s="4">
        <v>49.7</v>
      </c>
      <c r="H2952" s="4">
        <v>49.7</v>
      </c>
      <c r="I2952" s="4">
        <v>49.7</v>
      </c>
      <c r="J2952" s="4">
        <v>49.7</v>
      </c>
      <c r="K2952" s="4">
        <v>49.7</v>
      </c>
      <c r="L2952" s="4">
        <v>49.7</v>
      </c>
      <c r="M2952" s="4">
        <v>59.34</v>
      </c>
      <c r="N2952" s="4">
        <v>59.34</v>
      </c>
      <c r="O2952" s="4">
        <v>118.68</v>
      </c>
      <c r="P2952" s="4">
        <v>49.7</v>
      </c>
      <c r="Q2952" s="4">
        <v>-9.64</v>
      </c>
      <c r="R2952" s="4">
        <v>51.56</v>
      </c>
      <c r="S2952" s="8">
        <f t="shared" si="138"/>
        <v>54.52</v>
      </c>
      <c r="T2952" s="8">
        <f t="shared" si="139"/>
        <v>-2.9600000000000009</v>
      </c>
      <c r="U2952" s="9">
        <f t="shared" si="140"/>
        <v>-5.4292002934702877E-2</v>
      </c>
    </row>
    <row r="2953" spans="1:22" outlineLevel="2">
      <c r="A2953" t="s">
        <v>679</v>
      </c>
      <c r="B2953" t="s">
        <v>680</v>
      </c>
      <c r="C2953" t="s">
        <v>589</v>
      </c>
      <c r="D2953" t="s">
        <v>590</v>
      </c>
      <c r="E2953" s="4">
        <v>0</v>
      </c>
      <c r="F2953" s="4">
        <v>0</v>
      </c>
      <c r="G2953" s="4">
        <v>0</v>
      </c>
      <c r="H2953" s="4">
        <v>0</v>
      </c>
      <c r="I2953" s="4">
        <v>0</v>
      </c>
      <c r="J2953" s="4">
        <v>0</v>
      </c>
      <c r="K2953" s="4">
        <v>108.34</v>
      </c>
      <c r="L2953" s="4">
        <v>294.72000000000003</v>
      </c>
      <c r="M2953" s="4">
        <v>77.72</v>
      </c>
      <c r="N2953" s="4">
        <v>181.37</v>
      </c>
      <c r="O2953" s="4">
        <v>77.72</v>
      </c>
      <c r="P2953" s="4">
        <v>0</v>
      </c>
      <c r="Q2953" s="4">
        <v>113.91999999999999</v>
      </c>
      <c r="R2953" s="4">
        <v>110.36</v>
      </c>
      <c r="S2953" s="8">
        <f t="shared" si="138"/>
        <v>124.24166666666667</v>
      </c>
      <c r="T2953" s="8">
        <f t="shared" si="139"/>
        <v>-13.881666666666675</v>
      </c>
      <c r="U2953" s="9">
        <f t="shared" si="140"/>
        <v>-0.11173116909249453</v>
      </c>
    </row>
    <row r="2954" spans="1:22" outlineLevel="2">
      <c r="A2954" t="s">
        <v>679</v>
      </c>
      <c r="B2954" t="s">
        <v>680</v>
      </c>
      <c r="C2954" t="s">
        <v>47</v>
      </c>
      <c r="D2954" t="s">
        <v>48</v>
      </c>
      <c r="E2954" s="4">
        <v>3494.5400000000004</v>
      </c>
      <c r="F2954" s="4">
        <v>3556.43</v>
      </c>
      <c r="G2954" s="4">
        <v>3554.5499999999997</v>
      </c>
      <c r="H2954" s="4">
        <v>3478.0499999999997</v>
      </c>
      <c r="I2954" s="4">
        <v>3478.0499999999997</v>
      </c>
      <c r="J2954" s="4">
        <v>3321.3299999999981</v>
      </c>
      <c r="K2954" s="4">
        <v>3399.93</v>
      </c>
      <c r="L2954" s="4">
        <v>3477.89</v>
      </c>
      <c r="M2954" s="4">
        <v>3478.0499999999997</v>
      </c>
      <c r="N2954" s="4">
        <v>3068.02</v>
      </c>
      <c r="O2954" s="4">
        <v>3489.7699999999995</v>
      </c>
      <c r="P2954" s="4">
        <v>3579.4700000000003</v>
      </c>
      <c r="Q2954" s="4">
        <v>3580.29</v>
      </c>
      <c r="R2954" s="4">
        <v>2358.33</v>
      </c>
      <c r="S2954" s="8">
        <f t="shared" si="138"/>
        <v>3445.5816666666669</v>
      </c>
      <c r="T2954" s="8">
        <f t="shared" si="139"/>
        <v>-1087.251666666667</v>
      </c>
      <c r="U2954" s="9">
        <f t="shared" si="140"/>
        <v>-0.31554952743827974</v>
      </c>
    </row>
    <row r="2955" spans="1:22" outlineLevel="2">
      <c r="A2955" t="s">
        <v>679</v>
      </c>
      <c r="B2955" t="s">
        <v>680</v>
      </c>
      <c r="C2955" t="s">
        <v>49</v>
      </c>
      <c r="D2955" t="s">
        <v>50</v>
      </c>
      <c r="E2955" s="4">
        <v>0</v>
      </c>
      <c r="F2955" s="4">
        <v>0</v>
      </c>
      <c r="G2955" s="4">
        <v>0</v>
      </c>
      <c r="H2955" s="4">
        <v>0</v>
      </c>
      <c r="I2955" s="4">
        <v>0</v>
      </c>
      <c r="J2955" s="4">
        <v>-7032.65</v>
      </c>
      <c r="K2955" s="4">
        <v>0</v>
      </c>
      <c r="L2955" s="4">
        <v>0</v>
      </c>
      <c r="M2955" s="4">
        <v>0</v>
      </c>
      <c r="N2955" s="4">
        <v>0</v>
      </c>
      <c r="O2955" s="4">
        <v>0</v>
      </c>
      <c r="P2955" s="4">
        <v>0</v>
      </c>
      <c r="Q2955" s="4">
        <v>0</v>
      </c>
      <c r="R2955" s="4">
        <v>1131.4399999999998</v>
      </c>
      <c r="S2955" s="8">
        <f t="shared" si="138"/>
        <v>0</v>
      </c>
      <c r="T2955" s="8">
        <f t="shared" si="139"/>
        <v>1131.4399999999998</v>
      </c>
      <c r="U2955" s="9" t="e">
        <f t="shared" si="140"/>
        <v>#DIV/0!</v>
      </c>
      <c r="V2955" t="s">
        <v>895</v>
      </c>
    </row>
    <row r="2956" spans="1:22" outlineLevel="2">
      <c r="A2956" t="s">
        <v>679</v>
      </c>
      <c r="B2956" t="s">
        <v>680</v>
      </c>
      <c r="C2956" t="s">
        <v>51</v>
      </c>
      <c r="D2956" t="s">
        <v>52</v>
      </c>
      <c r="E2956" s="4">
        <v>620</v>
      </c>
      <c r="F2956" s="4">
        <v>567</v>
      </c>
      <c r="G2956" s="4">
        <v>0</v>
      </c>
      <c r="H2956" s="4">
        <v>0</v>
      </c>
      <c r="I2956" s="4">
        <v>167.01</v>
      </c>
      <c r="J2956" s="4">
        <v>0</v>
      </c>
      <c r="K2956" s="4">
        <v>0</v>
      </c>
      <c r="L2956" s="4">
        <v>0</v>
      </c>
      <c r="M2956" s="4">
        <v>0</v>
      </c>
      <c r="N2956" s="4">
        <v>0</v>
      </c>
      <c r="O2956" s="4">
        <v>0</v>
      </c>
      <c r="P2956" s="4">
        <v>0</v>
      </c>
      <c r="Q2956" s="4">
        <v>0</v>
      </c>
      <c r="S2956" s="8">
        <f t="shared" si="138"/>
        <v>0</v>
      </c>
      <c r="T2956" s="8">
        <f t="shared" si="139"/>
        <v>0</v>
      </c>
      <c r="U2956" s="9" t="e">
        <f t="shared" si="140"/>
        <v>#DIV/0!</v>
      </c>
    </row>
    <row r="2957" spans="1:22" outlineLevel="2">
      <c r="A2957" t="s">
        <v>679</v>
      </c>
      <c r="B2957" t="s">
        <v>680</v>
      </c>
      <c r="C2957" t="s">
        <v>53</v>
      </c>
      <c r="D2957" t="s">
        <v>54</v>
      </c>
      <c r="E2957" s="4">
        <v>0</v>
      </c>
      <c r="F2957" s="4">
        <v>0</v>
      </c>
      <c r="G2957" s="4">
        <v>0</v>
      </c>
      <c r="H2957" s="4">
        <v>3980</v>
      </c>
      <c r="I2957" s="4">
        <v>970</v>
      </c>
      <c r="J2957" s="4">
        <v>970</v>
      </c>
      <c r="K2957" s="4">
        <v>970</v>
      </c>
      <c r="L2957" s="4">
        <v>970</v>
      </c>
      <c r="M2957" s="4">
        <v>970</v>
      </c>
      <c r="N2957" s="4">
        <v>970</v>
      </c>
      <c r="O2957" s="4">
        <v>970</v>
      </c>
      <c r="P2957" s="4">
        <v>970</v>
      </c>
      <c r="Q2957" s="4">
        <v>970</v>
      </c>
      <c r="R2957" s="4">
        <v>970</v>
      </c>
      <c r="S2957" s="8">
        <f t="shared" si="138"/>
        <v>970</v>
      </c>
      <c r="T2957" s="8">
        <f t="shared" si="139"/>
        <v>0</v>
      </c>
      <c r="U2957" s="9">
        <f t="shared" si="140"/>
        <v>0</v>
      </c>
    </row>
    <row r="2958" spans="1:22" outlineLevel="2">
      <c r="A2958" t="s">
        <v>679</v>
      </c>
      <c r="B2958" t="s">
        <v>680</v>
      </c>
      <c r="C2958" t="s">
        <v>63</v>
      </c>
      <c r="D2958" t="s">
        <v>64</v>
      </c>
      <c r="E2958" s="4">
        <v>791.03</v>
      </c>
      <c r="F2958" s="4">
        <v>208.78</v>
      </c>
      <c r="G2958" s="4">
        <v>-1.83</v>
      </c>
      <c r="H2958" s="4">
        <v>201.79</v>
      </c>
      <c r="I2958" s="4">
        <v>0</v>
      </c>
      <c r="J2958" s="4">
        <v>201.59</v>
      </c>
      <c r="K2958" s="4">
        <v>38</v>
      </c>
      <c r="L2958" s="4">
        <v>0</v>
      </c>
      <c r="M2958" s="4">
        <v>34.94</v>
      </c>
      <c r="N2958" s="4">
        <v>433.65</v>
      </c>
      <c r="O2958" s="4">
        <v>222.32</v>
      </c>
      <c r="P2958" s="4">
        <v>51.14</v>
      </c>
      <c r="Q2958" s="4">
        <v>25.5</v>
      </c>
      <c r="S2958" s="8">
        <f t="shared" si="138"/>
        <v>127.925</v>
      </c>
      <c r="T2958" s="8">
        <f t="shared" si="139"/>
        <v>-127.925</v>
      </c>
      <c r="U2958" s="9">
        <f t="shared" si="140"/>
        <v>-1</v>
      </c>
    </row>
    <row r="2959" spans="1:22" outlineLevel="2">
      <c r="A2959" t="s">
        <v>679</v>
      </c>
      <c r="B2959" t="s">
        <v>680</v>
      </c>
      <c r="C2959" t="s">
        <v>65</v>
      </c>
      <c r="D2959" t="s">
        <v>66</v>
      </c>
      <c r="E2959" s="4">
        <v>0</v>
      </c>
      <c r="F2959" s="4">
        <v>0</v>
      </c>
      <c r="G2959" s="4">
        <v>2054.8599999999997</v>
      </c>
      <c r="H2959" s="4">
        <v>0</v>
      </c>
      <c r="I2959" s="4">
        <v>912.99</v>
      </c>
      <c r="J2959" s="4">
        <v>11167.220000000001</v>
      </c>
      <c r="K2959" s="4">
        <v>0</v>
      </c>
      <c r="L2959" s="4">
        <v>0</v>
      </c>
      <c r="M2959" s="4">
        <v>0</v>
      </c>
      <c r="N2959" s="4">
        <v>0</v>
      </c>
      <c r="O2959" s="4">
        <v>-8.42</v>
      </c>
      <c r="P2959" s="4">
        <v>0</v>
      </c>
      <c r="Q2959" s="4">
        <v>2000</v>
      </c>
      <c r="R2959" s="4">
        <v>2902.5</v>
      </c>
      <c r="S2959" s="8">
        <f t="shared" si="138"/>
        <v>331.93</v>
      </c>
      <c r="T2959" s="8">
        <f t="shared" si="139"/>
        <v>2570.5700000000002</v>
      </c>
      <c r="U2959" s="9">
        <f t="shared" si="140"/>
        <v>7.7443135600879707</v>
      </c>
    </row>
    <row r="2960" spans="1:22" outlineLevel="2">
      <c r="A2960" t="s">
        <v>679</v>
      </c>
      <c r="B2960" t="s">
        <v>680</v>
      </c>
      <c r="C2960" t="s">
        <v>67</v>
      </c>
      <c r="D2960" t="s">
        <v>68</v>
      </c>
      <c r="E2960" s="4">
        <v>0</v>
      </c>
      <c r="F2960" s="4">
        <v>337.97</v>
      </c>
      <c r="G2960" s="4">
        <v>126.95</v>
      </c>
      <c r="H2960" s="4">
        <v>187.86</v>
      </c>
      <c r="I2960" s="4">
        <v>186.33</v>
      </c>
      <c r="J2960" s="4">
        <v>0</v>
      </c>
      <c r="K2960" s="4">
        <v>0</v>
      </c>
      <c r="L2960" s="4">
        <v>0</v>
      </c>
      <c r="M2960" s="4">
        <v>0</v>
      </c>
      <c r="N2960" s="4">
        <v>0</v>
      </c>
      <c r="O2960" s="4">
        <v>0</v>
      </c>
      <c r="P2960" s="4">
        <v>0</v>
      </c>
      <c r="Q2960" s="4">
        <v>0</v>
      </c>
      <c r="S2960" s="8">
        <f t="shared" si="138"/>
        <v>0</v>
      </c>
      <c r="T2960" s="8">
        <f t="shared" si="139"/>
        <v>0</v>
      </c>
      <c r="U2960" s="9" t="e">
        <f t="shared" si="140"/>
        <v>#DIV/0!</v>
      </c>
    </row>
    <row r="2961" spans="1:22" outlineLevel="2">
      <c r="A2961" t="s">
        <v>679</v>
      </c>
      <c r="B2961" t="s">
        <v>680</v>
      </c>
      <c r="C2961" t="s">
        <v>69</v>
      </c>
      <c r="D2961" t="s">
        <v>70</v>
      </c>
      <c r="E2961" s="4">
        <v>0</v>
      </c>
      <c r="F2961" s="4">
        <v>225</v>
      </c>
      <c r="G2961" s="4">
        <v>0</v>
      </c>
      <c r="H2961" s="4">
        <v>0</v>
      </c>
      <c r="I2961" s="4">
        <v>0</v>
      </c>
      <c r="J2961" s="4">
        <v>0</v>
      </c>
      <c r="K2961" s="4">
        <v>0</v>
      </c>
      <c r="L2961" s="4">
        <v>0</v>
      </c>
      <c r="M2961" s="4">
        <v>0</v>
      </c>
      <c r="N2961" s="4">
        <v>1995</v>
      </c>
      <c r="O2961" s="4">
        <v>0</v>
      </c>
      <c r="P2961" s="4">
        <v>0</v>
      </c>
      <c r="Q2961" s="4">
        <v>0</v>
      </c>
      <c r="S2961" s="8">
        <f t="shared" si="138"/>
        <v>332.5</v>
      </c>
      <c r="T2961" s="8">
        <f t="shared" si="139"/>
        <v>-332.5</v>
      </c>
      <c r="U2961" s="9">
        <f t="shared" si="140"/>
        <v>-1</v>
      </c>
    </row>
    <row r="2962" spans="1:22" outlineLevel="2">
      <c r="A2962" t="s">
        <v>679</v>
      </c>
      <c r="B2962" t="s">
        <v>680</v>
      </c>
      <c r="C2962" t="s">
        <v>83</v>
      </c>
      <c r="D2962" t="s">
        <v>84</v>
      </c>
      <c r="E2962" s="4">
        <v>210.27000000000004</v>
      </c>
      <c r="F2962" s="4">
        <v>284.19</v>
      </c>
      <c r="G2962" s="4">
        <v>433.7</v>
      </c>
      <c r="H2962" s="4">
        <v>249.70000000000002</v>
      </c>
      <c r="I2962" s="4">
        <v>138.66</v>
      </c>
      <c r="J2962" s="4">
        <v>423.46</v>
      </c>
      <c r="K2962" s="4">
        <v>0</v>
      </c>
      <c r="L2962" s="4">
        <v>238.29000000000002</v>
      </c>
      <c r="M2962" s="4">
        <v>631.85</v>
      </c>
      <c r="N2962" s="4">
        <v>219.36</v>
      </c>
      <c r="O2962" s="4">
        <v>0</v>
      </c>
      <c r="P2962" s="4">
        <v>315.02</v>
      </c>
      <c r="Q2962" s="4">
        <v>20.48</v>
      </c>
      <c r="S2962" s="8">
        <f t="shared" si="138"/>
        <v>237.5</v>
      </c>
      <c r="T2962" s="8">
        <f t="shared" si="139"/>
        <v>-237.5</v>
      </c>
      <c r="U2962" s="9">
        <f t="shared" si="140"/>
        <v>-1</v>
      </c>
    </row>
    <row r="2963" spans="1:22" outlineLevel="2">
      <c r="A2963" t="s">
        <v>679</v>
      </c>
      <c r="B2963" t="s">
        <v>680</v>
      </c>
      <c r="C2963" t="s">
        <v>99</v>
      </c>
      <c r="D2963" t="s">
        <v>100</v>
      </c>
      <c r="E2963" s="4">
        <v>650</v>
      </c>
      <c r="F2963" s="4">
        <v>650</v>
      </c>
      <c r="G2963" s="4">
        <v>0</v>
      </c>
      <c r="H2963" s="4">
        <v>1300</v>
      </c>
      <c r="I2963" s="4">
        <v>650</v>
      </c>
      <c r="J2963" s="4">
        <v>650</v>
      </c>
      <c r="K2963" s="4">
        <v>11729.56</v>
      </c>
      <c r="L2963" s="4">
        <v>0</v>
      </c>
      <c r="M2963" s="4">
        <v>650</v>
      </c>
      <c r="N2963" s="4">
        <v>650</v>
      </c>
      <c r="O2963" s="4">
        <v>650</v>
      </c>
      <c r="P2963" s="4">
        <v>650</v>
      </c>
      <c r="Q2963" s="4">
        <v>650</v>
      </c>
      <c r="R2963" s="4">
        <v>-1300</v>
      </c>
      <c r="S2963" s="8">
        <f t="shared" si="138"/>
        <v>541.66666666666663</v>
      </c>
      <c r="T2963" s="8">
        <f t="shared" si="139"/>
        <v>-1841.6666666666665</v>
      </c>
      <c r="U2963" s="9">
        <f t="shared" si="140"/>
        <v>-3.4</v>
      </c>
    </row>
    <row r="2964" spans="1:22" outlineLevel="2">
      <c r="A2964" t="s">
        <v>679</v>
      </c>
      <c r="B2964" t="s">
        <v>680</v>
      </c>
      <c r="C2964" t="s">
        <v>101</v>
      </c>
      <c r="D2964" t="s">
        <v>102</v>
      </c>
      <c r="E2964" s="4">
        <v>263</v>
      </c>
      <c r="F2964" s="4">
        <v>4185.41</v>
      </c>
      <c r="G2964" s="4">
        <v>-336.99</v>
      </c>
      <c r="H2964" s="4">
        <v>17665.55</v>
      </c>
      <c r="I2964" s="4">
        <v>268.17</v>
      </c>
      <c r="J2964" s="4">
        <v>5103.4399999999996</v>
      </c>
      <c r="K2964" s="4">
        <v>-11279.5</v>
      </c>
      <c r="L2964" s="4">
        <v>3764.84</v>
      </c>
      <c r="M2964" s="4">
        <v>4043.6400000000003</v>
      </c>
      <c r="N2964" s="4">
        <v>3803.57</v>
      </c>
      <c r="O2964" s="4">
        <v>3500</v>
      </c>
      <c r="P2964" s="4">
        <v>5443.45</v>
      </c>
      <c r="Q2964" s="4">
        <v>0</v>
      </c>
      <c r="R2964" s="4">
        <v>4621.12</v>
      </c>
      <c r="S2964" s="8">
        <f t="shared" si="138"/>
        <v>3425.9166666666665</v>
      </c>
      <c r="T2964" s="8">
        <f t="shared" si="139"/>
        <v>1195.2033333333334</v>
      </c>
      <c r="U2964" s="9">
        <f t="shared" si="140"/>
        <v>0.34887110505704072</v>
      </c>
    </row>
    <row r="2965" spans="1:22" outlineLevel="2">
      <c r="A2965" t="s">
        <v>679</v>
      </c>
      <c r="B2965" t="s">
        <v>680</v>
      </c>
      <c r="C2965" t="s">
        <v>103</v>
      </c>
      <c r="D2965" t="s">
        <v>104</v>
      </c>
      <c r="E2965" s="4">
        <v>346.18</v>
      </c>
      <c r="F2965" s="4">
        <v>1865.49</v>
      </c>
      <c r="G2965" s="4">
        <v>4901.93</v>
      </c>
      <c r="H2965" s="4">
        <v>0</v>
      </c>
      <c r="I2965" s="4">
        <v>692.67</v>
      </c>
      <c r="J2965" s="4">
        <v>4702.4399999999996</v>
      </c>
      <c r="K2965" s="4">
        <v>346.17999999999995</v>
      </c>
      <c r="L2965" s="4">
        <v>626.25999999999988</v>
      </c>
      <c r="M2965" s="4">
        <v>6730.83</v>
      </c>
      <c r="N2965" s="4">
        <v>346.17</v>
      </c>
      <c r="O2965" s="4">
        <v>2626.2699999999995</v>
      </c>
      <c r="P2965" s="4">
        <v>2596.17</v>
      </c>
      <c r="Q2965" s="4">
        <v>576.17000000000007</v>
      </c>
      <c r="R2965" s="4">
        <v>897.4699999999998</v>
      </c>
      <c r="S2965" s="8">
        <f t="shared" si="138"/>
        <v>2250.3116666666665</v>
      </c>
      <c r="T2965" s="8">
        <f t="shared" si="139"/>
        <v>-1352.8416666666667</v>
      </c>
      <c r="U2965" s="9">
        <f t="shared" si="140"/>
        <v>-0.6011796884431565</v>
      </c>
    </row>
    <row r="2966" spans="1:22" outlineLevel="2">
      <c r="A2966" t="s">
        <v>679</v>
      </c>
      <c r="B2966" t="s">
        <v>680</v>
      </c>
      <c r="C2966" t="s">
        <v>236</v>
      </c>
      <c r="D2966" t="s">
        <v>237</v>
      </c>
      <c r="E2966" s="4">
        <v>18750</v>
      </c>
      <c r="F2966" s="4">
        <v>18750</v>
      </c>
      <c r="G2966" s="4">
        <v>18750</v>
      </c>
      <c r="H2966" s="4">
        <v>18750</v>
      </c>
      <c r="I2966" s="4">
        <v>18750</v>
      </c>
      <c r="J2966" s="4">
        <v>18750</v>
      </c>
      <c r="K2966" s="4">
        <v>18750</v>
      </c>
      <c r="L2966" s="4">
        <v>18750</v>
      </c>
      <c r="M2966" s="4">
        <v>18750</v>
      </c>
      <c r="N2966" s="4">
        <v>18750</v>
      </c>
      <c r="O2966" s="4">
        <v>18750</v>
      </c>
      <c r="P2966" s="4">
        <v>18750</v>
      </c>
      <c r="Q2966" s="4">
        <v>18750</v>
      </c>
      <c r="R2966" s="4">
        <v>18750</v>
      </c>
      <c r="S2966" s="8">
        <f t="shared" si="138"/>
        <v>18750</v>
      </c>
      <c r="T2966" s="8">
        <f t="shared" si="139"/>
        <v>0</v>
      </c>
      <c r="U2966" s="9">
        <f t="shared" si="140"/>
        <v>0</v>
      </c>
    </row>
    <row r="2967" spans="1:22" outlineLevel="2">
      <c r="A2967" t="s">
        <v>679</v>
      </c>
      <c r="B2967" t="s">
        <v>680</v>
      </c>
      <c r="C2967" t="s">
        <v>186</v>
      </c>
      <c r="D2967" t="s">
        <v>187</v>
      </c>
      <c r="E2967" s="4">
        <v>1169.8599999999999</v>
      </c>
      <c r="F2967" s="4">
        <v>1218.17</v>
      </c>
      <c r="G2967" s="4">
        <v>1096.0999999999999</v>
      </c>
      <c r="H2967" s="4">
        <v>1179.8399999999999</v>
      </c>
      <c r="I2967" s="4">
        <v>779.73</v>
      </c>
      <c r="J2967" s="4">
        <v>0</v>
      </c>
      <c r="K2967" s="4">
        <v>0</v>
      </c>
      <c r="L2967" s="4">
        <v>0</v>
      </c>
      <c r="M2967" s="4">
        <v>0</v>
      </c>
      <c r="N2967" s="4">
        <v>0</v>
      </c>
      <c r="O2967" s="4">
        <v>0</v>
      </c>
      <c r="P2967" s="4">
        <v>0</v>
      </c>
      <c r="Q2967" s="4">
        <v>0</v>
      </c>
      <c r="S2967" s="8">
        <f t="shared" si="138"/>
        <v>0</v>
      </c>
      <c r="T2967" s="8">
        <f t="shared" si="139"/>
        <v>0</v>
      </c>
      <c r="U2967" s="9" t="e">
        <f t="shared" si="140"/>
        <v>#DIV/0!</v>
      </c>
    </row>
    <row r="2968" spans="1:22" outlineLevel="2">
      <c r="A2968" t="s">
        <v>679</v>
      </c>
      <c r="B2968" t="s">
        <v>680</v>
      </c>
      <c r="C2968" t="s">
        <v>472</v>
      </c>
      <c r="D2968" t="s">
        <v>473</v>
      </c>
      <c r="E2968" s="4">
        <v>1862.4</v>
      </c>
      <c r="F2968" s="4">
        <v>1862.4</v>
      </c>
      <c r="G2968" s="4">
        <v>1862.4</v>
      </c>
      <c r="H2968" s="4">
        <v>1862.4</v>
      </c>
      <c r="I2968" s="4">
        <v>1862.4</v>
      </c>
      <c r="J2968" s="4">
        <v>1862.4</v>
      </c>
      <c r="K2968" s="4">
        <v>1862.4</v>
      </c>
      <c r="L2968" s="4">
        <v>1862.4</v>
      </c>
      <c r="M2968" s="4">
        <v>1862.4</v>
      </c>
      <c r="N2968" s="4">
        <v>1862.4</v>
      </c>
      <c r="O2968" s="4">
        <v>1862.4</v>
      </c>
      <c r="P2968" s="4">
        <v>1862.4</v>
      </c>
      <c r="Q2968" s="4">
        <v>0</v>
      </c>
      <c r="S2968" s="8">
        <f t="shared" si="138"/>
        <v>1552</v>
      </c>
      <c r="T2968" s="8">
        <f t="shared" si="139"/>
        <v>-1552</v>
      </c>
      <c r="U2968" s="9">
        <f t="shared" si="140"/>
        <v>-1</v>
      </c>
    </row>
    <row r="2969" spans="1:22" outlineLevel="1">
      <c r="A2969" s="1" t="s">
        <v>886</v>
      </c>
      <c r="E2969" s="4">
        <f>SUBTOTAL(9,E2945:E2968)</f>
        <v>46650.23</v>
      </c>
      <c r="F2969" s="4">
        <f>SUBTOTAL(9,F2945:F2968)</f>
        <v>53184.54</v>
      </c>
      <c r="G2969" s="4">
        <f>SUBTOTAL(9,G2945:G2968)</f>
        <v>57970.039999999994</v>
      </c>
      <c r="H2969" s="4">
        <f>SUBTOTAL(9,H2945:H2968)</f>
        <v>66363.969999999987</v>
      </c>
      <c r="I2969" s="4">
        <f>SUBTOTAL(9,I2945:I2968)</f>
        <v>48143.39</v>
      </c>
      <c r="J2969" s="4">
        <f>SUBTOTAL(9,J2945:J2968)</f>
        <v>62446.369999999995</v>
      </c>
      <c r="K2969" s="4">
        <f>SUBTOTAL(9,K2945:K2968)</f>
        <v>45288.29</v>
      </c>
      <c r="L2969" s="4">
        <f>SUBTOTAL(9,L2945:L2968)</f>
        <v>50554.64</v>
      </c>
      <c r="M2969" s="4">
        <f>SUBTOTAL(9,M2945:M2968)</f>
        <v>55068.78</v>
      </c>
      <c r="N2969" s="4">
        <f>SUBTOTAL(9,N2945:N2968)</f>
        <v>63480.74</v>
      </c>
      <c r="O2969" s="4">
        <f>SUBTOTAL(9,O2945:O2968)</f>
        <v>62565.200000000004</v>
      </c>
      <c r="P2969" s="4">
        <f>SUBTOTAL(9,P2945:P2968)</f>
        <v>57021.01</v>
      </c>
      <c r="Q2969" s="4">
        <f>SUBTOTAL(9,Q2945:Q2968)</f>
        <v>46038.11</v>
      </c>
      <c r="R2969" s="4">
        <f>SUBTOTAL(9,R2945:R2968)</f>
        <v>57580.280000000006</v>
      </c>
      <c r="S2969" s="8">
        <f t="shared" si="138"/>
        <v>55788.079999999994</v>
      </c>
      <c r="T2969" s="8">
        <f t="shared" si="139"/>
        <v>1792.2000000000116</v>
      </c>
      <c r="U2969" s="9">
        <f t="shared" si="140"/>
        <v>3.2125142145060591E-2</v>
      </c>
      <c r="V2969" t="s">
        <v>895</v>
      </c>
    </row>
    <row r="2970" spans="1:22" outlineLevel="2">
      <c r="A2970" t="s">
        <v>681</v>
      </c>
      <c r="B2970" t="s">
        <v>682</v>
      </c>
      <c r="C2970" t="s">
        <v>127</v>
      </c>
      <c r="D2970" t="s">
        <v>120</v>
      </c>
      <c r="E2970" s="4">
        <v>0</v>
      </c>
      <c r="F2970" s="4">
        <v>0</v>
      </c>
      <c r="G2970" s="4">
        <v>0</v>
      </c>
      <c r="H2970" s="4">
        <v>0</v>
      </c>
      <c r="I2970" s="4">
        <v>0</v>
      </c>
      <c r="J2970" s="4">
        <v>0</v>
      </c>
      <c r="K2970" s="4">
        <v>0</v>
      </c>
      <c r="L2970" s="4">
        <v>0</v>
      </c>
      <c r="M2970" s="4">
        <v>7500</v>
      </c>
      <c r="N2970" s="4">
        <v>0</v>
      </c>
      <c r="O2970" s="4">
        <v>0</v>
      </c>
      <c r="P2970" s="4">
        <v>0</v>
      </c>
      <c r="Q2970" s="4">
        <v>0</v>
      </c>
      <c r="S2970" s="8">
        <f t="shared" si="138"/>
        <v>1250</v>
      </c>
      <c r="T2970" s="8">
        <f t="shared" si="139"/>
        <v>-1250</v>
      </c>
      <c r="U2970" s="9">
        <f t="shared" si="140"/>
        <v>-1</v>
      </c>
    </row>
    <row r="2971" spans="1:22" outlineLevel="1">
      <c r="A2971" s="1" t="s">
        <v>887</v>
      </c>
      <c r="E2971" s="4">
        <f>SUBTOTAL(9,E2970:E2970)</f>
        <v>0</v>
      </c>
      <c r="F2971" s="4">
        <f>SUBTOTAL(9,F2970:F2970)</f>
        <v>0</v>
      </c>
      <c r="G2971" s="4">
        <f>SUBTOTAL(9,G2970:G2970)</f>
        <v>0</v>
      </c>
      <c r="H2971" s="4">
        <f>SUBTOTAL(9,H2970:H2970)</f>
        <v>0</v>
      </c>
      <c r="I2971" s="4">
        <f>SUBTOTAL(9,I2970:I2970)</f>
        <v>0</v>
      </c>
      <c r="J2971" s="4">
        <f>SUBTOTAL(9,J2970:J2970)</f>
        <v>0</v>
      </c>
      <c r="K2971" s="4">
        <f>SUBTOTAL(9,K2970:K2970)</f>
        <v>0</v>
      </c>
      <c r="L2971" s="4">
        <f>SUBTOTAL(9,L2970:L2970)</f>
        <v>0</v>
      </c>
      <c r="M2971" s="4">
        <f>SUBTOTAL(9,M2970:M2970)</f>
        <v>7500</v>
      </c>
      <c r="N2971" s="4">
        <f>SUBTOTAL(9,N2970:N2970)</f>
        <v>0</v>
      </c>
      <c r="O2971" s="4">
        <f>SUBTOTAL(9,O2970:O2970)</f>
        <v>0</v>
      </c>
      <c r="P2971" s="4">
        <f>SUBTOTAL(9,P2970:P2970)</f>
        <v>0</v>
      </c>
      <c r="Q2971" s="4">
        <f>SUBTOTAL(9,Q2970:Q2970)</f>
        <v>0</v>
      </c>
      <c r="R2971" s="4">
        <f>SUBTOTAL(9,R2970:R2970)</f>
        <v>0</v>
      </c>
      <c r="S2971" s="8">
        <f t="shared" si="138"/>
        <v>1250</v>
      </c>
      <c r="T2971" s="8">
        <f t="shared" si="139"/>
        <v>-1250</v>
      </c>
      <c r="U2971" s="9">
        <f t="shared" si="140"/>
        <v>-1</v>
      </c>
    </row>
    <row r="2972" spans="1:22" outlineLevel="2">
      <c r="A2972" s="1" t="s">
        <v>683</v>
      </c>
      <c r="B2972" s="1"/>
      <c r="C2972" s="1"/>
      <c r="D2972" s="1"/>
      <c r="E2972" s="5">
        <v>23703692.469999984</v>
      </c>
      <c r="F2972" s="5">
        <v>19243175.270000007</v>
      </c>
      <c r="G2972" s="5">
        <v>20151835.980000027</v>
      </c>
      <c r="H2972" s="5">
        <v>26324605.970000006</v>
      </c>
      <c r="I2972" s="5">
        <v>19818675.369999997</v>
      </c>
      <c r="J2972" s="5">
        <v>31725149.479999993</v>
      </c>
      <c r="K2972" s="5">
        <v>17626242.949999996</v>
      </c>
      <c r="L2972" s="5">
        <v>15850102.940000009</v>
      </c>
      <c r="M2972" s="5">
        <v>44569384.579999983</v>
      </c>
      <c r="N2972" s="5">
        <v>16193747.480000006</v>
      </c>
      <c r="O2972" s="5">
        <v>15693027.419999994</v>
      </c>
      <c r="P2972" s="5">
        <v>23867453.669999994</v>
      </c>
      <c r="Q2972" s="5">
        <v>15041131.769999996</v>
      </c>
      <c r="R2972" s="5">
        <v>26403744.219999988</v>
      </c>
      <c r="S2972" s="8">
        <f t="shared" si="138"/>
        <v>21869141.309999995</v>
      </c>
      <c r="T2972" s="8">
        <f t="shared" si="139"/>
        <v>4534602.9099999927</v>
      </c>
      <c r="U2972" s="9">
        <f t="shared" si="140"/>
        <v>0.20735166716063411</v>
      </c>
      <c r="V2972" t="s">
        <v>896</v>
      </c>
    </row>
    <row r="2973" spans="1:22" outlineLevel="1">
      <c r="A2973" s="1" t="s">
        <v>888</v>
      </c>
      <c r="B2973" s="1"/>
      <c r="C2973" s="1"/>
      <c r="D2973" s="1"/>
      <c r="E2973" s="5">
        <f>SUBTOTAL(9,E2972:E2972)</f>
        <v>23703692.469999984</v>
      </c>
      <c r="F2973" s="5">
        <f>SUBTOTAL(9,F2972:F2972)</f>
        <v>19243175.270000007</v>
      </c>
      <c r="G2973" s="5">
        <f>SUBTOTAL(9,G2972:G2972)</f>
        <v>20151835.980000027</v>
      </c>
      <c r="H2973" s="5">
        <f>SUBTOTAL(9,H2972:H2972)</f>
        <v>26324605.970000006</v>
      </c>
      <c r="I2973" s="5">
        <f>SUBTOTAL(9,I2972:I2972)</f>
        <v>19818675.369999997</v>
      </c>
      <c r="J2973" s="5">
        <f>SUBTOTAL(9,J2972:J2972)</f>
        <v>31725149.479999993</v>
      </c>
      <c r="K2973" s="5">
        <f>SUBTOTAL(9,K2972:K2972)</f>
        <v>17626242.949999996</v>
      </c>
      <c r="L2973" s="5">
        <f>SUBTOTAL(9,L2972:L2972)</f>
        <v>15850102.940000009</v>
      </c>
      <c r="M2973" s="5">
        <f>SUBTOTAL(9,M2972:M2972)</f>
        <v>44569384.579999983</v>
      </c>
      <c r="N2973" s="5">
        <f>SUBTOTAL(9,N2972:N2972)</f>
        <v>16193747.480000006</v>
      </c>
      <c r="O2973" s="5">
        <f>SUBTOTAL(9,O2972:O2972)</f>
        <v>15693027.419999994</v>
      </c>
      <c r="P2973" s="5">
        <f>SUBTOTAL(9,P2972:P2972)</f>
        <v>23867453.669999994</v>
      </c>
      <c r="Q2973" s="5">
        <f>SUBTOTAL(9,Q2972:Q2972)</f>
        <v>15041131.769999996</v>
      </c>
      <c r="R2973" s="5">
        <f>SUBTOTAL(9,R2972:R2972)</f>
        <v>26403744.219999988</v>
      </c>
    </row>
    <row r="2974" spans="1:22" outlineLevel="1"/>
    <row r="2975" spans="1:22" outlineLevel="2">
      <c r="A2975" t="s">
        <v>684</v>
      </c>
    </row>
    <row r="2976" spans="1:22" ht="90" outlineLevel="1">
      <c r="A2976" s="6" t="s">
        <v>889</v>
      </c>
      <c r="E2976" s="4">
        <f>SUBTOTAL(9,E2975:E2975)</f>
        <v>0</v>
      </c>
      <c r="F2976" s="4">
        <f>SUBTOTAL(9,F2975:F2975)</f>
        <v>0</v>
      </c>
      <c r="G2976" s="4">
        <f>SUBTOTAL(9,G2975:G2975)</f>
        <v>0</v>
      </c>
      <c r="H2976" s="4">
        <f>SUBTOTAL(9,H2975:H2975)</f>
        <v>0</v>
      </c>
      <c r="I2976" s="4">
        <f>SUBTOTAL(9,I2975:I2975)</f>
        <v>0</v>
      </c>
      <c r="J2976" s="4">
        <f>SUBTOTAL(9,J2975:J2975)</f>
        <v>0</v>
      </c>
      <c r="K2976" s="4">
        <f>SUBTOTAL(9,K2975:K2975)</f>
        <v>0</v>
      </c>
      <c r="L2976" s="4">
        <f>SUBTOTAL(9,L2975:L2975)</f>
        <v>0</v>
      </c>
      <c r="M2976" s="4">
        <f>SUBTOTAL(9,M2975:M2975)</f>
        <v>0</v>
      </c>
      <c r="N2976" s="4">
        <f>SUBTOTAL(9,N2975:N2975)</f>
        <v>0</v>
      </c>
      <c r="O2976" s="4">
        <f>SUBTOTAL(9,O2975:O2975)</f>
        <v>0</v>
      </c>
      <c r="P2976" s="4">
        <f>SUBTOTAL(9,P2975:P2975)</f>
        <v>0</v>
      </c>
      <c r="Q2976" s="4">
        <f>SUBTOTAL(9,Q2975:Q2975)</f>
        <v>0</v>
      </c>
      <c r="R2976" s="4">
        <f>SUBTOTAL(9,R2975:R2975)</f>
        <v>0</v>
      </c>
    </row>
    <row r="2977" spans="1:18" ht="30">
      <c r="A2977" s="6" t="s">
        <v>890</v>
      </c>
      <c r="E2977" s="4">
        <f>SUBTOTAL(9,E2:E2975)</f>
        <v>47407384.939999968</v>
      </c>
      <c r="F2977" s="4">
        <f>SUBTOTAL(9,F2:F2975)</f>
        <v>38486350.540000007</v>
      </c>
      <c r="G2977" s="4">
        <f>SUBTOTAL(9,G2:G2975)</f>
        <v>40303671.960000008</v>
      </c>
      <c r="H2977" s="4">
        <f>SUBTOTAL(9,H2:H2975)</f>
        <v>52649211.939999998</v>
      </c>
      <c r="I2977" s="4">
        <f>SUBTOTAL(9,I2:I2975)</f>
        <v>39637350.74000001</v>
      </c>
      <c r="J2977" s="4">
        <f>SUBTOTAL(9,J2:J2975)</f>
        <v>63450298.959999979</v>
      </c>
      <c r="K2977" s="4">
        <f>SUBTOTAL(9,K2:K2975)</f>
        <v>35252485.900000013</v>
      </c>
      <c r="L2977" s="4">
        <f>SUBTOTAL(9,L2:L2975)</f>
        <v>31700205.880000021</v>
      </c>
      <c r="M2977" s="4">
        <f>SUBTOTAL(9,M2:M2975)</f>
        <v>89138769.159999967</v>
      </c>
      <c r="N2977" s="4">
        <f>SUBTOTAL(9,N2:N2975)</f>
        <v>32387494.960000038</v>
      </c>
      <c r="O2977" s="4">
        <f>SUBTOTAL(9,O2:O2975)</f>
        <v>31386054.840000007</v>
      </c>
      <c r="P2977" s="4">
        <f>SUBTOTAL(9,P2:P2975)</f>
        <v>47734907.339999974</v>
      </c>
      <c r="Q2977" s="4">
        <f>SUBTOTAL(9,Q2:Q2975)</f>
        <v>30082263.539999992</v>
      </c>
      <c r="R2977" s="4">
        <f>SUBTOTAL(9,R2:R2975)</f>
        <v>52807488.439999968</v>
      </c>
    </row>
  </sheetData>
  <autoFilter ref="A1:V2972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2877018CD80E46BCDB94C6312C472D" ma:contentTypeVersion="0" ma:contentTypeDescription="Create a new document." ma:contentTypeScope="" ma:versionID="74abe9395eabd1143b16964d577f07f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ADA7E1-D766-4BED-90BD-00FEB908CE78}"/>
</file>

<file path=customXml/itemProps2.xml><?xml version="1.0" encoding="utf-8"?>
<ds:datastoreItem xmlns:ds="http://schemas.openxmlformats.org/officeDocument/2006/customXml" ds:itemID="{B2079D26-7786-4A2A-9671-28B900AC798C}"/>
</file>

<file path=customXml/itemProps3.xml><?xml version="1.0" encoding="utf-8"?>
<ds:datastoreItem xmlns:ds="http://schemas.openxmlformats.org/officeDocument/2006/customXml" ds:itemID="{D3CD9EB2-CE6F-43EB-818D-8BDE884A60C7}"/>
</file>

<file path=docMetadata/LabelInfo.xml><?xml version="1.0" encoding="utf-8"?>
<clbl:labelList xmlns:clbl="http://schemas.microsoft.com/office/2020/mipLabelMetadata">
  <clbl:label id="{42f7676c-f455-423c-82f6-dc2d99791af7}" enabled="0" method="" siteId="{42f7676c-f455-423c-82f6-dc2d99791af7}" removed="1"/>
  <clbl:label id="{4e7d2999-1298-469c-a8ed-259d2bbf293c}" enabled="1" method="Standard" siteId="{3a7dd6e2-0a63-4ec5-bac5-e702961f4ab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Amber Knecht</cp:lastModifiedBy>
  <dcterms:created xsi:type="dcterms:W3CDTF">2026-03-16T18:12:58Z</dcterms:created>
  <dcterms:modified xsi:type="dcterms:W3CDTF">2026-03-16T18:27:55Z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0x010100B12877018CD80E46BCDB94C6312C472D</vt:lpwstr>
  </property>
</Properties>
</file>