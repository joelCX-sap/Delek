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ccounting\Corporate Accounting\2026 AI with IT and Applexusd\SAP AI  in a Day\"/>
    </mc:Choice>
  </mc:AlternateContent>
  <xr:revisionPtr revIDLastSave="0" documentId="13_ncr:1_{9FD65CA2-1768-49CD-A36D-4CC22B317151}" xr6:coauthVersionLast="47" xr6:coauthVersionMax="47" xr10:uidLastSave="{00000000-0000-0000-0000-000000000000}"/>
  <bookViews>
    <workbookView xWindow="28680" yWindow="600" windowWidth="29040" windowHeight="15720" xr2:uid="{00000000-000D-0000-FFFF-FFFF00000000}"/>
  </bookViews>
  <sheets>
    <sheet name="Export" sheetId="1" r:id="rId1"/>
  </sheets>
  <definedNames>
    <definedName name="_xlnm._FilterDatabase" localSheetId="0" hidden="1">Export!$A$1:$X$127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27" i="1" l="1"/>
  <c r="U127" i="1" s="1"/>
  <c r="T126" i="1"/>
  <c r="V126" i="1" s="1"/>
  <c r="T125" i="1"/>
  <c r="V125" i="1" s="1"/>
  <c r="T124" i="1"/>
  <c r="V124" i="1" s="1"/>
  <c r="T123" i="1"/>
  <c r="V123" i="1" s="1"/>
  <c r="T122" i="1"/>
  <c r="U122" i="1" s="1"/>
  <c r="T121" i="1"/>
  <c r="V121" i="1" s="1"/>
  <c r="T120" i="1"/>
  <c r="V120" i="1" s="1"/>
  <c r="T119" i="1"/>
  <c r="U119" i="1" s="1"/>
  <c r="T118" i="1"/>
  <c r="V118" i="1" s="1"/>
  <c r="T117" i="1"/>
  <c r="V117" i="1" s="1"/>
  <c r="T116" i="1"/>
  <c r="V116" i="1" s="1"/>
  <c r="T115" i="1"/>
  <c r="V115" i="1" s="1"/>
  <c r="T114" i="1"/>
  <c r="V114" i="1" s="1"/>
  <c r="T113" i="1"/>
  <c r="V113" i="1" s="1"/>
  <c r="T112" i="1"/>
  <c r="V112" i="1" s="1"/>
  <c r="T111" i="1"/>
  <c r="U111" i="1" s="1"/>
  <c r="T110" i="1"/>
  <c r="V110" i="1" s="1"/>
  <c r="T109" i="1"/>
  <c r="U109" i="1" s="1"/>
  <c r="T108" i="1"/>
  <c r="V108" i="1" s="1"/>
  <c r="T107" i="1"/>
  <c r="V107" i="1" s="1"/>
  <c r="T106" i="1"/>
  <c r="V106" i="1" s="1"/>
  <c r="T105" i="1"/>
  <c r="V105" i="1" s="1"/>
  <c r="T104" i="1"/>
  <c r="V104" i="1" s="1"/>
  <c r="T103" i="1"/>
  <c r="U103" i="1" s="1"/>
  <c r="T102" i="1"/>
  <c r="V102" i="1" s="1"/>
  <c r="T101" i="1"/>
  <c r="V101" i="1" s="1"/>
  <c r="T100" i="1"/>
  <c r="V100" i="1" s="1"/>
  <c r="T99" i="1"/>
  <c r="V99" i="1" s="1"/>
  <c r="T98" i="1"/>
  <c r="V98" i="1" s="1"/>
  <c r="T97" i="1"/>
  <c r="V97" i="1" s="1"/>
  <c r="T96" i="1"/>
  <c r="V96" i="1" s="1"/>
  <c r="T95" i="1"/>
  <c r="U95" i="1" s="1"/>
  <c r="T94" i="1"/>
  <c r="V94" i="1" s="1"/>
  <c r="T93" i="1"/>
  <c r="V93" i="1" s="1"/>
  <c r="T91" i="1"/>
  <c r="U91" i="1" s="1"/>
  <c r="T90" i="1"/>
  <c r="V90" i="1" s="1"/>
  <c r="T89" i="1"/>
  <c r="V89" i="1" s="1"/>
  <c r="T88" i="1"/>
  <c r="V88" i="1" s="1"/>
  <c r="T87" i="1"/>
  <c r="V87" i="1" s="1"/>
  <c r="T86" i="1"/>
  <c r="V86" i="1" s="1"/>
  <c r="T85" i="1"/>
  <c r="V85" i="1" s="1"/>
  <c r="T84" i="1"/>
  <c r="U84" i="1" s="1"/>
  <c r="T83" i="1"/>
  <c r="U83" i="1" s="1"/>
  <c r="T82" i="1"/>
  <c r="V82" i="1" s="1"/>
  <c r="T81" i="1"/>
  <c r="V81" i="1" s="1"/>
  <c r="T80" i="1"/>
  <c r="V80" i="1" s="1"/>
  <c r="T79" i="1"/>
  <c r="V79" i="1" s="1"/>
  <c r="T78" i="1"/>
  <c r="V78" i="1" s="1"/>
  <c r="T77" i="1"/>
  <c r="V77" i="1" s="1"/>
  <c r="T76" i="1"/>
  <c r="V76" i="1" s="1"/>
  <c r="T75" i="1"/>
  <c r="U75" i="1" s="1"/>
  <c r="T74" i="1"/>
  <c r="V74" i="1" s="1"/>
  <c r="T73" i="1"/>
  <c r="V73" i="1" s="1"/>
  <c r="T72" i="1"/>
  <c r="V72" i="1" s="1"/>
  <c r="T71" i="1"/>
  <c r="V71" i="1" s="1"/>
  <c r="T70" i="1"/>
  <c r="V70" i="1" s="1"/>
  <c r="T69" i="1"/>
  <c r="V69" i="1" s="1"/>
  <c r="T68" i="1"/>
  <c r="V68" i="1" s="1"/>
  <c r="T67" i="1"/>
  <c r="U67" i="1" s="1"/>
  <c r="T66" i="1"/>
  <c r="V66" i="1" s="1"/>
  <c r="T65" i="1"/>
  <c r="V65" i="1" s="1"/>
  <c r="T64" i="1"/>
  <c r="V64" i="1" s="1"/>
  <c r="T63" i="1"/>
  <c r="V63" i="1" s="1"/>
  <c r="T62" i="1"/>
  <c r="V62" i="1" s="1"/>
  <c r="T61" i="1"/>
  <c r="V61" i="1" s="1"/>
  <c r="T60" i="1"/>
  <c r="V60" i="1" s="1"/>
  <c r="T59" i="1"/>
  <c r="U59" i="1" s="1"/>
  <c r="T58" i="1"/>
  <c r="V58" i="1" s="1"/>
  <c r="T57" i="1"/>
  <c r="V57" i="1" s="1"/>
  <c r="T56" i="1"/>
  <c r="V56" i="1" s="1"/>
  <c r="T55" i="1"/>
  <c r="U55" i="1" s="1"/>
  <c r="T54" i="1"/>
  <c r="V54" i="1" s="1"/>
  <c r="T53" i="1"/>
  <c r="V53" i="1" s="1"/>
  <c r="T52" i="1"/>
  <c r="V52" i="1" s="1"/>
  <c r="T51" i="1"/>
  <c r="U51" i="1" s="1"/>
  <c r="T50" i="1"/>
  <c r="V50" i="1" s="1"/>
  <c r="T49" i="1"/>
  <c r="V49" i="1" s="1"/>
  <c r="T48" i="1"/>
  <c r="V48" i="1" s="1"/>
  <c r="T47" i="1"/>
  <c r="V47" i="1" s="1"/>
  <c r="T46" i="1"/>
  <c r="V46" i="1" s="1"/>
  <c r="T3" i="1"/>
  <c r="U3" i="1" s="1"/>
  <c r="T4" i="1"/>
  <c r="U4" i="1" s="1"/>
  <c r="T5" i="1"/>
  <c r="V5" i="1" s="1"/>
  <c r="T6" i="1"/>
  <c r="U6" i="1" s="1"/>
  <c r="T7" i="1"/>
  <c r="U7" i="1" s="1"/>
  <c r="T8" i="1"/>
  <c r="U8" i="1" s="1"/>
  <c r="T9" i="1"/>
  <c r="V9" i="1" s="1"/>
  <c r="T10" i="1"/>
  <c r="U10" i="1" s="1"/>
  <c r="T11" i="1"/>
  <c r="U11" i="1" s="1"/>
  <c r="T12" i="1"/>
  <c r="U12" i="1" s="1"/>
  <c r="T13" i="1"/>
  <c r="V13" i="1" s="1"/>
  <c r="T14" i="1"/>
  <c r="U14" i="1" s="1"/>
  <c r="T15" i="1"/>
  <c r="U15" i="1" s="1"/>
  <c r="T16" i="1"/>
  <c r="U16" i="1" s="1"/>
  <c r="T17" i="1"/>
  <c r="V17" i="1" s="1"/>
  <c r="T18" i="1"/>
  <c r="U18" i="1" s="1"/>
  <c r="T19" i="1"/>
  <c r="U19" i="1" s="1"/>
  <c r="T20" i="1"/>
  <c r="U20" i="1" s="1"/>
  <c r="T21" i="1"/>
  <c r="V21" i="1" s="1"/>
  <c r="T22" i="1"/>
  <c r="V22" i="1" s="1"/>
  <c r="T23" i="1"/>
  <c r="U23" i="1" s="1"/>
  <c r="T24" i="1"/>
  <c r="U24" i="1" s="1"/>
  <c r="T25" i="1"/>
  <c r="U25" i="1" s="1"/>
  <c r="T26" i="1"/>
  <c r="U26" i="1" s="1"/>
  <c r="T27" i="1"/>
  <c r="U27" i="1" s="1"/>
  <c r="T28" i="1"/>
  <c r="U28" i="1" s="1"/>
  <c r="T29" i="1"/>
  <c r="V29" i="1" s="1"/>
  <c r="T30" i="1"/>
  <c r="V30" i="1" s="1"/>
  <c r="T31" i="1"/>
  <c r="U31" i="1" s="1"/>
  <c r="T32" i="1"/>
  <c r="U32" i="1" s="1"/>
  <c r="T33" i="1"/>
  <c r="V33" i="1" s="1"/>
  <c r="T34" i="1"/>
  <c r="U34" i="1" s="1"/>
  <c r="T35" i="1"/>
  <c r="U35" i="1" s="1"/>
  <c r="T36" i="1"/>
  <c r="U36" i="1" s="1"/>
  <c r="T37" i="1"/>
  <c r="V37" i="1" s="1"/>
  <c r="T38" i="1"/>
  <c r="U38" i="1" s="1"/>
  <c r="T39" i="1"/>
  <c r="V39" i="1" s="1"/>
  <c r="T40" i="1"/>
  <c r="U40" i="1" s="1"/>
  <c r="T41" i="1"/>
  <c r="V41" i="1" s="1"/>
  <c r="T42" i="1"/>
  <c r="U42" i="1" s="1"/>
  <c r="T43" i="1"/>
  <c r="U43" i="1" s="1"/>
  <c r="T2" i="1"/>
  <c r="V2" i="1" s="1"/>
  <c r="V31" i="1" l="1"/>
  <c r="U87" i="1"/>
  <c r="U108" i="1"/>
  <c r="V91" i="1"/>
  <c r="V109" i="1"/>
  <c r="V122" i="1"/>
  <c r="U30" i="1"/>
  <c r="V23" i="1"/>
  <c r="U98" i="1"/>
  <c r="U124" i="1"/>
  <c r="V35" i="1"/>
  <c r="V55" i="1"/>
  <c r="V119" i="1"/>
  <c r="U41" i="1"/>
  <c r="U71" i="1"/>
  <c r="U21" i="1"/>
  <c r="U102" i="1"/>
  <c r="U125" i="1"/>
  <c r="U86" i="1"/>
  <c r="U110" i="1"/>
  <c r="U22" i="1"/>
  <c r="U114" i="1"/>
  <c r="U39" i="1"/>
  <c r="U5" i="1"/>
  <c r="U62" i="1"/>
  <c r="U29" i="1"/>
  <c r="V20" i="1"/>
  <c r="V15" i="1"/>
  <c r="U88" i="1"/>
  <c r="V28" i="1"/>
  <c r="V14" i="1"/>
  <c r="V3" i="1"/>
  <c r="U63" i="1"/>
  <c r="U2" i="1"/>
  <c r="V18" i="1"/>
  <c r="V103" i="1"/>
  <c r="V6" i="1"/>
  <c r="V26" i="1"/>
  <c r="U17" i="1"/>
  <c r="V12" i="1"/>
  <c r="U37" i="1"/>
  <c r="U33" i="1"/>
  <c r="V10" i="1"/>
  <c r="U48" i="1"/>
  <c r="U54" i="1"/>
  <c r="V67" i="1"/>
  <c r="U80" i="1"/>
  <c r="U94" i="1"/>
  <c r="V111" i="1"/>
  <c r="U116" i="1"/>
  <c r="V36" i="1"/>
  <c r="U13" i="1"/>
  <c r="U9" i="1"/>
  <c r="U46" i="1"/>
  <c r="V59" i="1"/>
  <c r="U72" i="1"/>
  <c r="U78" i="1"/>
  <c r="V95" i="1"/>
  <c r="U100" i="1"/>
  <c r="U117" i="1"/>
  <c r="V43" i="1"/>
  <c r="V51" i="1"/>
  <c r="U64" i="1"/>
  <c r="U70" i="1"/>
  <c r="V83" i="1"/>
  <c r="U101" i="1"/>
  <c r="U126" i="1"/>
  <c r="V42" i="1"/>
  <c r="V38" i="1"/>
  <c r="V27" i="1"/>
  <c r="V19" i="1"/>
  <c r="V7" i="1"/>
  <c r="V4" i="1"/>
  <c r="U47" i="1"/>
  <c r="U79" i="1"/>
  <c r="U93" i="1"/>
  <c r="U106" i="1"/>
  <c r="U118" i="1"/>
  <c r="V34" i="1"/>
  <c r="V11" i="1"/>
  <c r="U56" i="1"/>
  <c r="V75" i="1"/>
  <c r="V84" i="1"/>
  <c r="V127" i="1"/>
  <c r="U96" i="1"/>
  <c r="U104" i="1"/>
  <c r="U112" i="1"/>
  <c r="U120" i="1"/>
  <c r="U99" i="1"/>
  <c r="U107" i="1"/>
  <c r="U115" i="1"/>
  <c r="U123" i="1"/>
  <c r="U97" i="1"/>
  <c r="U105" i="1"/>
  <c r="U113" i="1"/>
  <c r="U121" i="1"/>
  <c r="U49" i="1"/>
  <c r="U57" i="1"/>
  <c r="U65" i="1"/>
  <c r="U73" i="1"/>
  <c r="U81" i="1"/>
  <c r="U89" i="1"/>
  <c r="U52" i="1"/>
  <c r="U60" i="1"/>
  <c r="U68" i="1"/>
  <c r="U76" i="1"/>
  <c r="U50" i="1"/>
  <c r="U58" i="1"/>
  <c r="U66" i="1"/>
  <c r="U74" i="1"/>
  <c r="U82" i="1"/>
  <c r="U90" i="1"/>
  <c r="U53" i="1"/>
  <c r="U61" i="1"/>
  <c r="U69" i="1"/>
  <c r="U77" i="1"/>
  <c r="U85" i="1"/>
  <c r="V25" i="1"/>
  <c r="V40" i="1"/>
  <c r="V32" i="1"/>
  <c r="V24" i="1"/>
  <c r="V16" i="1"/>
  <c r="V8" i="1"/>
  <c r="S128" i="1" l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</calcChain>
</file>

<file path=xl/sharedStrings.xml><?xml version="1.0" encoding="utf-8"?>
<sst xmlns="http://schemas.openxmlformats.org/spreadsheetml/2006/main" count="545" uniqueCount="177">
  <si>
    <t>Cost Center</t>
  </si>
  <si>
    <t>Cost Center Name</t>
  </si>
  <si>
    <t>GL Account</t>
  </si>
  <si>
    <t>GL Account Name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</si>
  <si>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</si>
  <si>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</si>
  <si>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</si>
  <si>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</si>
  <si>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</si>
  <si>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</si>
  <si>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</si>
  <si>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</si>
  <si>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</si>
  <si>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</si>
  <si>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</si>
  <si>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</si>
  <si>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January 2026</t>
  </si>
  <si>
    <t>February 2026</t>
  </si>
  <si>
    <t>March 2026</t>
  </si>
  <si>
    <t>61002000</t>
  </si>
  <si>
    <t>3rd party material</t>
  </si>
  <si>
    <t>61004000</t>
  </si>
  <si>
    <t>Trav.Expense Meals</t>
  </si>
  <si>
    <t>61005000</t>
  </si>
  <si>
    <t>Travel Exp Grd Trnsp</t>
  </si>
  <si>
    <t>61005500</t>
  </si>
  <si>
    <t>Fully Deductible - L</t>
  </si>
  <si>
    <t>61007000</t>
  </si>
  <si>
    <t>Trav.Exp Air,Rl,Mile</t>
  </si>
  <si>
    <t>61023000</t>
  </si>
  <si>
    <t>Payrol-Overtime Wage</t>
  </si>
  <si>
    <t>61024000</t>
  </si>
  <si>
    <t>Capitalized Labor -</t>
  </si>
  <si>
    <t>61400000</t>
  </si>
  <si>
    <t>Training Education</t>
  </si>
  <si>
    <t>63003300</t>
  </si>
  <si>
    <t>ChemicalExpense</t>
  </si>
  <si>
    <t>63005000</t>
  </si>
  <si>
    <t>Lease Expense</t>
  </si>
  <si>
    <t>63005200</t>
  </si>
  <si>
    <t>ST Lease Expense</t>
  </si>
  <si>
    <t>63006000</t>
  </si>
  <si>
    <t>License &amp; Permits</t>
  </si>
  <si>
    <t>63006400</t>
  </si>
  <si>
    <t>Telephone&amp;otherComm</t>
  </si>
  <si>
    <t>65000000</t>
  </si>
  <si>
    <t>Postage and Shipping</t>
  </si>
  <si>
    <t>65000600</t>
  </si>
  <si>
    <t>Materials - Internal</t>
  </si>
  <si>
    <t>65003000</t>
  </si>
  <si>
    <t>Repairs&amp;Maint-cost</t>
  </si>
  <si>
    <t>65003200</t>
  </si>
  <si>
    <t>Repairs &amp; Maint - Ot</t>
  </si>
  <si>
    <t>65100000</t>
  </si>
  <si>
    <t>Office Supplies</t>
  </si>
  <si>
    <t>65150000</t>
  </si>
  <si>
    <t>Computer Supplies</t>
  </si>
  <si>
    <t>65200000</t>
  </si>
  <si>
    <t>Other Supplies</t>
  </si>
  <si>
    <t>65230000</t>
  </si>
  <si>
    <t>SuppliesSmallTools</t>
  </si>
  <si>
    <t>65240000</t>
  </si>
  <si>
    <t>Supplies - Operating</t>
  </si>
  <si>
    <t>65301200</t>
  </si>
  <si>
    <t>CS - Professional Co</t>
  </si>
  <si>
    <t>65301300</t>
  </si>
  <si>
    <t>CS - Outside Service</t>
  </si>
  <si>
    <t>65301400</t>
  </si>
  <si>
    <t>CS - Contractors</t>
  </si>
  <si>
    <t>65301500</t>
  </si>
  <si>
    <t>CS - Accounting Serv</t>
  </si>
  <si>
    <t>65302200</t>
  </si>
  <si>
    <t>CS - Other</t>
  </si>
  <si>
    <t>65302600</t>
  </si>
  <si>
    <t>CS - Contingent Labr</t>
  </si>
  <si>
    <t>Other Expenses</t>
  </si>
  <si>
    <t>66000100</t>
  </si>
  <si>
    <t>Lube Oil, Greases &amp;</t>
  </si>
  <si>
    <t>66000400</t>
  </si>
  <si>
    <t>Third Party Trucking</t>
  </si>
  <si>
    <t>67000500</t>
  </si>
  <si>
    <t>61010000</t>
  </si>
  <si>
    <t>PayrollSalariedLabor</t>
  </si>
  <si>
    <t>61021100</t>
  </si>
  <si>
    <t>Payroll Hourly Labor</t>
  </si>
  <si>
    <t>61024100</t>
  </si>
  <si>
    <t>Labor COSt</t>
  </si>
  <si>
    <t>61026000</t>
  </si>
  <si>
    <t>Bonus - Other</t>
  </si>
  <si>
    <t>61052000</t>
  </si>
  <si>
    <t>Group Insurance</t>
  </si>
  <si>
    <t>61060000</t>
  </si>
  <si>
    <t>401K/NQDF Match Exp</t>
  </si>
  <si>
    <t>61063000</t>
  </si>
  <si>
    <t>Dues to Associations</t>
  </si>
  <si>
    <t>61065000</t>
  </si>
  <si>
    <t>Incentive Plan Expen</t>
  </si>
  <si>
    <t>61200000</t>
  </si>
  <si>
    <t>Pay Exp Tax&amp;SS Wages</t>
  </si>
  <si>
    <t>61202000</t>
  </si>
  <si>
    <t>Payroll Taxes - Unem</t>
  </si>
  <si>
    <t>61403000</t>
  </si>
  <si>
    <t>Meals &amp; Ent - Educ.,</t>
  </si>
  <si>
    <t>61510000</t>
  </si>
  <si>
    <t>Stock Based Compensa</t>
  </si>
  <si>
    <t>61512000</t>
  </si>
  <si>
    <t>ESSP Expense</t>
  </si>
  <si>
    <t>63006100</t>
  </si>
  <si>
    <t>InspectionFees</t>
  </si>
  <si>
    <t>63006300</t>
  </si>
  <si>
    <t>Cellular Telephone</t>
  </si>
  <si>
    <t>65210000</t>
  </si>
  <si>
    <t>Supplies - Associati</t>
  </si>
  <si>
    <t>65301100</t>
  </si>
  <si>
    <t>ContrctServicesLegal</t>
  </si>
  <si>
    <t>65900000</t>
  </si>
  <si>
    <t>WrkFrmHomReimbursmt</t>
  </si>
  <si>
    <t>69000400</t>
  </si>
  <si>
    <t>Franchise Tax Expens</t>
  </si>
  <si>
    <t>1002000004</t>
  </si>
  <si>
    <t>TRADING &amp; SUPPLY</t>
  </si>
  <si>
    <t>61008000</t>
  </si>
  <si>
    <t>Trav.Expense Misc.</t>
  </si>
  <si>
    <t>61408000</t>
  </si>
  <si>
    <t>Protective Clothing</t>
  </si>
  <si>
    <t>65220000</t>
  </si>
  <si>
    <t>Supplies - Janitoria</t>
  </si>
  <si>
    <t>65301000</t>
  </si>
  <si>
    <t>Marketing Expenses</t>
  </si>
  <si>
    <t>67000000</t>
  </si>
  <si>
    <t>Bank Expense</t>
  </si>
  <si>
    <t>67000310</t>
  </si>
  <si>
    <t>Service Fees</t>
  </si>
  <si>
    <t>67000940</t>
  </si>
  <si>
    <t>Restructuring Cost</t>
  </si>
  <si>
    <t>65002200</t>
  </si>
  <si>
    <t>Employee&amp;Community</t>
  </si>
  <si>
    <t>61101000</t>
  </si>
  <si>
    <t>Pay Othr salary exp</t>
  </si>
  <si>
    <t>61409000</t>
  </si>
  <si>
    <t>Relocation Expense</t>
  </si>
  <si>
    <t>65300000</t>
  </si>
  <si>
    <t>ContrctServicesAudit</t>
  </si>
  <si>
    <t>65301050</t>
  </si>
  <si>
    <t>BusinessPromotion-ND</t>
  </si>
  <si>
    <t>66000700</t>
  </si>
  <si>
    <t>Management Fee</t>
  </si>
  <si>
    <t>67001000</t>
  </si>
  <si>
    <t>Fines&amp;Assessments</t>
  </si>
  <si>
    <t>69000200</t>
  </si>
  <si>
    <t>Property Tax Expense</t>
  </si>
  <si>
    <t>1002000011</t>
  </si>
  <si>
    <t>ACCOUNTING</t>
  </si>
  <si>
    <t>61021110</t>
  </si>
  <si>
    <t>Payroll-HrlyTempHelp</t>
  </si>
  <si>
    <t>61405000</t>
  </si>
  <si>
    <t>Medical Expense</t>
  </si>
  <si>
    <t>61061000</t>
  </si>
  <si>
    <t>Casualty</t>
  </si>
  <si>
    <t>4020100019</t>
  </si>
  <si>
    <t>CORP ADMIN</t>
  </si>
  <si>
    <t>1002000004 Total</t>
  </si>
  <si>
    <t>1002000011 Total</t>
  </si>
  <si>
    <t>4020100019 Total</t>
  </si>
  <si>
    <t>CM Variance from Average</t>
  </si>
  <si>
    <t>% Variance from Average</t>
  </si>
  <si>
    <t>Monthly Average last 3 months</t>
  </si>
  <si>
    <t>Less than ($15k)  - any missing accruals?</t>
  </si>
  <si>
    <t>15%+/- or more change from 3 month average and &lt;&gt; $25k</t>
  </si>
  <si>
    <t>N/A this is a labor contra account</t>
  </si>
  <si>
    <t>Credit balance is due to 2025 AIP ACCRUAL REVERSAL</t>
  </si>
  <si>
    <t xml:space="preserve">Credit balance is due to an invoice reversal and reclass; see doc #1010029358 for reclass </t>
  </si>
  <si>
    <t>Credit is due to management fee revenue and is consistent with previous months</t>
  </si>
  <si>
    <t>credit is due to Spot Bonus Accrual Reversal</t>
  </si>
  <si>
    <t>Increase is due to PWC Tax Year 2025 Federal and State income tax filings</t>
  </si>
  <si>
    <t>FLAG - for Monthly Trending Analysis</t>
  </si>
  <si>
    <t>Expected Outcome and narrative - for Monthly Trending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</si>
</sst>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name val="Aptos Narrow"/>
    </font>
    <font>
      <b/>
      <sz val="11"/>
      <name val="Aptos Narrow"/>
      <family val="2"/>
    </font>
    <font>
      <sz val="1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43" fontId="0" fillId="0" borderId="1" xfId="1" applyFont="1" applyBorder="1"/>
    <xf numFmtId="43" fontId="0" fillId="0" borderId="0" xfId="1" applyFont="1"/>
    <xf numFmtId="0" fontId="0" fillId="0" borderId="0" xfId="0" applyAlignment="1">
      <alignment wrapText="1"/>
    </xf>
    <xf numFmtId="0" fontId="1" fillId="2" borderId="0" xfId="0" applyFont="1" applyFill="1"/>
    <xf numFmtId="0" fontId="0" fillId="2" borderId="0" xfId="0" applyFill="1"/>
    <xf numFmtId="43" fontId="0" fillId="2" borderId="0" xfId="1" applyFont="1" applyFill="1"/>
    <xf numFmtId="43" fontId="0" fillId="0" borderId="0" xfId="1" applyFont="1" applyFill="1" applyBorder="1"/>
    <xf numFmtId="43" fontId="0" fillId="0" borderId="0" xfId="1" applyFont="1" applyFill="1" applyBorder="1" applyAlignment="1">
      <alignment wrapText="1"/>
    </xf>
    <xf numFmtId="43" fontId="0" fillId="3" borderId="0" xfId="1" applyFont="1" applyFill="1" applyBorder="1"/>
    <xf numFmtId="43" fontId="2" fillId="3" borderId="0" xfId="1" applyFont="1" applyFill="1" applyBorder="1"/>
    <xf numFmtId="9" fontId="0" fillId="0" borderId="0" xfId="2" applyFont="1"/>
  </cellXfs>
  <cellStyles count="3">
    <cellStyle name="Comma" xfId="1" builtinId="3"/>
    <cellStyle name="Normal" xfId="0" builtinId="0"/>
    <cellStyle name="Percent" xfId="2" builtinId="5"/>
  </cellStyles>
  <dxfs count="2">
    <dxf>
      <fill>
        <patternFill patternType="none">
          <fgColor indexed="64"/>
          <bgColor indexed="65"/>
        </patternFill>
      </fill>
    </dxf>
    <dxf>
      <fill>
        <patternFill patternType="solid">
          <fgColor rgb="FFD86DCD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128"/>
  <sheetViews>
    <sheetView tabSelected="1" zoomScale="80" zoomScaleNormal="80" workbookViewId="0">
      <pane ySplit="1" topLeftCell="A45" activePane="bottomLeft" state="frozen"/>
      <selection pane="bottomLeft" activeCell="K75" sqref="K75"/>
    </sheetView>
  </sheetViews>
  <sheetFormatPr defaultRowHeight="15" outlineLevelRow="2" x14ac:dyDescent="0.25"/>
  <cols>
    <col min="1" max="1" width="32.28515625" bestFit="1" customWidth="1"/>
    <col min="2" max="2" width="25.7109375" bestFit="1" customWidth="1"/>
    <col min="3" max="3" width="11" bestFit="1" customWidth="1"/>
    <col min="4" max="4" width="23.140625" bestFit="1" customWidth="1"/>
    <col min="5" max="17" width="14.28515625" style="3" customWidth="1"/>
    <col min="18" max="19" width="14.28515625" style="3" bestFit="1" customWidth="1"/>
    <col min="20" max="20" width="32.140625" style="3" customWidth="1"/>
    <col min="21" max="21" width="28.5703125" style="3" customWidth="1"/>
    <col min="22" max="22" width="27.140625" style="3" customWidth="1"/>
    <col min="23" max="23" width="52.7109375" customWidth="1"/>
    <col min="24" max="24" width="27.28515625" customWidth="1"/>
    <col min="25" max="25" width="24.140625" customWidth="1"/>
  </cols>
  <sheetData>
    <row r="1" spans="1:24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1" t="s">
        <v>166</v>
      </c>
      <c r="U1" s="10" t="s">
        <v>164</v>
      </c>
      <c r="V1" s="10" t="s">
        <v>165</v>
      </c>
      <c r="W1" s="8" t="s">
        <v>175</v>
      </c>
      <c r="X1" s="9" t="s">
        <v>176</v>
      </c>
    </row>
    <row r="2" spans="1:24" hidden="1" outlineLevel="2" x14ac:dyDescent="0.25">
      <c r="A2" t="s">
        <v>119</v>
      </c>
      <c r="B2" t="s">
        <v>120</v>
      </c>
      <c r="C2" t="s">
        <v>19</v>
      </c>
      <c r="D2" t="s">
        <v>20</v>
      </c>
      <c r="E2" s="3">
        <v>110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T2" s="3">
        <f>AVERAGE(Q2:S2)</f>
        <v>0</v>
      </c>
      <c r="U2" s="3">
        <f>S2-T2</f>
        <v>0</v>
      </c>
      <c r="V2" s="12" t="e">
        <f>(S2-T2)/T2</f>
        <v>#DIV/0!</v>
      </c>
    </row>
    <row r="3" spans="1:24" hidden="1" outlineLevel="2" x14ac:dyDescent="0.25">
      <c r="A3" t="s">
        <v>119</v>
      </c>
      <c r="B3" t="s">
        <v>120</v>
      </c>
      <c r="C3" t="s">
        <v>21</v>
      </c>
      <c r="D3" t="s">
        <v>22</v>
      </c>
      <c r="E3" s="3">
        <v>6127.7900000000009</v>
      </c>
      <c r="F3" s="3">
        <v>5333.7300000000014</v>
      </c>
      <c r="G3" s="3">
        <v>4787.0000000000009</v>
      </c>
      <c r="H3" s="3">
        <v>8120.76</v>
      </c>
      <c r="I3" s="3">
        <v>3859.1499999999996</v>
      </c>
      <c r="J3" s="3">
        <v>1463.9900000000002</v>
      </c>
      <c r="K3" s="3">
        <v>7004.0199999999995</v>
      </c>
      <c r="L3" s="3">
        <v>2829.6800000000003</v>
      </c>
      <c r="M3" s="3">
        <v>2428.1</v>
      </c>
      <c r="N3" s="3">
        <v>2347.75</v>
      </c>
      <c r="O3" s="3">
        <v>5159.3599999999997</v>
      </c>
      <c r="P3" s="3">
        <v>11716.849999999999</v>
      </c>
      <c r="Q3" s="3">
        <v>9034.2400000000016</v>
      </c>
      <c r="R3" s="3">
        <v>1184.98</v>
      </c>
      <c r="S3" s="3">
        <v>1710.2</v>
      </c>
      <c r="T3" s="3">
        <f t="shared" ref="T3:T43" si="0">AVERAGE(Q3:S3)</f>
        <v>3976.4733333333338</v>
      </c>
      <c r="U3" s="3">
        <f t="shared" ref="U3:U43" si="1">S3-T3</f>
        <v>-2266.2733333333335</v>
      </c>
      <c r="V3" s="12">
        <f t="shared" ref="V3:V43" si="2">(S3-T3)/T3</f>
        <v>-0.56992041524231685</v>
      </c>
    </row>
    <row r="4" spans="1:24" hidden="1" outlineLevel="2" x14ac:dyDescent="0.25">
      <c r="A4" t="s">
        <v>119</v>
      </c>
      <c r="B4" t="s">
        <v>120</v>
      </c>
      <c r="C4" t="s">
        <v>23</v>
      </c>
      <c r="D4" t="s">
        <v>24</v>
      </c>
      <c r="E4" s="3">
        <v>15572.799999999996</v>
      </c>
      <c r="F4" s="3">
        <v>8615.9999999999982</v>
      </c>
      <c r="G4" s="3">
        <v>13266.219999999998</v>
      </c>
      <c r="H4" s="3">
        <v>17899.160000000003</v>
      </c>
      <c r="I4" s="3">
        <v>-57538.73</v>
      </c>
      <c r="J4" s="3">
        <v>6478.0200000000013</v>
      </c>
      <c r="K4" s="3">
        <v>49256.87000000001</v>
      </c>
      <c r="L4" s="3">
        <v>11816.099999999997</v>
      </c>
      <c r="M4" s="3">
        <v>3223.0099999999998</v>
      </c>
      <c r="N4" s="3">
        <v>2065.5700000000002</v>
      </c>
      <c r="O4" s="3">
        <v>2645.2599999999993</v>
      </c>
      <c r="P4" s="3">
        <v>1515.4599999999998</v>
      </c>
      <c r="Q4" s="3">
        <v>744.22</v>
      </c>
      <c r="R4" s="3">
        <v>604.02</v>
      </c>
      <c r="S4" s="3">
        <v>425.40000000000003</v>
      </c>
      <c r="T4" s="3">
        <f t="shared" si="0"/>
        <v>591.21333333333337</v>
      </c>
      <c r="U4" s="3">
        <f t="shared" si="1"/>
        <v>-165.81333333333333</v>
      </c>
      <c r="V4" s="12">
        <f t="shared" si="2"/>
        <v>-0.28046277711373219</v>
      </c>
    </row>
    <row r="5" spans="1:24" hidden="1" outlineLevel="2" x14ac:dyDescent="0.25">
      <c r="A5" t="s">
        <v>119</v>
      </c>
      <c r="B5" t="s">
        <v>120</v>
      </c>
      <c r="C5" t="s">
        <v>25</v>
      </c>
      <c r="D5" t="s">
        <v>26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4213.130000000001</v>
      </c>
      <c r="N5" s="3">
        <v>3346.5800000000013</v>
      </c>
      <c r="O5" s="3">
        <v>7464.9799999999977</v>
      </c>
      <c r="P5" s="3">
        <v>3186.99</v>
      </c>
      <c r="Q5" s="3">
        <v>1526.5400000000004</v>
      </c>
      <c r="R5" s="3">
        <v>1397.9500000000003</v>
      </c>
      <c r="S5" s="3">
        <v>929.72</v>
      </c>
      <c r="T5" s="3">
        <f t="shared" si="0"/>
        <v>1284.7366666666669</v>
      </c>
      <c r="U5" s="3">
        <f t="shared" si="1"/>
        <v>-355.01666666666688</v>
      </c>
      <c r="V5" s="12">
        <f t="shared" si="2"/>
        <v>-0.27633419040477825</v>
      </c>
    </row>
    <row r="6" spans="1:24" hidden="1" outlineLevel="2" x14ac:dyDescent="0.25">
      <c r="A6" t="s">
        <v>119</v>
      </c>
      <c r="B6" t="s">
        <v>120</v>
      </c>
      <c r="C6" t="s">
        <v>27</v>
      </c>
      <c r="D6" t="s">
        <v>28</v>
      </c>
      <c r="E6" s="3">
        <v>366.29999999999995</v>
      </c>
      <c r="F6" s="3">
        <v>631.34</v>
      </c>
      <c r="G6" s="3">
        <v>2.8421709430404007E-14</v>
      </c>
      <c r="H6" s="3">
        <v>0</v>
      </c>
      <c r="I6" s="3">
        <v>0</v>
      </c>
      <c r="J6" s="3">
        <v>0</v>
      </c>
      <c r="K6" s="3">
        <v>0</v>
      </c>
      <c r="L6" s="3">
        <v>542.42999999999995</v>
      </c>
      <c r="M6" s="3">
        <v>4140.9400000000005</v>
      </c>
      <c r="N6" s="3">
        <v>5550.8099999999995</v>
      </c>
      <c r="O6" s="3">
        <v>9143.98</v>
      </c>
      <c r="P6" s="3">
        <v>8321.73</v>
      </c>
      <c r="Q6" s="3">
        <v>1586.2099999999998</v>
      </c>
      <c r="R6" s="3">
        <v>1881.6399999999999</v>
      </c>
      <c r="S6" s="3">
        <v>625.3900000000001</v>
      </c>
      <c r="T6" s="3">
        <f t="shared" si="0"/>
        <v>1364.4133333333332</v>
      </c>
      <c r="U6" s="3">
        <f t="shared" si="1"/>
        <v>-739.02333333333308</v>
      </c>
      <c r="V6" s="12">
        <f t="shared" si="2"/>
        <v>-0.54164182896678414</v>
      </c>
    </row>
    <row r="7" spans="1:24" hidden="1" outlineLevel="2" x14ac:dyDescent="0.25">
      <c r="A7" t="s">
        <v>119</v>
      </c>
      <c r="B7" t="s">
        <v>120</v>
      </c>
      <c r="C7" t="s">
        <v>121</v>
      </c>
      <c r="D7" t="s">
        <v>122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S7" s="3">
        <v>-73.86</v>
      </c>
      <c r="T7" s="3">
        <f t="shared" si="0"/>
        <v>-36.93</v>
      </c>
      <c r="U7" s="3">
        <f t="shared" si="1"/>
        <v>-36.93</v>
      </c>
      <c r="V7" s="12">
        <f t="shared" si="2"/>
        <v>1</v>
      </c>
    </row>
    <row r="8" spans="1:24" hidden="1" outlineLevel="2" x14ac:dyDescent="0.25">
      <c r="A8" t="s">
        <v>119</v>
      </c>
      <c r="B8" t="s">
        <v>120</v>
      </c>
      <c r="C8" t="s">
        <v>81</v>
      </c>
      <c r="D8" t="s">
        <v>82</v>
      </c>
      <c r="E8" s="3">
        <v>405163.54</v>
      </c>
      <c r="F8" s="3">
        <v>314400.27</v>
      </c>
      <c r="G8" s="3">
        <v>353281.4</v>
      </c>
      <c r="H8" s="3">
        <v>343308.09</v>
      </c>
      <c r="I8" s="3">
        <v>359755.26000000007</v>
      </c>
      <c r="J8" s="3">
        <v>356198.13</v>
      </c>
      <c r="K8" s="3">
        <v>335306.01</v>
      </c>
      <c r="L8" s="3">
        <v>403492.89</v>
      </c>
      <c r="M8" s="3">
        <v>352794.16000000003</v>
      </c>
      <c r="N8" s="3">
        <v>359899.73000000004</v>
      </c>
      <c r="O8" s="3">
        <v>336116.99</v>
      </c>
      <c r="P8" s="3">
        <v>269021.70999999996</v>
      </c>
      <c r="Q8" s="3">
        <v>223112.55000000002</v>
      </c>
      <c r="R8" s="3">
        <v>217549.98</v>
      </c>
      <c r="S8" s="3">
        <v>240858.91000000003</v>
      </c>
      <c r="T8" s="3">
        <f t="shared" si="0"/>
        <v>227173.81333333335</v>
      </c>
      <c r="U8" s="3">
        <f t="shared" si="1"/>
        <v>13685.096666666679</v>
      </c>
      <c r="V8" s="12">
        <f t="shared" si="2"/>
        <v>6.0240643346451482E-2</v>
      </c>
    </row>
    <row r="9" spans="1:24" hidden="1" outlineLevel="2" x14ac:dyDescent="0.25">
      <c r="A9" t="s">
        <v>119</v>
      </c>
      <c r="B9" t="s">
        <v>120</v>
      </c>
      <c r="C9" t="s">
        <v>87</v>
      </c>
      <c r="D9" t="s">
        <v>88</v>
      </c>
      <c r="E9" s="3">
        <v>0</v>
      </c>
      <c r="F9" s="3">
        <v>3000</v>
      </c>
      <c r="G9" s="3">
        <v>0</v>
      </c>
      <c r="H9" s="3">
        <v>0</v>
      </c>
      <c r="I9" s="3">
        <v>0</v>
      </c>
      <c r="J9" s="3">
        <v>0</v>
      </c>
      <c r="K9" s="3">
        <v>50000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T9" s="3">
        <f t="shared" si="0"/>
        <v>0</v>
      </c>
      <c r="U9" s="3">
        <f t="shared" si="1"/>
        <v>0</v>
      </c>
      <c r="V9" s="12" t="e">
        <f t="shared" si="2"/>
        <v>#DIV/0!</v>
      </c>
    </row>
    <row r="10" spans="1:24" hidden="1" outlineLevel="2" x14ac:dyDescent="0.25">
      <c r="A10" t="s">
        <v>119</v>
      </c>
      <c r="B10" t="s">
        <v>120</v>
      </c>
      <c r="C10" t="s">
        <v>89</v>
      </c>
      <c r="D10" t="s">
        <v>90</v>
      </c>
      <c r="E10" s="3">
        <v>78042.390000000014</v>
      </c>
      <c r="F10" s="3">
        <v>22083.629999999997</v>
      </c>
      <c r="G10" s="3">
        <v>78695.489999999991</v>
      </c>
      <c r="H10" s="3">
        <v>53119.709999999992</v>
      </c>
      <c r="I10" s="3">
        <v>88050.36</v>
      </c>
      <c r="J10" s="3">
        <v>20370.650000000005</v>
      </c>
      <c r="K10" s="3">
        <v>72657.119999999995</v>
      </c>
      <c r="L10" s="3">
        <v>69722.570000000007</v>
      </c>
      <c r="M10" s="3">
        <v>77196.039999999994</v>
      </c>
      <c r="N10" s="3">
        <v>62072.17</v>
      </c>
      <c r="O10" s="3">
        <v>52820.590000000004</v>
      </c>
      <c r="P10" s="3">
        <v>51617.330000000009</v>
      </c>
      <c r="Q10" s="3">
        <v>51982.189999999995</v>
      </c>
      <c r="R10" s="3">
        <v>8287.0499999999975</v>
      </c>
      <c r="S10" s="3">
        <v>52137.999999999993</v>
      </c>
      <c r="T10" s="3">
        <f t="shared" si="0"/>
        <v>37469.079999999994</v>
      </c>
      <c r="U10" s="3">
        <f t="shared" si="1"/>
        <v>14668.919999999998</v>
      </c>
      <c r="V10" s="12">
        <f t="shared" si="2"/>
        <v>0.39149399985267852</v>
      </c>
      <c r="W10" t="s">
        <v>168</v>
      </c>
    </row>
    <row r="11" spans="1:24" hidden="1" outlineLevel="2" x14ac:dyDescent="0.25">
      <c r="A11" t="s">
        <v>119</v>
      </c>
      <c r="B11" t="s">
        <v>120</v>
      </c>
      <c r="C11" t="s">
        <v>91</v>
      </c>
      <c r="D11" t="s">
        <v>92</v>
      </c>
      <c r="E11" s="3">
        <v>31277.77</v>
      </c>
      <c r="F11" s="3">
        <v>26507.089999999997</v>
      </c>
      <c r="G11" s="3">
        <v>131042.97</v>
      </c>
      <c r="H11" s="3">
        <v>22435.480000000003</v>
      </c>
      <c r="I11" s="3">
        <v>20644.059999999998</v>
      </c>
      <c r="J11" s="3">
        <v>18920.419999999998</v>
      </c>
      <c r="K11" s="3">
        <v>27203.21</v>
      </c>
      <c r="L11" s="3">
        <v>25627.18</v>
      </c>
      <c r="M11" s="3">
        <v>88469.41</v>
      </c>
      <c r="N11" s="3">
        <v>23302.12</v>
      </c>
      <c r="O11" s="3">
        <v>22488.950000000004</v>
      </c>
      <c r="P11" s="3">
        <v>23015.79</v>
      </c>
      <c r="Q11" s="3">
        <v>21033.370000000003</v>
      </c>
      <c r="R11" s="3">
        <v>20315.66</v>
      </c>
      <c r="S11" s="3">
        <v>112347.69</v>
      </c>
      <c r="T11" s="3">
        <f t="shared" si="0"/>
        <v>51232.24</v>
      </c>
      <c r="U11" s="3">
        <f t="shared" si="1"/>
        <v>61115.450000000004</v>
      </c>
      <c r="V11" s="12">
        <f t="shared" si="2"/>
        <v>1.1929099723143084</v>
      </c>
      <c r="W11" t="s">
        <v>168</v>
      </c>
    </row>
    <row r="12" spans="1:24" hidden="1" outlineLevel="2" x14ac:dyDescent="0.25">
      <c r="A12" t="s">
        <v>119</v>
      </c>
      <c r="B12" t="s">
        <v>120</v>
      </c>
      <c r="C12" t="s">
        <v>95</v>
      </c>
      <c r="D12" t="s">
        <v>96</v>
      </c>
      <c r="E12" s="3">
        <v>0</v>
      </c>
      <c r="F12" s="3">
        <v>179418</v>
      </c>
      <c r="G12" s="3">
        <v>35883.600000000122</v>
      </c>
      <c r="H12" s="3">
        <v>-6822.54</v>
      </c>
      <c r="I12" s="3">
        <v>205128.47</v>
      </c>
      <c r="J12" s="3">
        <v>60458.93</v>
      </c>
      <c r="K12" s="3">
        <v>49861.009999999995</v>
      </c>
      <c r="L12" s="3">
        <v>47937.74</v>
      </c>
      <c r="M12" s="3">
        <v>47937.74</v>
      </c>
      <c r="N12" s="3">
        <v>54391.13</v>
      </c>
      <c r="O12" s="3">
        <v>54391.13</v>
      </c>
      <c r="P12" s="3">
        <v>54391.13</v>
      </c>
      <c r="Q12" s="3">
        <v>57589.54</v>
      </c>
      <c r="R12" s="3">
        <v>22634.879999999997</v>
      </c>
      <c r="S12" s="3">
        <v>413523.54999999993</v>
      </c>
      <c r="T12" s="3">
        <f t="shared" si="0"/>
        <v>164582.65666666665</v>
      </c>
      <c r="U12" s="3">
        <f t="shared" si="1"/>
        <v>248940.89333333328</v>
      </c>
      <c r="V12" s="12">
        <f t="shared" si="2"/>
        <v>1.5125584820125944</v>
      </c>
      <c r="W12" t="s">
        <v>168</v>
      </c>
    </row>
    <row r="13" spans="1:24" hidden="1" outlineLevel="2" x14ac:dyDescent="0.25">
      <c r="A13" t="s">
        <v>119</v>
      </c>
      <c r="B13" t="s">
        <v>120</v>
      </c>
      <c r="C13" t="s">
        <v>97</v>
      </c>
      <c r="D13" t="s">
        <v>98</v>
      </c>
      <c r="E13" s="3">
        <v>30017.589999999997</v>
      </c>
      <c r="F13" s="3">
        <v>23466.44</v>
      </c>
      <c r="G13" s="3">
        <v>94548.249999999985</v>
      </c>
      <c r="H13" s="3">
        <v>15383.48</v>
      </c>
      <c r="I13" s="3">
        <v>16515.16</v>
      </c>
      <c r="J13" s="3">
        <v>28259.350000000002</v>
      </c>
      <c r="K13" s="3">
        <v>20143.369999999995</v>
      </c>
      <c r="L13" s="3">
        <v>18936.71</v>
      </c>
      <c r="M13" s="3">
        <v>21241.160000000003</v>
      </c>
      <c r="N13" s="3">
        <v>13379.890000000001</v>
      </c>
      <c r="O13" s="3">
        <v>13285.470000000001</v>
      </c>
      <c r="P13" s="3">
        <v>12616.620000000003</v>
      </c>
      <c r="Q13" s="3">
        <v>16295.869999999999</v>
      </c>
      <c r="R13" s="3">
        <v>59920.229999999989</v>
      </c>
      <c r="S13" s="3">
        <v>9160.179999999993</v>
      </c>
      <c r="T13" s="3">
        <f t="shared" si="0"/>
        <v>28458.759999999995</v>
      </c>
      <c r="U13" s="3">
        <f t="shared" si="1"/>
        <v>-19298.580000000002</v>
      </c>
      <c r="V13" s="12">
        <f t="shared" si="2"/>
        <v>-0.67812441582135008</v>
      </c>
    </row>
    <row r="14" spans="1:24" hidden="1" outlineLevel="2" x14ac:dyDescent="0.25">
      <c r="A14" t="s">
        <v>119</v>
      </c>
      <c r="B14" t="s">
        <v>120</v>
      </c>
      <c r="C14" t="s">
        <v>99</v>
      </c>
      <c r="D14" t="s">
        <v>100</v>
      </c>
      <c r="E14" s="3">
        <v>3947.04</v>
      </c>
      <c r="F14" s="3">
        <v>224.11</v>
      </c>
      <c r="G14" s="3">
        <v>0</v>
      </c>
      <c r="H14" s="3">
        <v>0</v>
      </c>
      <c r="I14" s="3">
        <v>30.79</v>
      </c>
      <c r="J14" s="3">
        <v>60.21</v>
      </c>
      <c r="K14" s="3">
        <v>-462</v>
      </c>
      <c r="L14" s="3">
        <v>106.93</v>
      </c>
      <c r="M14" s="3">
        <v>259.96999999999997</v>
      </c>
      <c r="N14" s="3">
        <v>31.949999999999996</v>
      </c>
      <c r="O14" s="3">
        <v>0</v>
      </c>
      <c r="P14" s="3">
        <v>180.35000000000002</v>
      </c>
      <c r="Q14" s="3">
        <v>3336.76</v>
      </c>
      <c r="R14" s="3">
        <v>-214.35999999999999</v>
      </c>
      <c r="T14" s="3">
        <f t="shared" si="0"/>
        <v>1561.2</v>
      </c>
      <c r="U14" s="3">
        <f t="shared" si="1"/>
        <v>-1561.2</v>
      </c>
      <c r="V14" s="12">
        <f t="shared" si="2"/>
        <v>-1</v>
      </c>
    </row>
    <row r="15" spans="1:24" hidden="1" outlineLevel="2" x14ac:dyDescent="0.25">
      <c r="A15" t="s">
        <v>119</v>
      </c>
      <c r="B15" t="s">
        <v>120</v>
      </c>
      <c r="C15" t="s">
        <v>33</v>
      </c>
      <c r="D15" t="s">
        <v>34</v>
      </c>
      <c r="E15" s="3">
        <v>0</v>
      </c>
      <c r="F15" s="3">
        <v>0</v>
      </c>
      <c r="G15" s="3">
        <v>0</v>
      </c>
      <c r="H15" s="3">
        <v>475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1395</v>
      </c>
      <c r="O15" s="3">
        <v>0</v>
      </c>
      <c r="P15" s="3">
        <v>0</v>
      </c>
      <c r="Q15" s="3">
        <v>0</v>
      </c>
      <c r="T15" s="3">
        <f t="shared" si="0"/>
        <v>0</v>
      </c>
      <c r="U15" s="3">
        <f t="shared" si="1"/>
        <v>0</v>
      </c>
      <c r="V15" s="12" t="e">
        <f t="shared" si="2"/>
        <v>#DIV/0!</v>
      </c>
    </row>
    <row r="16" spans="1:24" hidden="1" outlineLevel="2" x14ac:dyDescent="0.25">
      <c r="A16" t="s">
        <v>119</v>
      </c>
      <c r="B16" t="s">
        <v>120</v>
      </c>
      <c r="C16" t="s">
        <v>123</v>
      </c>
      <c r="D16" t="s">
        <v>124</v>
      </c>
      <c r="E16" s="3">
        <v>0</v>
      </c>
      <c r="F16" s="3">
        <v>0</v>
      </c>
      <c r="G16" s="3">
        <v>0</v>
      </c>
      <c r="H16" s="3">
        <v>0</v>
      </c>
      <c r="I16" s="3">
        <v>318.99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T16" s="3">
        <f t="shared" si="0"/>
        <v>0</v>
      </c>
      <c r="U16" s="3">
        <f t="shared" si="1"/>
        <v>0</v>
      </c>
      <c r="V16" s="12" t="e">
        <f t="shared" si="2"/>
        <v>#DIV/0!</v>
      </c>
    </row>
    <row r="17" spans="1:23" hidden="1" outlineLevel="2" x14ac:dyDescent="0.25">
      <c r="A17" t="s">
        <v>119</v>
      </c>
      <c r="B17" t="s">
        <v>120</v>
      </c>
      <c r="C17" t="s">
        <v>103</v>
      </c>
      <c r="D17" t="s">
        <v>104</v>
      </c>
      <c r="E17" s="3">
        <v>106000</v>
      </c>
      <c r="F17" s="3">
        <v>106000</v>
      </c>
      <c r="G17" s="3">
        <v>71112.890000000014</v>
      </c>
      <c r="H17" s="3">
        <v>107817.38</v>
      </c>
      <c r="I17" s="3">
        <v>106000</v>
      </c>
      <c r="J17" s="3">
        <v>149172.69</v>
      </c>
      <c r="K17" s="3">
        <v>106000</v>
      </c>
      <c r="L17" s="3">
        <v>106000</v>
      </c>
      <c r="M17" s="3">
        <v>181546.88</v>
      </c>
      <c r="N17" s="3">
        <v>106000</v>
      </c>
      <c r="O17" s="3">
        <v>106000</v>
      </c>
      <c r="P17" s="3">
        <v>-533222.38</v>
      </c>
      <c r="Q17" s="3">
        <v>35000</v>
      </c>
      <c r="R17" s="3">
        <v>23266.66</v>
      </c>
      <c r="S17" s="3">
        <v>152156.44999999998</v>
      </c>
      <c r="T17" s="3">
        <f t="shared" si="0"/>
        <v>70141.036666666667</v>
      </c>
      <c r="U17" s="3">
        <f t="shared" si="1"/>
        <v>82015.413333333316</v>
      </c>
      <c r="V17" s="12">
        <f t="shared" si="2"/>
        <v>1.1692928595152878</v>
      </c>
      <c r="W17" t="s">
        <v>168</v>
      </c>
    </row>
    <row r="18" spans="1:23" hidden="1" outlineLevel="2" x14ac:dyDescent="0.25">
      <c r="A18" t="s">
        <v>119</v>
      </c>
      <c r="B18" t="s">
        <v>120</v>
      </c>
      <c r="C18" t="s">
        <v>105</v>
      </c>
      <c r="D18" t="s">
        <v>106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8950.66</v>
      </c>
      <c r="N18" s="3">
        <v>0</v>
      </c>
      <c r="O18" s="3">
        <v>0</v>
      </c>
      <c r="P18" s="3">
        <v>3820.07</v>
      </c>
      <c r="Q18" s="3">
        <v>0</v>
      </c>
      <c r="S18" s="3">
        <v>4200.67</v>
      </c>
      <c r="T18" s="3">
        <f t="shared" si="0"/>
        <v>2100.335</v>
      </c>
      <c r="U18" s="3">
        <f t="shared" si="1"/>
        <v>2100.335</v>
      </c>
      <c r="V18" s="12">
        <f t="shared" si="2"/>
        <v>1</v>
      </c>
    </row>
    <row r="19" spans="1:23" hidden="1" outlineLevel="2" x14ac:dyDescent="0.25">
      <c r="A19" t="s">
        <v>119</v>
      </c>
      <c r="B19" t="s">
        <v>120</v>
      </c>
      <c r="C19" t="s">
        <v>35</v>
      </c>
      <c r="D19" t="s">
        <v>36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27.71</v>
      </c>
      <c r="L19" s="3">
        <v>0</v>
      </c>
      <c r="M19" s="3">
        <v>0</v>
      </c>
      <c r="N19" s="3">
        <v>26.650000000000002</v>
      </c>
      <c r="O19" s="3">
        <v>0</v>
      </c>
      <c r="P19" s="3">
        <v>0</v>
      </c>
      <c r="Q19" s="3">
        <v>0</v>
      </c>
      <c r="T19" s="3">
        <f t="shared" si="0"/>
        <v>0</v>
      </c>
      <c r="U19" s="3">
        <f t="shared" si="1"/>
        <v>0</v>
      </c>
      <c r="V19" s="12" t="e">
        <f t="shared" si="2"/>
        <v>#DIV/0!</v>
      </c>
    </row>
    <row r="20" spans="1:23" hidden="1" outlineLevel="2" x14ac:dyDescent="0.25">
      <c r="A20" t="s">
        <v>119</v>
      </c>
      <c r="B20" t="s">
        <v>120</v>
      </c>
      <c r="C20" t="s">
        <v>37</v>
      </c>
      <c r="D20" t="s">
        <v>38</v>
      </c>
      <c r="E20" s="3">
        <v>0</v>
      </c>
      <c r="F20" s="3">
        <v>7.49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T20" s="3">
        <f t="shared" si="0"/>
        <v>0</v>
      </c>
      <c r="U20" s="3">
        <f t="shared" si="1"/>
        <v>0</v>
      </c>
      <c r="V20" s="12" t="e">
        <f t="shared" si="2"/>
        <v>#DIV/0!</v>
      </c>
    </row>
    <row r="21" spans="1:23" hidden="1" outlineLevel="2" x14ac:dyDescent="0.25">
      <c r="A21" t="s">
        <v>119</v>
      </c>
      <c r="B21" t="s">
        <v>120</v>
      </c>
      <c r="C21" t="s">
        <v>39</v>
      </c>
      <c r="D21" t="s">
        <v>40</v>
      </c>
      <c r="E21" s="3">
        <v>0</v>
      </c>
      <c r="F21" s="3">
        <v>60.99</v>
      </c>
      <c r="G21" s="3">
        <v>34.750000000000007</v>
      </c>
      <c r="H21" s="3">
        <v>34.24</v>
      </c>
      <c r="I21" s="3">
        <v>34.24</v>
      </c>
      <c r="J21" s="3">
        <v>34.24</v>
      </c>
      <c r="K21" s="3">
        <v>38.440000000000005</v>
      </c>
      <c r="L21" s="3">
        <v>34.239999999999995</v>
      </c>
      <c r="M21" s="3">
        <v>0</v>
      </c>
      <c r="N21" s="3">
        <v>68.990000000000009</v>
      </c>
      <c r="O21" s="3">
        <v>34.24</v>
      </c>
      <c r="P21" s="3">
        <v>34.75</v>
      </c>
      <c r="Q21" s="3">
        <v>34.24</v>
      </c>
      <c r="R21" s="3">
        <v>38.93</v>
      </c>
      <c r="S21" s="3">
        <v>41.39</v>
      </c>
      <c r="T21" s="3">
        <f t="shared" si="0"/>
        <v>38.186666666666667</v>
      </c>
      <c r="U21" s="3">
        <f t="shared" si="1"/>
        <v>3.2033333333333331</v>
      </c>
      <c r="V21" s="12">
        <f t="shared" si="2"/>
        <v>8.3886173184357538E-2</v>
      </c>
    </row>
    <row r="22" spans="1:23" hidden="1" outlineLevel="2" x14ac:dyDescent="0.25">
      <c r="A22" t="s">
        <v>119</v>
      </c>
      <c r="B22" t="s">
        <v>120</v>
      </c>
      <c r="C22" t="s">
        <v>41</v>
      </c>
      <c r="D22" t="s">
        <v>42</v>
      </c>
      <c r="E22" s="3">
        <v>0</v>
      </c>
      <c r="F22" s="3">
        <v>0</v>
      </c>
      <c r="G22" s="3">
        <v>0</v>
      </c>
      <c r="H22" s="3">
        <v>16898.13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-16131</v>
      </c>
      <c r="P22" s="3">
        <v>0</v>
      </c>
      <c r="Q22" s="3">
        <v>143.25</v>
      </c>
      <c r="T22" s="3">
        <f t="shared" si="0"/>
        <v>143.25</v>
      </c>
      <c r="U22" s="3">
        <f t="shared" si="1"/>
        <v>-143.25</v>
      </c>
      <c r="V22" s="12">
        <f t="shared" si="2"/>
        <v>-1</v>
      </c>
    </row>
    <row r="23" spans="1:23" hidden="1" outlineLevel="2" x14ac:dyDescent="0.25">
      <c r="A23" t="s">
        <v>119</v>
      </c>
      <c r="B23" t="s">
        <v>120</v>
      </c>
      <c r="C23" t="s">
        <v>107</v>
      </c>
      <c r="D23" t="s">
        <v>108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1810.8999999999999</v>
      </c>
      <c r="O23" s="3">
        <v>0</v>
      </c>
      <c r="P23" s="3">
        <v>3621.7999999999997</v>
      </c>
      <c r="Q23" s="3">
        <v>1810.8999999999999</v>
      </c>
      <c r="S23" s="3">
        <v>24014.799999999999</v>
      </c>
      <c r="T23" s="3">
        <f t="shared" si="0"/>
        <v>12912.85</v>
      </c>
      <c r="U23" s="3">
        <f t="shared" si="1"/>
        <v>11101.949999999999</v>
      </c>
      <c r="V23" s="12">
        <f t="shared" si="2"/>
        <v>0.85975985162067237</v>
      </c>
    </row>
    <row r="24" spans="1:23" hidden="1" outlineLevel="2" x14ac:dyDescent="0.25">
      <c r="A24" t="s">
        <v>119</v>
      </c>
      <c r="B24" t="s">
        <v>120</v>
      </c>
      <c r="C24" t="s">
        <v>109</v>
      </c>
      <c r="D24" t="s">
        <v>110</v>
      </c>
      <c r="E24" s="3">
        <v>420</v>
      </c>
      <c r="F24" s="3">
        <v>210</v>
      </c>
      <c r="G24" s="3">
        <v>210</v>
      </c>
      <c r="H24" s="3">
        <v>210</v>
      </c>
      <c r="I24" s="3">
        <v>210</v>
      </c>
      <c r="J24" s="3">
        <v>210</v>
      </c>
      <c r="K24" s="3">
        <v>210</v>
      </c>
      <c r="L24" s="3">
        <v>315</v>
      </c>
      <c r="M24" s="3">
        <v>210</v>
      </c>
      <c r="N24" s="3">
        <v>210</v>
      </c>
      <c r="O24" s="3">
        <v>210</v>
      </c>
      <c r="P24" s="3">
        <v>210</v>
      </c>
      <c r="Q24" s="3">
        <v>595</v>
      </c>
      <c r="R24" s="3">
        <v>560</v>
      </c>
      <c r="S24" s="3">
        <v>560</v>
      </c>
      <c r="T24" s="3">
        <f t="shared" si="0"/>
        <v>571.66666666666663</v>
      </c>
      <c r="U24" s="3">
        <f t="shared" si="1"/>
        <v>-11.666666666666629</v>
      </c>
      <c r="V24" s="12">
        <f t="shared" si="2"/>
        <v>-2.0408163265306058E-2</v>
      </c>
    </row>
    <row r="25" spans="1:23" hidden="1" outlineLevel="2" x14ac:dyDescent="0.25">
      <c r="A25" t="s">
        <v>119</v>
      </c>
      <c r="B25" t="s">
        <v>120</v>
      </c>
      <c r="C25" t="s">
        <v>43</v>
      </c>
      <c r="D25" t="s">
        <v>44</v>
      </c>
      <c r="E25" s="3">
        <v>0</v>
      </c>
      <c r="F25" s="3">
        <v>0</v>
      </c>
      <c r="G25" s="3">
        <v>114.74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T25" s="3">
        <f t="shared" si="0"/>
        <v>0</v>
      </c>
      <c r="U25" s="3">
        <f t="shared" si="1"/>
        <v>0</v>
      </c>
      <c r="V25" s="12" t="e">
        <f t="shared" si="2"/>
        <v>#DIV/0!</v>
      </c>
    </row>
    <row r="26" spans="1:23" hidden="1" outlineLevel="2" x14ac:dyDescent="0.25">
      <c r="A26" t="s">
        <v>119</v>
      </c>
      <c r="B26" t="s">
        <v>120</v>
      </c>
      <c r="C26" t="s">
        <v>45</v>
      </c>
      <c r="D26" t="s">
        <v>46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T26" s="3">
        <f t="shared" si="0"/>
        <v>0</v>
      </c>
      <c r="U26" s="3">
        <f t="shared" si="1"/>
        <v>0</v>
      </c>
      <c r="V26" s="12" t="e">
        <f t="shared" si="2"/>
        <v>#DIV/0!</v>
      </c>
    </row>
    <row r="27" spans="1:23" hidden="1" outlineLevel="2" x14ac:dyDescent="0.25">
      <c r="A27" t="s">
        <v>119</v>
      </c>
      <c r="B27" t="s">
        <v>120</v>
      </c>
      <c r="C27" t="s">
        <v>49</v>
      </c>
      <c r="D27" t="s">
        <v>50</v>
      </c>
      <c r="E27" s="3">
        <v>0</v>
      </c>
      <c r="F27" s="3">
        <v>0</v>
      </c>
      <c r="G27" s="3">
        <v>1292.54</v>
      </c>
      <c r="H27" s="3">
        <v>0</v>
      </c>
      <c r="I27" s="3">
        <v>0</v>
      </c>
      <c r="J27" s="3">
        <v>245.81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129.71</v>
      </c>
      <c r="T27" s="3">
        <f t="shared" si="0"/>
        <v>64.855000000000004</v>
      </c>
      <c r="U27" s="3">
        <f t="shared" si="1"/>
        <v>-64.855000000000004</v>
      </c>
      <c r="V27" s="12">
        <f t="shared" si="2"/>
        <v>-1</v>
      </c>
    </row>
    <row r="28" spans="1:23" hidden="1" outlineLevel="2" x14ac:dyDescent="0.25">
      <c r="A28" t="s">
        <v>119</v>
      </c>
      <c r="B28" t="s">
        <v>120</v>
      </c>
      <c r="C28" t="s">
        <v>53</v>
      </c>
      <c r="D28" t="s">
        <v>54</v>
      </c>
      <c r="E28" s="3">
        <v>0</v>
      </c>
      <c r="F28" s="3">
        <v>0</v>
      </c>
      <c r="G28" s="3">
        <v>31.96</v>
      </c>
      <c r="H28" s="3">
        <v>-36.74</v>
      </c>
      <c r="I28" s="3">
        <v>0</v>
      </c>
      <c r="J28" s="3">
        <v>0</v>
      </c>
      <c r="K28" s="3">
        <v>84.3</v>
      </c>
      <c r="L28" s="3">
        <v>0</v>
      </c>
      <c r="M28" s="3">
        <v>102.28</v>
      </c>
      <c r="N28" s="3">
        <v>37.089999999999996</v>
      </c>
      <c r="O28" s="3">
        <v>0</v>
      </c>
      <c r="P28" s="3">
        <v>95.300000000000011</v>
      </c>
      <c r="Q28" s="3">
        <v>0</v>
      </c>
      <c r="S28" s="3">
        <v>41.93</v>
      </c>
      <c r="T28" s="3">
        <f t="shared" si="0"/>
        <v>20.965</v>
      </c>
      <c r="U28" s="3">
        <f t="shared" si="1"/>
        <v>20.965</v>
      </c>
      <c r="V28" s="12">
        <f t="shared" si="2"/>
        <v>1</v>
      </c>
    </row>
    <row r="29" spans="1:23" hidden="1" outlineLevel="2" x14ac:dyDescent="0.25">
      <c r="A29" t="s">
        <v>119</v>
      </c>
      <c r="B29" t="s">
        <v>120</v>
      </c>
      <c r="C29" t="s">
        <v>55</v>
      </c>
      <c r="D29" t="s">
        <v>56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29.57</v>
      </c>
      <c r="K29" s="3">
        <v>0</v>
      </c>
      <c r="L29" s="3">
        <v>0</v>
      </c>
      <c r="M29" s="3">
        <v>0</v>
      </c>
      <c r="N29" s="3">
        <v>742.61</v>
      </c>
      <c r="O29" s="3">
        <v>0</v>
      </c>
      <c r="P29" s="3">
        <v>0</v>
      </c>
      <c r="Q29" s="3">
        <v>0</v>
      </c>
      <c r="T29" s="3">
        <f t="shared" si="0"/>
        <v>0</v>
      </c>
      <c r="U29" s="3">
        <f t="shared" si="1"/>
        <v>0</v>
      </c>
      <c r="V29" s="12" t="e">
        <f t="shared" si="2"/>
        <v>#DIV/0!</v>
      </c>
    </row>
    <row r="30" spans="1:23" hidden="1" outlineLevel="2" x14ac:dyDescent="0.25">
      <c r="A30" t="s">
        <v>119</v>
      </c>
      <c r="B30" t="s">
        <v>120</v>
      </c>
      <c r="C30" t="s">
        <v>57</v>
      </c>
      <c r="D30" t="s">
        <v>58</v>
      </c>
      <c r="E30" s="3">
        <v>313.61</v>
      </c>
      <c r="F30" s="3">
        <v>499.17000000000007</v>
      </c>
      <c r="G30" s="3">
        <v>0</v>
      </c>
      <c r="H30" s="3">
        <v>8355.5199999999095</v>
      </c>
      <c r="I30" s="3">
        <v>303.95999999999998</v>
      </c>
      <c r="J30" s="3">
        <v>0</v>
      </c>
      <c r="K30" s="3">
        <v>4265.1500000000005</v>
      </c>
      <c r="L30" s="3">
        <v>210</v>
      </c>
      <c r="M30" s="3">
        <v>-2.3283064365386963E-10</v>
      </c>
      <c r="N30" s="3">
        <v>137836.6</v>
      </c>
      <c r="O30" s="3">
        <v>110746.38</v>
      </c>
      <c r="P30" s="3">
        <v>110746.38</v>
      </c>
      <c r="Q30" s="3">
        <v>110746.38</v>
      </c>
      <c r="R30" s="3">
        <v>83896.06</v>
      </c>
      <c r="S30" s="3">
        <v>-111057.7</v>
      </c>
      <c r="T30" s="3">
        <f t="shared" si="0"/>
        <v>27861.58</v>
      </c>
      <c r="U30" s="3">
        <f t="shared" si="1"/>
        <v>-138919.28</v>
      </c>
      <c r="V30" s="12">
        <f t="shared" si="2"/>
        <v>-4.9860517601657905</v>
      </c>
      <c r="W30" t="s">
        <v>167</v>
      </c>
    </row>
    <row r="31" spans="1:23" hidden="1" outlineLevel="2" x14ac:dyDescent="0.25">
      <c r="A31" t="s">
        <v>119</v>
      </c>
      <c r="B31" t="s">
        <v>120</v>
      </c>
      <c r="C31" t="s">
        <v>111</v>
      </c>
      <c r="D31" t="s">
        <v>112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T31" s="3">
        <f t="shared" si="0"/>
        <v>0</v>
      </c>
      <c r="U31" s="3">
        <f t="shared" si="1"/>
        <v>0</v>
      </c>
      <c r="V31" s="12" t="e">
        <f t="shared" si="2"/>
        <v>#DIV/0!</v>
      </c>
    </row>
    <row r="32" spans="1:23" hidden="1" outlineLevel="2" x14ac:dyDescent="0.25">
      <c r="A32" t="s">
        <v>119</v>
      </c>
      <c r="B32" t="s">
        <v>120</v>
      </c>
      <c r="C32" t="s">
        <v>125</v>
      </c>
      <c r="D32" t="s">
        <v>126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7.27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T32" s="3">
        <f t="shared" si="0"/>
        <v>0</v>
      </c>
      <c r="U32" s="3">
        <f t="shared" si="1"/>
        <v>0</v>
      </c>
      <c r="V32" s="12" t="e">
        <f t="shared" si="2"/>
        <v>#DIV/0!</v>
      </c>
    </row>
    <row r="33" spans="1:22" hidden="1" outlineLevel="2" x14ac:dyDescent="0.25">
      <c r="A33" t="s">
        <v>119</v>
      </c>
      <c r="B33" t="s">
        <v>120</v>
      </c>
      <c r="C33" t="s">
        <v>59</v>
      </c>
      <c r="D33" t="s">
        <v>60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24.02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T33" s="3">
        <f t="shared" si="0"/>
        <v>0</v>
      </c>
      <c r="U33" s="3">
        <f t="shared" si="1"/>
        <v>0</v>
      </c>
      <c r="V33" s="12" t="e">
        <f t="shared" si="2"/>
        <v>#DIV/0!</v>
      </c>
    </row>
    <row r="34" spans="1:22" hidden="1" outlineLevel="2" x14ac:dyDescent="0.25">
      <c r="A34" t="s">
        <v>119</v>
      </c>
      <c r="B34" t="s">
        <v>120</v>
      </c>
      <c r="C34" t="s">
        <v>127</v>
      </c>
      <c r="D34" t="s">
        <v>128</v>
      </c>
      <c r="E34" s="3">
        <v>0</v>
      </c>
      <c r="F34" s="3">
        <v>0</v>
      </c>
      <c r="G34" s="3">
        <v>0</v>
      </c>
      <c r="H34" s="3">
        <v>1100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250</v>
      </c>
      <c r="Q34" s="3">
        <v>7156.91</v>
      </c>
      <c r="T34" s="3">
        <f t="shared" si="0"/>
        <v>7156.91</v>
      </c>
      <c r="U34" s="3">
        <f t="shared" si="1"/>
        <v>-7156.91</v>
      </c>
      <c r="V34" s="12">
        <f t="shared" si="2"/>
        <v>-1</v>
      </c>
    </row>
    <row r="35" spans="1:22" hidden="1" outlineLevel="2" x14ac:dyDescent="0.25">
      <c r="A35" t="s">
        <v>119</v>
      </c>
      <c r="B35" t="s">
        <v>120</v>
      </c>
      <c r="C35" t="s">
        <v>65</v>
      </c>
      <c r="D35" t="s">
        <v>66</v>
      </c>
      <c r="E35" s="3">
        <v>-10356.69</v>
      </c>
      <c r="F35" s="3">
        <v>1758.65</v>
      </c>
      <c r="G35" s="3">
        <v>20229.41</v>
      </c>
      <c r="H35" s="3">
        <v>64933.070000000007</v>
      </c>
      <c r="I35" s="3">
        <v>225</v>
      </c>
      <c r="J35" s="3">
        <v>225</v>
      </c>
      <c r="K35" s="3">
        <v>236.25</v>
      </c>
      <c r="L35" s="3">
        <v>-76.959999999999994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T35" s="3">
        <f t="shared" si="0"/>
        <v>0</v>
      </c>
      <c r="U35" s="3">
        <f t="shared" si="1"/>
        <v>0</v>
      </c>
      <c r="V35" s="12" t="e">
        <f t="shared" si="2"/>
        <v>#DIV/0!</v>
      </c>
    </row>
    <row r="36" spans="1:22" hidden="1" outlineLevel="2" x14ac:dyDescent="0.25">
      <c r="A36" t="s">
        <v>119</v>
      </c>
      <c r="B36" t="s">
        <v>120</v>
      </c>
      <c r="C36" t="s">
        <v>71</v>
      </c>
      <c r="D36" t="s">
        <v>72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1281.8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T36" s="3">
        <f t="shared" si="0"/>
        <v>0</v>
      </c>
      <c r="U36" s="3">
        <f t="shared" si="1"/>
        <v>0</v>
      </c>
      <c r="V36" s="12" t="e">
        <f t="shared" si="2"/>
        <v>#DIV/0!</v>
      </c>
    </row>
    <row r="37" spans="1:22" hidden="1" outlineLevel="2" x14ac:dyDescent="0.25">
      <c r="A37" t="s">
        <v>119</v>
      </c>
      <c r="B37" t="s">
        <v>120</v>
      </c>
      <c r="C37" t="s">
        <v>115</v>
      </c>
      <c r="D37" t="s">
        <v>116</v>
      </c>
      <c r="E37" s="3">
        <v>1215</v>
      </c>
      <c r="F37" s="3">
        <v>810</v>
      </c>
      <c r="G37" s="3">
        <v>810</v>
      </c>
      <c r="H37" s="3">
        <v>810</v>
      </c>
      <c r="I37" s="3">
        <v>810</v>
      </c>
      <c r="J37" s="3">
        <v>810</v>
      </c>
      <c r="K37" s="3">
        <v>810</v>
      </c>
      <c r="L37" s="3">
        <v>1215</v>
      </c>
      <c r="M37" s="3">
        <v>810</v>
      </c>
      <c r="N37" s="3">
        <v>810</v>
      </c>
      <c r="O37" s="3">
        <v>765</v>
      </c>
      <c r="P37" s="3">
        <v>450</v>
      </c>
      <c r="Q37" s="3">
        <v>315</v>
      </c>
      <c r="T37" s="3">
        <f t="shared" si="0"/>
        <v>315</v>
      </c>
      <c r="U37" s="3">
        <f t="shared" si="1"/>
        <v>-315</v>
      </c>
      <c r="V37" s="12">
        <f t="shared" si="2"/>
        <v>-1</v>
      </c>
    </row>
    <row r="38" spans="1:22" hidden="1" outlineLevel="2" x14ac:dyDescent="0.25">
      <c r="A38" t="s">
        <v>119</v>
      </c>
      <c r="B38" t="s">
        <v>120</v>
      </c>
      <c r="C38" t="s">
        <v>76</v>
      </c>
      <c r="D38" t="s">
        <v>77</v>
      </c>
      <c r="E38" s="3">
        <v>0</v>
      </c>
      <c r="F38" s="3">
        <v>0</v>
      </c>
      <c r="G38" s="3">
        <v>0</v>
      </c>
      <c r="H38" s="3">
        <v>-4228.41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T38" s="3">
        <f t="shared" si="0"/>
        <v>0</v>
      </c>
      <c r="U38" s="3">
        <f t="shared" si="1"/>
        <v>0</v>
      </c>
      <c r="V38" s="12" t="e">
        <f t="shared" si="2"/>
        <v>#DIV/0!</v>
      </c>
    </row>
    <row r="39" spans="1:22" hidden="1" outlineLevel="2" x14ac:dyDescent="0.25">
      <c r="A39" t="s">
        <v>119</v>
      </c>
      <c r="B39" t="s">
        <v>120</v>
      </c>
      <c r="C39" t="s">
        <v>78</v>
      </c>
      <c r="D39" t="s">
        <v>79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1.0743406164692715E-10</v>
      </c>
      <c r="P39" s="3">
        <v>-8.7311491370201111E-11</v>
      </c>
      <c r="Q39" s="3">
        <v>625.00000000034925</v>
      </c>
      <c r="R39" s="3">
        <v>-2.1827872842550278E-11</v>
      </c>
      <c r="S39" s="3">
        <v>-5.8207660913467407E-10</v>
      </c>
      <c r="T39" s="3">
        <f t="shared" si="0"/>
        <v>208.33333333324845</v>
      </c>
      <c r="U39" s="3">
        <f t="shared" si="1"/>
        <v>-208.33333333383052</v>
      </c>
      <c r="V39" s="12">
        <f t="shared" si="2"/>
        <v>-1.000000000002794</v>
      </c>
    </row>
    <row r="40" spans="1:22" hidden="1" outlineLevel="2" x14ac:dyDescent="0.25">
      <c r="A40" t="s">
        <v>119</v>
      </c>
      <c r="B40" t="s">
        <v>120</v>
      </c>
      <c r="C40" t="s">
        <v>129</v>
      </c>
      <c r="D40" t="s">
        <v>130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50</v>
      </c>
      <c r="T40" s="3">
        <f t="shared" si="0"/>
        <v>50</v>
      </c>
      <c r="U40" s="3">
        <f t="shared" si="1"/>
        <v>-50</v>
      </c>
      <c r="V40" s="12">
        <f t="shared" si="2"/>
        <v>-1</v>
      </c>
    </row>
    <row r="41" spans="1:22" hidden="1" outlineLevel="2" x14ac:dyDescent="0.25">
      <c r="A41" t="s">
        <v>119</v>
      </c>
      <c r="B41" t="s">
        <v>120</v>
      </c>
      <c r="C41" t="s">
        <v>131</v>
      </c>
      <c r="D41" t="s">
        <v>132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105</v>
      </c>
      <c r="O41" s="3">
        <v>0</v>
      </c>
      <c r="P41" s="3">
        <v>0</v>
      </c>
      <c r="Q41" s="3">
        <v>0</v>
      </c>
      <c r="T41" s="3">
        <f t="shared" si="0"/>
        <v>0</v>
      </c>
      <c r="U41" s="3">
        <f t="shared" si="1"/>
        <v>0</v>
      </c>
      <c r="V41" s="12" t="e">
        <f t="shared" si="2"/>
        <v>#DIV/0!</v>
      </c>
    </row>
    <row r="42" spans="1:22" hidden="1" outlineLevel="2" x14ac:dyDescent="0.25">
      <c r="A42" t="s">
        <v>119</v>
      </c>
      <c r="B42" t="s">
        <v>120</v>
      </c>
      <c r="C42" t="s">
        <v>80</v>
      </c>
      <c r="D42" t="s">
        <v>75</v>
      </c>
      <c r="E42" s="3">
        <v>4.95</v>
      </c>
      <c r="F42" s="3">
        <v>268.5</v>
      </c>
      <c r="G42" s="3">
        <v>0</v>
      </c>
      <c r="H42" s="3">
        <v>1475</v>
      </c>
      <c r="I42" s="3">
        <v>0</v>
      </c>
      <c r="J42" s="3">
        <v>50</v>
      </c>
      <c r="K42" s="3">
        <v>0</v>
      </c>
      <c r="L42" s="3">
        <v>9.9</v>
      </c>
      <c r="M42" s="3">
        <v>200</v>
      </c>
      <c r="N42" s="3">
        <v>0</v>
      </c>
      <c r="O42" s="3">
        <v>118.39</v>
      </c>
      <c r="P42" s="3">
        <v>0</v>
      </c>
      <c r="Q42" s="3">
        <v>10862</v>
      </c>
      <c r="R42" s="3">
        <v>82.98</v>
      </c>
      <c r="S42" s="3">
        <v>4150</v>
      </c>
      <c r="T42" s="3">
        <f t="shared" si="0"/>
        <v>5031.66</v>
      </c>
      <c r="U42" s="3">
        <f t="shared" si="1"/>
        <v>-881.65999999999985</v>
      </c>
      <c r="V42" s="12">
        <f t="shared" si="2"/>
        <v>-0.17522249118581143</v>
      </c>
    </row>
    <row r="43" spans="1:22" hidden="1" outlineLevel="2" x14ac:dyDescent="0.25">
      <c r="A43" t="s">
        <v>119</v>
      </c>
      <c r="B43" t="s">
        <v>120</v>
      </c>
      <c r="C43" t="s">
        <v>133</v>
      </c>
      <c r="D43" t="s">
        <v>134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594.24</v>
      </c>
      <c r="P43" s="3">
        <v>0</v>
      </c>
      <c r="Q43" s="3">
        <v>0</v>
      </c>
      <c r="T43" s="3">
        <f t="shared" si="0"/>
        <v>0</v>
      </c>
      <c r="U43" s="3">
        <f t="shared" si="1"/>
        <v>0</v>
      </c>
      <c r="V43" s="12" t="e">
        <f t="shared" si="2"/>
        <v>#DIV/0!</v>
      </c>
    </row>
    <row r="44" spans="1:22" s="6" customFormat="1" hidden="1" outlineLevel="1" collapsed="1" x14ac:dyDescent="0.25">
      <c r="A44" s="5" t="s">
        <v>161</v>
      </c>
      <c r="E44" s="7">
        <f>SUBTOTAL(9,E2:E43)</f>
        <v>0</v>
      </c>
      <c r="F44" s="7">
        <f>SUBTOTAL(9,F2:F43)</f>
        <v>0</v>
      </c>
      <c r="G44" s="7">
        <f>SUBTOTAL(9,G2:G43)</f>
        <v>0</v>
      </c>
      <c r="H44" s="7">
        <f>SUBTOTAL(9,H2:H43)</f>
        <v>0</v>
      </c>
      <c r="I44" s="7">
        <f>SUBTOTAL(9,I2:I43)</f>
        <v>0</v>
      </c>
      <c r="J44" s="7">
        <f>SUBTOTAL(9,J2:J43)</f>
        <v>0</v>
      </c>
      <c r="K44" s="7">
        <f>SUBTOTAL(9,K2:K43)</f>
        <v>0</v>
      </c>
      <c r="L44" s="7">
        <f>SUBTOTAL(9,L2:L43)</f>
        <v>0</v>
      </c>
      <c r="M44" s="7">
        <f>SUBTOTAL(9,M2:M43)</f>
        <v>0</v>
      </c>
      <c r="N44" s="7">
        <f>SUBTOTAL(9,N2:N43)</f>
        <v>0</v>
      </c>
      <c r="O44" s="7">
        <f>SUBTOTAL(9,O2:O43)</f>
        <v>0</v>
      </c>
      <c r="P44" s="7">
        <f>SUBTOTAL(9,P2:P43)</f>
        <v>0</v>
      </c>
      <c r="Q44" s="7">
        <f>SUBTOTAL(9,Q2:Q43)</f>
        <v>0</v>
      </c>
      <c r="R44" s="7">
        <f>SUBTOTAL(9,R2:R43)</f>
        <v>0</v>
      </c>
      <c r="S44" s="7">
        <f>SUBTOTAL(9,S2:S43)</f>
        <v>0</v>
      </c>
      <c r="T44" s="7"/>
      <c r="U44" s="7"/>
      <c r="V44" s="7"/>
    </row>
    <row r="45" spans="1:22" outlineLevel="2" x14ac:dyDescent="0.25">
      <c r="A45" t="s">
        <v>151</v>
      </c>
      <c r="B45" t="s">
        <v>152</v>
      </c>
      <c r="C45" t="s">
        <v>19</v>
      </c>
      <c r="D45" t="s">
        <v>20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</row>
    <row r="46" spans="1:22" outlineLevel="2" x14ac:dyDescent="0.25">
      <c r="A46" t="s">
        <v>151</v>
      </c>
      <c r="B46" t="s">
        <v>152</v>
      </c>
      <c r="C46" t="s">
        <v>21</v>
      </c>
      <c r="D46" t="s">
        <v>22</v>
      </c>
      <c r="E46" s="3">
        <v>724.98</v>
      </c>
      <c r="F46" s="3">
        <v>-170.91</v>
      </c>
      <c r="G46" s="3">
        <v>4091.8400000000011</v>
      </c>
      <c r="H46" s="3">
        <v>4496.8899999999994</v>
      </c>
      <c r="I46" s="3">
        <v>2218.2000000000003</v>
      </c>
      <c r="J46" s="3">
        <v>1894.2199999999998</v>
      </c>
      <c r="K46" s="3">
        <v>-891.10000000000036</v>
      </c>
      <c r="L46" s="3">
        <v>586.97000000000014</v>
      </c>
      <c r="M46" s="3">
        <v>1291.1100000000001</v>
      </c>
      <c r="N46" s="3">
        <v>7343.3199999999979</v>
      </c>
      <c r="O46" s="3">
        <v>-329.61999999999983</v>
      </c>
      <c r="P46" s="3">
        <v>3271.8</v>
      </c>
      <c r="Q46" s="3">
        <v>1733.23</v>
      </c>
      <c r="R46" s="3">
        <v>2268.36</v>
      </c>
      <c r="S46" s="3">
        <v>4631.42</v>
      </c>
      <c r="T46" s="3">
        <f t="shared" ref="T46:T91" si="3">AVERAGE(Q46:S46)</f>
        <v>2877.67</v>
      </c>
      <c r="U46" s="3">
        <f t="shared" ref="U46:U91" si="4">S46-T46</f>
        <v>1753.75</v>
      </c>
      <c r="V46" s="12">
        <f t="shared" ref="V46:V91" si="5">(S46-T46)/T46</f>
        <v>0.6094340212741558</v>
      </c>
    </row>
    <row r="47" spans="1:22" outlineLevel="2" x14ac:dyDescent="0.25">
      <c r="A47" t="s">
        <v>151</v>
      </c>
      <c r="B47" t="s">
        <v>152</v>
      </c>
      <c r="C47" t="s">
        <v>23</v>
      </c>
      <c r="D47" t="s">
        <v>24</v>
      </c>
      <c r="E47" s="3">
        <v>5625.579999999999</v>
      </c>
      <c r="F47" s="3">
        <v>-1341.1999999999991</v>
      </c>
      <c r="G47" s="3">
        <v>4203.1500000000005</v>
      </c>
      <c r="H47" s="3">
        <v>269.61999999999978</v>
      </c>
      <c r="I47" s="3">
        <v>5621.2699999999986</v>
      </c>
      <c r="J47" s="3">
        <v>262.61000000000035</v>
      </c>
      <c r="K47" s="3">
        <v>3085.5200000000004</v>
      </c>
      <c r="L47" s="3">
        <v>3840.4799999999964</v>
      </c>
      <c r="M47" s="3">
        <v>849.37</v>
      </c>
      <c r="N47" s="3">
        <v>1219.4199999999996</v>
      </c>
      <c r="O47" s="3">
        <v>-1656.5599999999997</v>
      </c>
      <c r="P47" s="3">
        <v>693.31000000000006</v>
      </c>
      <c r="Q47" s="3">
        <v>1169.96</v>
      </c>
      <c r="R47" s="3">
        <v>915.68000000000006</v>
      </c>
      <c r="S47" s="3">
        <v>2191.9999999999995</v>
      </c>
      <c r="T47" s="3">
        <f t="shared" si="3"/>
        <v>1425.8799999999999</v>
      </c>
      <c r="U47" s="3">
        <f t="shared" si="4"/>
        <v>766.11999999999966</v>
      </c>
      <c r="V47" s="12">
        <f t="shared" si="5"/>
        <v>0.53729626616545556</v>
      </c>
    </row>
    <row r="48" spans="1:22" outlineLevel="2" x14ac:dyDescent="0.25">
      <c r="A48" t="s">
        <v>151</v>
      </c>
      <c r="B48" t="s">
        <v>152</v>
      </c>
      <c r="C48" t="s">
        <v>25</v>
      </c>
      <c r="D48" t="s">
        <v>26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2987.7699999999995</v>
      </c>
      <c r="N48" s="3">
        <v>7761.9900000000016</v>
      </c>
      <c r="O48" s="3">
        <v>-545.61999999999966</v>
      </c>
      <c r="P48" s="3">
        <v>3195.2100000000005</v>
      </c>
      <c r="Q48" s="3">
        <v>6423.7099999999982</v>
      </c>
      <c r="R48" s="3">
        <v>4427.9400000000041</v>
      </c>
      <c r="S48" s="3">
        <v>5378.7599999999984</v>
      </c>
      <c r="T48" s="3">
        <f t="shared" si="3"/>
        <v>5410.1366666666663</v>
      </c>
      <c r="U48" s="3">
        <f t="shared" si="4"/>
        <v>-31.376666666667916</v>
      </c>
      <c r="V48" s="12">
        <f t="shared" si="5"/>
        <v>-5.7996070339568599E-3</v>
      </c>
    </row>
    <row r="49" spans="1:24" outlineLevel="2" x14ac:dyDescent="0.25">
      <c r="A49" t="s">
        <v>151</v>
      </c>
      <c r="B49" t="s">
        <v>152</v>
      </c>
      <c r="C49" t="s">
        <v>27</v>
      </c>
      <c r="D49" t="s">
        <v>28</v>
      </c>
      <c r="E49" s="3">
        <v>390.95</v>
      </c>
      <c r="F49" s="3">
        <v>0</v>
      </c>
      <c r="G49" s="3">
        <v>153.76</v>
      </c>
      <c r="H49" s="3">
        <v>0</v>
      </c>
      <c r="I49" s="3">
        <v>704.47</v>
      </c>
      <c r="J49" s="3">
        <v>0</v>
      </c>
      <c r="K49" s="3">
        <v>505.97</v>
      </c>
      <c r="L49" s="3">
        <v>314.69</v>
      </c>
      <c r="M49" s="3">
        <v>2021.05</v>
      </c>
      <c r="N49" s="3">
        <v>6916.76</v>
      </c>
      <c r="O49" s="3">
        <v>-254.89999999999986</v>
      </c>
      <c r="P49" s="3">
        <v>1742.07</v>
      </c>
      <c r="Q49" s="3">
        <v>3489.96</v>
      </c>
      <c r="R49" s="3">
        <v>7682.0399999999963</v>
      </c>
      <c r="S49" s="3">
        <v>3573.8800000000006</v>
      </c>
      <c r="T49" s="3">
        <f t="shared" si="3"/>
        <v>4915.2933333333322</v>
      </c>
      <c r="U49" s="3">
        <f t="shared" si="4"/>
        <v>-1341.4133333333316</v>
      </c>
      <c r="V49" s="12">
        <f t="shared" si="5"/>
        <v>-0.27290605918398875</v>
      </c>
    </row>
    <row r="50" spans="1:24" outlineLevel="2" x14ac:dyDescent="0.25">
      <c r="A50" t="s">
        <v>151</v>
      </c>
      <c r="B50" t="s">
        <v>152</v>
      </c>
      <c r="C50" t="s">
        <v>121</v>
      </c>
      <c r="D50" t="s">
        <v>122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10014</v>
      </c>
      <c r="Q50" s="3">
        <v>0</v>
      </c>
      <c r="R50" s="3">
        <v>0</v>
      </c>
      <c r="S50" s="3">
        <v>-578.04</v>
      </c>
      <c r="T50" s="3">
        <f t="shared" si="3"/>
        <v>-192.67999999999998</v>
      </c>
      <c r="U50" s="3">
        <f t="shared" si="4"/>
        <v>-385.36</v>
      </c>
      <c r="V50" s="12">
        <f t="shared" si="5"/>
        <v>2.0000000000000004</v>
      </c>
    </row>
    <row r="51" spans="1:24" outlineLevel="2" x14ac:dyDescent="0.25">
      <c r="A51" t="s">
        <v>151</v>
      </c>
      <c r="B51" t="s">
        <v>152</v>
      </c>
      <c r="C51" t="s">
        <v>81</v>
      </c>
      <c r="D51" t="s">
        <v>82</v>
      </c>
      <c r="E51" s="3">
        <v>836972.85000000009</v>
      </c>
      <c r="F51" s="3">
        <v>756226.05</v>
      </c>
      <c r="G51" s="3">
        <v>814059.98</v>
      </c>
      <c r="H51" s="3">
        <v>556424.48</v>
      </c>
      <c r="I51" s="3">
        <v>668012.61999999988</v>
      </c>
      <c r="J51" s="3">
        <v>674376.68</v>
      </c>
      <c r="K51" s="3">
        <v>637590.21</v>
      </c>
      <c r="L51" s="3">
        <v>632148.1399999999</v>
      </c>
      <c r="M51" s="3">
        <v>472382.46999999986</v>
      </c>
      <c r="N51" s="3">
        <v>657068.67000000004</v>
      </c>
      <c r="O51" s="3">
        <v>538091.28</v>
      </c>
      <c r="P51" s="3">
        <v>637378.49</v>
      </c>
      <c r="Q51" s="3">
        <v>672734.66999999993</v>
      </c>
      <c r="R51" s="3">
        <v>613427.86</v>
      </c>
      <c r="S51" s="3">
        <v>717385.83</v>
      </c>
      <c r="T51" s="3">
        <f t="shared" si="3"/>
        <v>667849.45333333325</v>
      </c>
      <c r="U51" s="3">
        <f t="shared" si="4"/>
        <v>49536.376666666707</v>
      </c>
      <c r="V51" s="12">
        <f t="shared" si="5"/>
        <v>7.4172968802210568E-2</v>
      </c>
    </row>
    <row r="52" spans="1:24" outlineLevel="2" x14ac:dyDescent="0.25">
      <c r="A52" t="s">
        <v>151</v>
      </c>
      <c r="B52" t="s">
        <v>152</v>
      </c>
      <c r="C52" t="s">
        <v>83</v>
      </c>
      <c r="D52" t="s">
        <v>84</v>
      </c>
      <c r="E52" s="3">
        <v>32973.410000000003</v>
      </c>
      <c r="F52" s="3">
        <v>24690.63</v>
      </c>
      <c r="G52" s="3">
        <v>27727.120000000003</v>
      </c>
      <c r="H52" s="3">
        <v>-18181.30000000001</v>
      </c>
      <c r="I52" s="3">
        <v>-648.2900000000227</v>
      </c>
      <c r="J52" s="3">
        <v>304.00000000000637</v>
      </c>
      <c r="K52" s="3">
        <v>-9.9999999997635314E-3</v>
      </c>
      <c r="L52" s="3">
        <v>9.999999999308784E-3</v>
      </c>
      <c r="M52" s="3">
        <v>3687.0600000000004</v>
      </c>
      <c r="N52" s="3">
        <v>4770.6899999999951</v>
      </c>
      <c r="O52" s="3">
        <v>-7527.670000000001</v>
      </c>
      <c r="P52" s="3">
        <v>4100.0199999999995</v>
      </c>
      <c r="Q52" s="3">
        <v>-380.54000000000019</v>
      </c>
      <c r="T52" s="3">
        <f t="shared" si="3"/>
        <v>-380.54000000000019</v>
      </c>
      <c r="U52" s="3">
        <f t="shared" si="4"/>
        <v>380.54000000000019</v>
      </c>
      <c r="V52" s="12">
        <f t="shared" si="5"/>
        <v>-1</v>
      </c>
    </row>
    <row r="53" spans="1:24" outlineLevel="2" x14ac:dyDescent="0.25">
      <c r="A53" t="s">
        <v>151</v>
      </c>
      <c r="B53" t="s">
        <v>152</v>
      </c>
      <c r="C53" t="s">
        <v>153</v>
      </c>
      <c r="D53" t="s">
        <v>154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351</v>
      </c>
      <c r="L53" s="3">
        <v>-351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T53" s="3">
        <f t="shared" si="3"/>
        <v>0</v>
      </c>
      <c r="U53" s="3">
        <f t="shared" si="4"/>
        <v>0</v>
      </c>
      <c r="V53" s="12" t="e">
        <f t="shared" si="5"/>
        <v>#DIV/0!</v>
      </c>
    </row>
    <row r="54" spans="1:24" outlineLevel="2" x14ac:dyDescent="0.25">
      <c r="A54" t="s">
        <v>151</v>
      </c>
      <c r="B54" t="s">
        <v>152</v>
      </c>
      <c r="C54" t="s">
        <v>29</v>
      </c>
      <c r="D54" t="s">
        <v>30</v>
      </c>
      <c r="E54" s="3">
        <v>2474.56</v>
      </c>
      <c r="F54" s="3">
        <v>3805.01</v>
      </c>
      <c r="G54" s="3">
        <v>2589.56</v>
      </c>
      <c r="H54" s="3">
        <v>-1087.52</v>
      </c>
      <c r="I54" s="3">
        <v>296.82</v>
      </c>
      <c r="J54" s="3">
        <v>0</v>
      </c>
      <c r="K54" s="3">
        <v>9.9999999999909051E-3</v>
      </c>
      <c r="L54" s="3">
        <v>0</v>
      </c>
      <c r="M54" s="3">
        <v>207.34999999999997</v>
      </c>
      <c r="N54" s="3">
        <v>454.35</v>
      </c>
      <c r="O54" s="3">
        <v>238.71</v>
      </c>
      <c r="P54" s="3">
        <v>-14.720000000000027</v>
      </c>
      <c r="Q54" s="3">
        <v>0</v>
      </c>
      <c r="T54" s="3">
        <f t="shared" si="3"/>
        <v>0</v>
      </c>
      <c r="U54" s="3">
        <f t="shared" si="4"/>
        <v>0</v>
      </c>
      <c r="V54" s="12" t="e">
        <f t="shared" si="5"/>
        <v>#DIV/0!</v>
      </c>
    </row>
    <row r="55" spans="1:24" outlineLevel="2" x14ac:dyDescent="0.25">
      <c r="A55" t="s">
        <v>151</v>
      </c>
      <c r="B55" t="s">
        <v>152</v>
      </c>
      <c r="C55" t="s">
        <v>31</v>
      </c>
      <c r="D55" t="s">
        <v>32</v>
      </c>
      <c r="E55" s="3">
        <v>-13714.29</v>
      </c>
      <c r="F55" s="3">
        <v>0</v>
      </c>
      <c r="G55" s="3">
        <v>-27428.58</v>
      </c>
      <c r="H55" s="3">
        <v>-13714.29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T55" s="3">
        <f t="shared" si="3"/>
        <v>0</v>
      </c>
      <c r="U55" s="3">
        <f t="shared" si="4"/>
        <v>0</v>
      </c>
      <c r="V55" s="12" t="e">
        <f t="shared" si="5"/>
        <v>#DIV/0!</v>
      </c>
    </row>
    <row r="56" spans="1:24" outlineLevel="2" x14ac:dyDescent="0.25">
      <c r="A56" t="s">
        <v>151</v>
      </c>
      <c r="B56" t="s">
        <v>152</v>
      </c>
      <c r="C56" t="s">
        <v>85</v>
      </c>
      <c r="D56" t="s">
        <v>86</v>
      </c>
      <c r="E56" s="3">
        <v>0</v>
      </c>
      <c r="F56" s="3">
        <v>0</v>
      </c>
      <c r="G56" s="3">
        <v>0</v>
      </c>
      <c r="H56" s="3">
        <v>12441.86</v>
      </c>
      <c r="I56" s="3">
        <v>-12441.86</v>
      </c>
      <c r="J56" s="3">
        <v>0</v>
      </c>
      <c r="K56" s="3">
        <v>0</v>
      </c>
      <c r="L56" s="3">
        <v>0</v>
      </c>
      <c r="M56" s="3">
        <v>-2.5579538487363607E-13</v>
      </c>
      <c r="N56" s="3">
        <v>0</v>
      </c>
      <c r="O56" s="3">
        <v>59.22</v>
      </c>
      <c r="P56" s="3">
        <v>0</v>
      </c>
      <c r="Q56" s="3">
        <v>0</v>
      </c>
      <c r="S56" s="3">
        <v>-68797.8</v>
      </c>
      <c r="T56" s="3">
        <f t="shared" si="3"/>
        <v>-34398.9</v>
      </c>
      <c r="U56" s="3">
        <f t="shared" si="4"/>
        <v>-34398.9</v>
      </c>
      <c r="V56" s="12">
        <f t="shared" si="5"/>
        <v>1</v>
      </c>
      <c r="W56" t="s">
        <v>167</v>
      </c>
      <c r="X56" t="s">
        <v>169</v>
      </c>
    </row>
    <row r="57" spans="1:24" outlineLevel="2" x14ac:dyDescent="0.25">
      <c r="A57" t="s">
        <v>151</v>
      </c>
      <c r="B57" t="s">
        <v>152</v>
      </c>
      <c r="C57" t="s">
        <v>87</v>
      </c>
      <c r="D57" t="s">
        <v>88</v>
      </c>
      <c r="E57" s="3">
        <v>0</v>
      </c>
      <c r="F57" s="3">
        <v>0</v>
      </c>
      <c r="G57" s="3">
        <v>7107.32</v>
      </c>
      <c r="H57" s="3">
        <v>0</v>
      </c>
      <c r="I57" s="3">
        <v>0</v>
      </c>
      <c r="J57" s="3">
        <v>0</v>
      </c>
      <c r="K57" s="3">
        <v>30000</v>
      </c>
      <c r="L57" s="3">
        <v>0</v>
      </c>
      <c r="M57" s="3">
        <v>25000</v>
      </c>
      <c r="N57" s="3">
        <v>10000</v>
      </c>
      <c r="O57" s="3">
        <v>-5000</v>
      </c>
      <c r="P57" s="3">
        <v>833.33</v>
      </c>
      <c r="Q57" s="3">
        <v>25000</v>
      </c>
      <c r="S57" s="3">
        <v>15000</v>
      </c>
      <c r="T57" s="3">
        <f t="shared" si="3"/>
        <v>20000</v>
      </c>
      <c r="U57" s="3">
        <f t="shared" si="4"/>
        <v>-5000</v>
      </c>
      <c r="V57" s="12">
        <f t="shared" si="5"/>
        <v>-0.25</v>
      </c>
    </row>
    <row r="58" spans="1:24" outlineLevel="2" x14ac:dyDescent="0.25">
      <c r="A58" t="s">
        <v>151</v>
      </c>
      <c r="B58" t="s">
        <v>152</v>
      </c>
      <c r="C58" t="s">
        <v>89</v>
      </c>
      <c r="D58" t="s">
        <v>90</v>
      </c>
      <c r="E58" s="3">
        <v>129445.16000000002</v>
      </c>
      <c r="F58" s="3">
        <v>32054.070000000007</v>
      </c>
      <c r="G58" s="3">
        <v>144060.46</v>
      </c>
      <c r="H58" s="3">
        <v>56226.340000000004</v>
      </c>
      <c r="I58" s="3">
        <v>118928.59</v>
      </c>
      <c r="J58" s="3">
        <v>24592.28</v>
      </c>
      <c r="K58" s="3">
        <v>92603.459999999992</v>
      </c>
      <c r="L58" s="3">
        <v>91479.89</v>
      </c>
      <c r="M58" s="3">
        <v>108168.78</v>
      </c>
      <c r="N58" s="3">
        <v>88050.86</v>
      </c>
      <c r="O58" s="3">
        <v>72048.08</v>
      </c>
      <c r="P58" s="3">
        <v>76046.930000000022</v>
      </c>
      <c r="Q58" s="3">
        <v>120980.67000000001</v>
      </c>
      <c r="R58" s="3">
        <v>14789.250000000007</v>
      </c>
      <c r="S58" s="3">
        <v>126219.51000000001</v>
      </c>
      <c r="T58" s="3">
        <f t="shared" si="3"/>
        <v>87329.810000000012</v>
      </c>
      <c r="U58" s="3">
        <f t="shared" si="4"/>
        <v>38889.699999999997</v>
      </c>
      <c r="V58" s="12">
        <f t="shared" si="5"/>
        <v>0.4453198741643889</v>
      </c>
      <c r="W58" t="s">
        <v>168</v>
      </c>
    </row>
    <row r="59" spans="1:24" outlineLevel="2" x14ac:dyDescent="0.25">
      <c r="A59" t="s">
        <v>151</v>
      </c>
      <c r="B59" t="s">
        <v>152</v>
      </c>
      <c r="C59" t="s">
        <v>91</v>
      </c>
      <c r="D59" t="s">
        <v>92</v>
      </c>
      <c r="E59" s="3">
        <v>82424.160000000003</v>
      </c>
      <c r="F59" s="3">
        <v>76964.819999999992</v>
      </c>
      <c r="G59" s="3">
        <v>158201.73999999996</v>
      </c>
      <c r="H59" s="3">
        <v>41397.169999999991</v>
      </c>
      <c r="I59" s="3">
        <v>57614.319999999992</v>
      </c>
      <c r="J59" s="3">
        <v>57586.54</v>
      </c>
      <c r="K59" s="3">
        <v>57281.529999999984</v>
      </c>
      <c r="L59" s="3">
        <v>53188.539999999994</v>
      </c>
      <c r="M59" s="3">
        <v>144697.95000000001</v>
      </c>
      <c r="N59" s="3">
        <v>55408.390000000007</v>
      </c>
      <c r="O59" s="3">
        <v>47345.210000000006</v>
      </c>
      <c r="P59" s="3">
        <v>55338.3</v>
      </c>
      <c r="Q59" s="3">
        <v>60448.590000000004</v>
      </c>
      <c r="R59" s="3">
        <v>58612.93</v>
      </c>
      <c r="S59" s="3">
        <v>228517.46000000002</v>
      </c>
      <c r="T59" s="3">
        <f t="shared" si="3"/>
        <v>115859.66000000002</v>
      </c>
      <c r="U59" s="3">
        <f t="shared" si="4"/>
        <v>112657.8</v>
      </c>
      <c r="V59" s="12">
        <f t="shared" si="5"/>
        <v>0.97236432421776475</v>
      </c>
      <c r="W59" t="s">
        <v>168</v>
      </c>
    </row>
    <row r="60" spans="1:24" outlineLevel="2" x14ac:dyDescent="0.25">
      <c r="A60" t="s">
        <v>151</v>
      </c>
      <c r="B60" t="s">
        <v>152</v>
      </c>
      <c r="C60" t="s">
        <v>93</v>
      </c>
      <c r="D60" t="s">
        <v>94</v>
      </c>
      <c r="E60" s="3">
        <v>0</v>
      </c>
      <c r="F60" s="3">
        <v>150</v>
      </c>
      <c r="G60" s="3">
        <v>175</v>
      </c>
      <c r="H60" s="3">
        <v>0</v>
      </c>
      <c r="I60" s="3">
        <v>0</v>
      </c>
      <c r="J60" s="3">
        <v>225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275</v>
      </c>
      <c r="Q60" s="3">
        <v>0</v>
      </c>
      <c r="R60" s="3">
        <v>475</v>
      </c>
      <c r="T60" s="3">
        <f t="shared" si="3"/>
        <v>237.5</v>
      </c>
      <c r="U60" s="3">
        <f t="shared" si="4"/>
        <v>-237.5</v>
      </c>
      <c r="V60" s="12">
        <f t="shared" si="5"/>
        <v>-1</v>
      </c>
    </row>
    <row r="61" spans="1:24" outlineLevel="2" x14ac:dyDescent="0.25">
      <c r="A61" t="s">
        <v>151</v>
      </c>
      <c r="B61" t="s">
        <v>152</v>
      </c>
      <c r="C61" t="s">
        <v>95</v>
      </c>
      <c r="D61" t="s">
        <v>96</v>
      </c>
      <c r="E61" s="3">
        <v>0</v>
      </c>
      <c r="F61" s="3">
        <v>222744</v>
      </c>
      <c r="G61" s="3">
        <v>40048.800000000047</v>
      </c>
      <c r="H61" s="3">
        <v>350758.32</v>
      </c>
      <c r="I61" s="3">
        <v>263584.86</v>
      </c>
      <c r="J61" s="3">
        <v>171404.82</v>
      </c>
      <c r="K61" s="3">
        <v>178830.58</v>
      </c>
      <c r="L61" s="3">
        <v>178517.36</v>
      </c>
      <c r="M61" s="3">
        <v>178517.36</v>
      </c>
      <c r="N61" s="3">
        <v>178496.45</v>
      </c>
      <c r="O61" s="3">
        <v>178496.45</v>
      </c>
      <c r="P61" s="3">
        <v>178496.45</v>
      </c>
      <c r="Q61" s="3">
        <v>108740</v>
      </c>
      <c r="R61" s="3">
        <v>121208.82999999999</v>
      </c>
      <c r="S61" s="3">
        <v>-15068.360000000102</v>
      </c>
      <c r="T61" s="3">
        <f t="shared" si="3"/>
        <v>71626.82333333329</v>
      </c>
      <c r="U61" s="3">
        <f t="shared" si="4"/>
        <v>-86695.183333333393</v>
      </c>
      <c r="V61" s="12">
        <f t="shared" si="5"/>
        <v>-1.2103731437296295</v>
      </c>
      <c r="W61" t="s">
        <v>167</v>
      </c>
      <c r="X61" t="s">
        <v>170</v>
      </c>
    </row>
    <row r="62" spans="1:24" outlineLevel="2" x14ac:dyDescent="0.25">
      <c r="A62" t="s">
        <v>151</v>
      </c>
      <c r="B62" t="s">
        <v>152</v>
      </c>
      <c r="C62" t="s">
        <v>97</v>
      </c>
      <c r="D62" t="s">
        <v>98</v>
      </c>
      <c r="E62" s="3">
        <v>64525.649999999994</v>
      </c>
      <c r="F62" s="3">
        <v>59956.1</v>
      </c>
      <c r="G62" s="3">
        <v>128184.23</v>
      </c>
      <c r="H62" s="3">
        <v>30656.009999999991</v>
      </c>
      <c r="I62" s="3">
        <v>44446.510000000009</v>
      </c>
      <c r="J62" s="3">
        <v>65199.739999999991</v>
      </c>
      <c r="K62" s="3">
        <v>41350.54</v>
      </c>
      <c r="L62" s="3">
        <v>38186.079999999994</v>
      </c>
      <c r="M62" s="3">
        <v>39573.570000000007</v>
      </c>
      <c r="N62" s="3">
        <v>41368.07</v>
      </c>
      <c r="O62" s="3">
        <v>33935.070000000007</v>
      </c>
      <c r="P62" s="3">
        <v>39081.320000000007</v>
      </c>
      <c r="Q62" s="3">
        <v>51108.539999999994</v>
      </c>
      <c r="R62" s="3">
        <v>174462.23</v>
      </c>
      <c r="S62" s="3">
        <v>12119.00999999998</v>
      </c>
      <c r="T62" s="3">
        <f t="shared" si="3"/>
        <v>79229.926666666666</v>
      </c>
      <c r="U62" s="3">
        <f t="shared" si="4"/>
        <v>-67110.916666666686</v>
      </c>
      <c r="V62" s="12">
        <f t="shared" si="5"/>
        <v>-0.847039994735996</v>
      </c>
    </row>
    <row r="63" spans="1:24" outlineLevel="2" x14ac:dyDescent="0.25">
      <c r="A63" t="s">
        <v>151</v>
      </c>
      <c r="B63" t="s">
        <v>152</v>
      </c>
      <c r="C63" t="s">
        <v>99</v>
      </c>
      <c r="D63" t="s">
        <v>100</v>
      </c>
      <c r="E63" s="3">
        <v>11448.71</v>
      </c>
      <c r="F63" s="3">
        <v>787.84999999999991</v>
      </c>
      <c r="G63" s="3">
        <v>385.95000000000005</v>
      </c>
      <c r="H63" s="3">
        <v>-1649.6</v>
      </c>
      <c r="I63" s="3">
        <v>62.790000000000006</v>
      </c>
      <c r="J63" s="3">
        <v>0</v>
      </c>
      <c r="K63" s="3">
        <v>12.01</v>
      </c>
      <c r="L63" s="3">
        <v>260.99</v>
      </c>
      <c r="M63" s="3">
        <v>290.14</v>
      </c>
      <c r="N63" s="3">
        <v>324.77999999999997</v>
      </c>
      <c r="O63" s="3">
        <v>0.48</v>
      </c>
      <c r="P63" s="3">
        <v>91</v>
      </c>
      <c r="Q63" s="3">
        <v>7165.3099999999995</v>
      </c>
      <c r="R63" s="3">
        <v>114.48</v>
      </c>
      <c r="S63" s="3">
        <v>273</v>
      </c>
      <c r="T63" s="3">
        <f t="shared" si="3"/>
        <v>2517.5966666666664</v>
      </c>
      <c r="U63" s="3">
        <f t="shared" si="4"/>
        <v>-2244.5966666666664</v>
      </c>
      <c r="V63" s="12">
        <f t="shared" si="5"/>
        <v>-0.89156325013670445</v>
      </c>
    </row>
    <row r="64" spans="1:24" outlineLevel="2" x14ac:dyDescent="0.25">
      <c r="A64" t="s">
        <v>151</v>
      </c>
      <c r="B64" t="s">
        <v>152</v>
      </c>
      <c r="C64" t="s">
        <v>33</v>
      </c>
      <c r="D64" t="s">
        <v>34</v>
      </c>
      <c r="E64" s="3">
        <v>728.31999999999994</v>
      </c>
      <c r="F64" s="3">
        <v>0</v>
      </c>
      <c r="G64" s="3">
        <v>49</v>
      </c>
      <c r="H64" s="3">
        <v>100</v>
      </c>
      <c r="I64" s="3">
        <v>55.2</v>
      </c>
      <c r="J64" s="3">
        <v>3453.89</v>
      </c>
      <c r="K64" s="3">
        <v>0</v>
      </c>
      <c r="L64" s="3">
        <v>0</v>
      </c>
      <c r="M64" s="3">
        <v>2695</v>
      </c>
      <c r="N64" s="3">
        <v>5385</v>
      </c>
      <c r="O64" s="3">
        <v>1400</v>
      </c>
      <c r="P64" s="3">
        <v>0</v>
      </c>
      <c r="Q64" s="3">
        <v>0</v>
      </c>
      <c r="R64" s="3">
        <v>103.61</v>
      </c>
      <c r="S64" s="3">
        <v>366.55</v>
      </c>
      <c r="T64" s="3">
        <f t="shared" si="3"/>
        <v>156.72</v>
      </c>
      <c r="U64" s="3">
        <f t="shared" si="4"/>
        <v>209.83</v>
      </c>
      <c r="V64" s="12">
        <f t="shared" si="5"/>
        <v>1.3388846350178663</v>
      </c>
    </row>
    <row r="65" spans="1:24" outlineLevel="2" x14ac:dyDescent="0.25">
      <c r="A65" t="s">
        <v>151</v>
      </c>
      <c r="B65" t="s">
        <v>152</v>
      </c>
      <c r="C65" t="s">
        <v>123</v>
      </c>
      <c r="D65" t="s">
        <v>124</v>
      </c>
      <c r="E65" s="3">
        <v>0</v>
      </c>
      <c r="F65" s="3">
        <v>0</v>
      </c>
      <c r="G65" s="3">
        <v>0</v>
      </c>
      <c r="H65" s="3">
        <v>175.55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T65" s="3">
        <f t="shared" si="3"/>
        <v>0</v>
      </c>
      <c r="U65" s="3">
        <f t="shared" si="4"/>
        <v>0</v>
      </c>
      <c r="V65" s="12" t="e">
        <f t="shared" si="5"/>
        <v>#DIV/0!</v>
      </c>
    </row>
    <row r="66" spans="1:24" outlineLevel="2" x14ac:dyDescent="0.25">
      <c r="A66" t="s">
        <v>151</v>
      </c>
      <c r="B66" t="s">
        <v>152</v>
      </c>
      <c r="C66" t="s">
        <v>139</v>
      </c>
      <c r="D66" t="s">
        <v>140</v>
      </c>
      <c r="E66" s="3">
        <v>0</v>
      </c>
      <c r="F66" s="3">
        <v>806.68</v>
      </c>
      <c r="G66" s="3">
        <v>-806.68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T66" s="3">
        <f t="shared" si="3"/>
        <v>0</v>
      </c>
      <c r="U66" s="3">
        <f t="shared" si="4"/>
        <v>0</v>
      </c>
      <c r="V66" s="12" t="e">
        <f t="shared" si="5"/>
        <v>#DIV/0!</v>
      </c>
    </row>
    <row r="67" spans="1:24" outlineLevel="2" x14ac:dyDescent="0.25">
      <c r="A67" t="s">
        <v>151</v>
      </c>
      <c r="B67" t="s">
        <v>152</v>
      </c>
      <c r="C67" t="s">
        <v>103</v>
      </c>
      <c r="D67" t="s">
        <v>104</v>
      </c>
      <c r="E67" s="3">
        <v>110733.33</v>
      </c>
      <c r="F67" s="3">
        <v>110733</v>
      </c>
      <c r="G67" s="3">
        <v>103003.51999999996</v>
      </c>
      <c r="H67" s="3">
        <v>125503.81</v>
      </c>
      <c r="I67" s="3">
        <v>110733</v>
      </c>
      <c r="J67" s="3">
        <v>254273.49</v>
      </c>
      <c r="K67" s="3">
        <v>110733</v>
      </c>
      <c r="L67" s="3">
        <v>110733</v>
      </c>
      <c r="M67" s="3">
        <v>158254.17000000004</v>
      </c>
      <c r="N67" s="3">
        <v>110733</v>
      </c>
      <c r="O67" s="3">
        <v>110733</v>
      </c>
      <c r="P67" s="3">
        <v>125223.76000000001</v>
      </c>
      <c r="Q67" s="3">
        <v>91400</v>
      </c>
      <c r="R67" s="3">
        <v>91400</v>
      </c>
      <c r="S67" s="3">
        <v>47446.880000000005</v>
      </c>
      <c r="T67" s="3">
        <f t="shared" si="3"/>
        <v>76748.960000000006</v>
      </c>
      <c r="U67" s="3">
        <f t="shared" si="4"/>
        <v>-29302.080000000002</v>
      </c>
      <c r="V67" s="12">
        <f t="shared" si="5"/>
        <v>-0.38179123208965959</v>
      </c>
    </row>
    <row r="68" spans="1:24" outlineLevel="2" x14ac:dyDescent="0.25">
      <c r="A68" t="s">
        <v>151</v>
      </c>
      <c r="B68" t="s">
        <v>152</v>
      </c>
      <c r="C68" t="s">
        <v>105</v>
      </c>
      <c r="D68" t="s">
        <v>106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29973.61</v>
      </c>
      <c r="N68" s="3">
        <v>0</v>
      </c>
      <c r="O68" s="3">
        <v>0</v>
      </c>
      <c r="P68" s="3">
        <v>5277.72</v>
      </c>
      <c r="Q68" s="3">
        <v>0</v>
      </c>
      <c r="S68" s="3">
        <v>21862.55</v>
      </c>
      <c r="T68" s="3">
        <f t="shared" si="3"/>
        <v>10931.275</v>
      </c>
      <c r="U68" s="3">
        <f t="shared" si="4"/>
        <v>10931.275</v>
      </c>
      <c r="V68" s="12">
        <f t="shared" si="5"/>
        <v>1</v>
      </c>
    </row>
    <row r="69" spans="1:24" outlineLevel="2" x14ac:dyDescent="0.25">
      <c r="A69" t="s">
        <v>151</v>
      </c>
      <c r="B69" t="s">
        <v>152</v>
      </c>
      <c r="C69" t="s">
        <v>41</v>
      </c>
      <c r="D69" t="s">
        <v>42</v>
      </c>
      <c r="E69" s="3">
        <v>30.25</v>
      </c>
      <c r="F69" s="3">
        <v>385.29</v>
      </c>
      <c r="G69" s="3">
        <v>717.34</v>
      </c>
      <c r="H69" s="3">
        <v>112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100</v>
      </c>
      <c r="Q69" s="3">
        <v>0</v>
      </c>
      <c r="S69" s="3">
        <v>118</v>
      </c>
      <c r="T69" s="3">
        <f t="shared" si="3"/>
        <v>59</v>
      </c>
      <c r="U69" s="3">
        <f t="shared" si="4"/>
        <v>59</v>
      </c>
      <c r="V69" s="12">
        <f t="shared" si="5"/>
        <v>1</v>
      </c>
    </row>
    <row r="70" spans="1:24" outlineLevel="2" x14ac:dyDescent="0.25">
      <c r="A70" t="s">
        <v>151</v>
      </c>
      <c r="B70" t="s">
        <v>152</v>
      </c>
      <c r="C70" t="s">
        <v>109</v>
      </c>
      <c r="D70" t="s">
        <v>110</v>
      </c>
      <c r="E70" s="3">
        <v>630</v>
      </c>
      <c r="F70" s="3">
        <v>420</v>
      </c>
      <c r="G70" s="3">
        <v>385</v>
      </c>
      <c r="H70" s="3">
        <v>385</v>
      </c>
      <c r="I70" s="3">
        <v>420</v>
      </c>
      <c r="J70" s="3">
        <v>420</v>
      </c>
      <c r="K70" s="3">
        <v>420</v>
      </c>
      <c r="L70" s="3">
        <v>525</v>
      </c>
      <c r="M70" s="3">
        <v>350</v>
      </c>
      <c r="N70" s="3">
        <v>350</v>
      </c>
      <c r="O70" s="3">
        <v>350</v>
      </c>
      <c r="P70" s="3">
        <v>350</v>
      </c>
      <c r="Q70" s="3">
        <v>2345</v>
      </c>
      <c r="R70" s="3">
        <v>2170</v>
      </c>
      <c r="S70" s="3">
        <v>2170</v>
      </c>
      <c r="T70" s="3">
        <f t="shared" si="3"/>
        <v>2228.3333333333335</v>
      </c>
      <c r="U70" s="3">
        <f t="shared" si="4"/>
        <v>-58.333333333333485</v>
      </c>
      <c r="V70" s="12">
        <f t="shared" si="5"/>
        <v>-2.6178010471204254E-2</v>
      </c>
    </row>
    <row r="71" spans="1:24" outlineLevel="2" x14ac:dyDescent="0.25">
      <c r="A71" t="s">
        <v>151</v>
      </c>
      <c r="B71" t="s">
        <v>152</v>
      </c>
      <c r="C71" t="s">
        <v>45</v>
      </c>
      <c r="D71" t="s">
        <v>46</v>
      </c>
      <c r="E71" s="3">
        <v>606.25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T71" s="3">
        <f t="shared" si="3"/>
        <v>0</v>
      </c>
      <c r="U71" s="3">
        <f t="shared" si="4"/>
        <v>0</v>
      </c>
      <c r="V71" s="12" t="e">
        <f t="shared" si="5"/>
        <v>#DIV/0!</v>
      </c>
    </row>
    <row r="72" spans="1:24" outlineLevel="2" x14ac:dyDescent="0.25">
      <c r="A72" t="s">
        <v>151</v>
      </c>
      <c r="B72" t="s">
        <v>152</v>
      </c>
      <c r="C72" t="s">
        <v>135</v>
      </c>
      <c r="D72" t="s">
        <v>136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1064.92</v>
      </c>
      <c r="P72" s="3">
        <v>1064.9100000000001</v>
      </c>
      <c r="Q72" s="3">
        <v>0</v>
      </c>
      <c r="T72" s="3">
        <f t="shared" si="3"/>
        <v>0</v>
      </c>
      <c r="U72" s="3">
        <f t="shared" si="4"/>
        <v>0</v>
      </c>
      <c r="V72" s="12" t="e">
        <f t="shared" si="5"/>
        <v>#DIV/0!</v>
      </c>
    </row>
    <row r="73" spans="1:24" outlineLevel="2" x14ac:dyDescent="0.25">
      <c r="A73" t="s">
        <v>151</v>
      </c>
      <c r="B73" t="s">
        <v>152</v>
      </c>
      <c r="C73" t="s">
        <v>53</v>
      </c>
      <c r="D73" t="s">
        <v>54</v>
      </c>
      <c r="E73" s="3">
        <v>0</v>
      </c>
      <c r="F73" s="3">
        <v>0</v>
      </c>
      <c r="G73" s="3">
        <v>0</v>
      </c>
      <c r="H73" s="3">
        <v>-4.95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600</v>
      </c>
      <c r="O73" s="3">
        <v>0</v>
      </c>
      <c r="P73" s="3">
        <v>0</v>
      </c>
      <c r="Q73" s="3">
        <v>0</v>
      </c>
      <c r="T73" s="3">
        <f t="shared" si="3"/>
        <v>0</v>
      </c>
      <c r="U73" s="3">
        <f t="shared" si="4"/>
        <v>0</v>
      </c>
      <c r="V73" s="12" t="e">
        <f t="shared" si="5"/>
        <v>#DIV/0!</v>
      </c>
    </row>
    <row r="74" spans="1:24" outlineLevel="2" x14ac:dyDescent="0.25">
      <c r="A74" t="s">
        <v>151</v>
      </c>
      <c r="B74" t="s">
        <v>152</v>
      </c>
      <c r="C74" t="s">
        <v>55</v>
      </c>
      <c r="D74" t="s">
        <v>56</v>
      </c>
      <c r="E74" s="3">
        <v>67828.59</v>
      </c>
      <c r="F74" s="3">
        <v>56717.02</v>
      </c>
      <c r="G74" s="3">
        <v>43818.95</v>
      </c>
      <c r="H74" s="3">
        <v>4878.7200000000012</v>
      </c>
      <c r="I74" s="3">
        <v>21508.78</v>
      </c>
      <c r="J74" s="3">
        <v>46642.18</v>
      </c>
      <c r="K74" s="3">
        <v>21698.26</v>
      </c>
      <c r="L74" s="3">
        <v>21508.78</v>
      </c>
      <c r="M74" s="3">
        <v>21508.78</v>
      </c>
      <c r="N74" s="3">
        <v>19956.32</v>
      </c>
      <c r="O74" s="3">
        <v>23613.899999999998</v>
      </c>
      <c r="P74" s="3">
        <v>138899.47000000012</v>
      </c>
      <c r="Q74" s="3">
        <v>45814.26</v>
      </c>
      <c r="R74" s="3">
        <v>73645.260000000009</v>
      </c>
      <c r="S74" s="3">
        <v>93505.180000000008</v>
      </c>
      <c r="T74" s="3">
        <f t="shared" si="3"/>
        <v>70988.233333333337</v>
      </c>
      <c r="U74" s="3">
        <f t="shared" si="4"/>
        <v>22516.94666666667</v>
      </c>
      <c r="V74" s="12">
        <f t="shared" si="5"/>
        <v>0.31719266150681313</v>
      </c>
      <c r="W74" t="s">
        <v>168</v>
      </c>
    </row>
    <row r="75" spans="1:24" outlineLevel="2" x14ac:dyDescent="0.25">
      <c r="A75" t="s">
        <v>151</v>
      </c>
      <c r="B75" t="s">
        <v>152</v>
      </c>
      <c r="C75" t="s">
        <v>57</v>
      </c>
      <c r="D75" t="s">
        <v>58</v>
      </c>
      <c r="E75" s="3">
        <v>129486.90999999997</v>
      </c>
      <c r="F75" s="3">
        <v>136967.93</v>
      </c>
      <c r="G75" s="3">
        <v>130579.42999999998</v>
      </c>
      <c r="H75" s="3">
        <v>91462.92</v>
      </c>
      <c r="I75" s="3">
        <v>119218.91</v>
      </c>
      <c r="J75" s="3">
        <v>136653.39000000001</v>
      </c>
      <c r="K75" s="3">
        <v>108956.49</v>
      </c>
      <c r="L75" s="3">
        <v>112718.16</v>
      </c>
      <c r="M75" s="3">
        <v>154983.22999999998</v>
      </c>
      <c r="N75" s="3">
        <v>145766.54000000004</v>
      </c>
      <c r="O75" s="3">
        <v>77536.55</v>
      </c>
      <c r="P75" s="3">
        <v>179705.58000000007</v>
      </c>
      <c r="Q75" s="3">
        <v>57734.690000000017</v>
      </c>
      <c r="R75" s="3">
        <v>105835.70999999999</v>
      </c>
      <c r="S75" s="3">
        <v>96934.98000000001</v>
      </c>
      <c r="T75" s="3">
        <f t="shared" si="3"/>
        <v>86835.126666666678</v>
      </c>
      <c r="U75" s="3">
        <f t="shared" si="4"/>
        <v>10099.853333333333</v>
      </c>
      <c r="V75" s="12">
        <f t="shared" si="5"/>
        <v>0.11631068809404241</v>
      </c>
    </row>
    <row r="76" spans="1:24" outlineLevel="2" x14ac:dyDescent="0.25">
      <c r="A76" t="s">
        <v>151</v>
      </c>
      <c r="B76" t="s">
        <v>152</v>
      </c>
      <c r="C76" t="s">
        <v>111</v>
      </c>
      <c r="D76" t="s">
        <v>112</v>
      </c>
      <c r="E76" s="3">
        <v>1045</v>
      </c>
      <c r="F76" s="3">
        <v>110</v>
      </c>
      <c r="G76" s="3">
        <v>0</v>
      </c>
      <c r="H76" s="3">
        <v>232</v>
      </c>
      <c r="I76" s="3">
        <v>290</v>
      </c>
      <c r="J76" s="3">
        <v>1357</v>
      </c>
      <c r="K76" s="3">
        <v>0</v>
      </c>
      <c r="L76" s="3">
        <v>757</v>
      </c>
      <c r="M76" s="3">
        <v>112</v>
      </c>
      <c r="N76" s="3">
        <v>0</v>
      </c>
      <c r="O76" s="3">
        <v>0</v>
      </c>
      <c r="P76" s="3">
        <v>477</v>
      </c>
      <c r="Q76" s="3">
        <v>228</v>
      </c>
      <c r="R76" s="3">
        <v>220</v>
      </c>
      <c r="S76" s="3">
        <v>228</v>
      </c>
      <c r="T76" s="3">
        <f t="shared" si="3"/>
        <v>225.33333333333334</v>
      </c>
      <c r="U76" s="3">
        <f t="shared" si="4"/>
        <v>2.6666666666666572</v>
      </c>
      <c r="V76" s="12">
        <f t="shared" si="5"/>
        <v>1.1834319526627177E-2</v>
      </c>
    </row>
    <row r="77" spans="1:24" ht="60" outlineLevel="2" x14ac:dyDescent="0.25">
      <c r="A77" t="s">
        <v>151</v>
      </c>
      <c r="B77" t="s">
        <v>152</v>
      </c>
      <c r="C77" t="s">
        <v>141</v>
      </c>
      <c r="D77" t="s">
        <v>142</v>
      </c>
      <c r="E77" s="3">
        <v>0</v>
      </c>
      <c r="F77" s="3">
        <v>0</v>
      </c>
      <c r="G77" s="3">
        <v>0</v>
      </c>
      <c r="H77" s="3">
        <v>726.62</v>
      </c>
      <c r="I77" s="3">
        <v>42247.29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28740.789999999997</v>
      </c>
      <c r="R77" s="3">
        <v>134332.5</v>
      </c>
      <c r="S77" s="3">
        <v>-108196.64</v>
      </c>
      <c r="T77" s="3">
        <f t="shared" si="3"/>
        <v>18292.216666666671</v>
      </c>
      <c r="U77" s="3">
        <f t="shared" si="4"/>
        <v>-126488.85666666667</v>
      </c>
      <c r="V77" s="12">
        <f t="shared" si="5"/>
        <v>-6.9149004175728646</v>
      </c>
      <c r="W77" t="s">
        <v>167</v>
      </c>
      <c r="X77" s="4" t="s">
        <v>171</v>
      </c>
    </row>
    <row r="78" spans="1:24" outlineLevel="2" x14ac:dyDescent="0.25">
      <c r="A78" t="s">
        <v>151</v>
      </c>
      <c r="B78" t="s">
        <v>152</v>
      </c>
      <c r="C78" t="s">
        <v>143</v>
      </c>
      <c r="D78" t="s">
        <v>144</v>
      </c>
      <c r="E78" s="3">
        <v>0</v>
      </c>
      <c r="F78" s="3">
        <v>150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T78" s="3">
        <f t="shared" si="3"/>
        <v>0</v>
      </c>
      <c r="U78" s="3">
        <f t="shared" si="4"/>
        <v>0</v>
      </c>
      <c r="V78" s="12" t="e">
        <f t="shared" si="5"/>
        <v>#DIV/0!</v>
      </c>
    </row>
    <row r="79" spans="1:24" outlineLevel="2" x14ac:dyDescent="0.25">
      <c r="A79" t="s">
        <v>151</v>
      </c>
      <c r="B79" t="s">
        <v>152</v>
      </c>
      <c r="C79" t="s">
        <v>113</v>
      </c>
      <c r="D79" t="s">
        <v>114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6310</v>
      </c>
      <c r="K79" s="3">
        <v>0</v>
      </c>
      <c r="L79" s="3">
        <v>6674</v>
      </c>
      <c r="M79" s="3">
        <v>5970</v>
      </c>
      <c r="N79" s="3">
        <v>-5970</v>
      </c>
      <c r="O79" s="3">
        <v>525</v>
      </c>
      <c r="P79" s="3">
        <v>7203.82</v>
      </c>
      <c r="Q79" s="3">
        <v>0</v>
      </c>
      <c r="R79" s="3">
        <v>5050</v>
      </c>
      <c r="S79" s="3">
        <v>0</v>
      </c>
      <c r="T79" s="3">
        <f t="shared" si="3"/>
        <v>1683.3333333333333</v>
      </c>
      <c r="U79" s="3">
        <f t="shared" si="4"/>
        <v>-1683.3333333333333</v>
      </c>
      <c r="V79" s="12">
        <f t="shared" si="5"/>
        <v>-1</v>
      </c>
    </row>
    <row r="80" spans="1:24" outlineLevel="2" x14ac:dyDescent="0.25">
      <c r="A80" t="s">
        <v>151</v>
      </c>
      <c r="B80" t="s">
        <v>152</v>
      </c>
      <c r="C80" t="s">
        <v>63</v>
      </c>
      <c r="D80" t="s">
        <v>64</v>
      </c>
      <c r="E80" s="3">
        <v>170962.94</v>
      </c>
      <c r="F80" s="3">
        <v>9492.6200000000008</v>
      </c>
      <c r="G80" s="3">
        <v>-60706.64</v>
      </c>
      <c r="H80" s="3">
        <v>-828.04</v>
      </c>
      <c r="I80" s="3">
        <v>14552</v>
      </c>
      <c r="J80" s="3">
        <v>18297</v>
      </c>
      <c r="K80" s="3">
        <v>3210</v>
      </c>
      <c r="L80" s="3">
        <v>3506.25</v>
      </c>
      <c r="M80" s="3">
        <v>6428.81</v>
      </c>
      <c r="N80" s="3">
        <v>-28664.949999999997</v>
      </c>
      <c r="O80" s="3">
        <v>-1327.5</v>
      </c>
      <c r="P80" s="3">
        <v>13227.119999999999</v>
      </c>
      <c r="Q80" s="3">
        <v>4724.07</v>
      </c>
      <c r="R80" s="3">
        <v>295</v>
      </c>
      <c r="S80" s="3">
        <v>1160.8699999999999</v>
      </c>
      <c r="T80" s="3">
        <f t="shared" si="3"/>
        <v>2059.98</v>
      </c>
      <c r="U80" s="3">
        <f t="shared" si="4"/>
        <v>-899.11000000000013</v>
      </c>
      <c r="V80" s="12">
        <f t="shared" si="5"/>
        <v>-0.43646540257672412</v>
      </c>
    </row>
    <row r="81" spans="1:24" ht="45" outlineLevel="2" x14ac:dyDescent="0.25">
      <c r="A81" t="s">
        <v>151</v>
      </c>
      <c r="B81" t="s">
        <v>152</v>
      </c>
      <c r="C81" t="s">
        <v>65</v>
      </c>
      <c r="D81" t="s">
        <v>66</v>
      </c>
      <c r="E81" s="3">
        <v>487269.75999999989</v>
      </c>
      <c r="F81" s="3">
        <v>811208.09000000008</v>
      </c>
      <c r="G81" s="3">
        <v>603815.64</v>
      </c>
      <c r="H81" s="3">
        <v>736329.14</v>
      </c>
      <c r="I81" s="3">
        <v>962456.7</v>
      </c>
      <c r="J81" s="3">
        <v>790402.6</v>
      </c>
      <c r="K81" s="3">
        <v>961404.47</v>
      </c>
      <c r="L81" s="3">
        <v>763191.4600000002</v>
      </c>
      <c r="M81" s="3">
        <v>765539.98</v>
      </c>
      <c r="N81" s="3">
        <v>742949.37</v>
      </c>
      <c r="O81" s="3">
        <v>1068793.95</v>
      </c>
      <c r="P81" s="3">
        <v>-360902.56999999995</v>
      </c>
      <c r="Q81" s="3">
        <v>636587.45999999985</v>
      </c>
      <c r="R81" s="3">
        <v>561442.19000000041</v>
      </c>
      <c r="S81" s="3">
        <v>1134900.26</v>
      </c>
      <c r="T81" s="3">
        <f t="shared" si="3"/>
        <v>777643.30333333334</v>
      </c>
      <c r="U81" s="3">
        <f t="shared" si="4"/>
        <v>357256.95666666667</v>
      </c>
      <c r="V81" s="12">
        <f t="shared" si="5"/>
        <v>0.4594098028431553</v>
      </c>
      <c r="W81" t="s">
        <v>168</v>
      </c>
      <c r="X81" s="4" t="s">
        <v>174</v>
      </c>
    </row>
    <row r="82" spans="1:24" outlineLevel="2" x14ac:dyDescent="0.25">
      <c r="A82" t="s">
        <v>151</v>
      </c>
      <c r="B82" t="s">
        <v>152</v>
      </c>
      <c r="C82" t="s">
        <v>67</v>
      </c>
      <c r="D82" t="s">
        <v>68</v>
      </c>
      <c r="E82" s="3">
        <v>36532.080000000002</v>
      </c>
      <c r="F82" s="3">
        <v>54669.209999999992</v>
      </c>
      <c r="G82" s="3">
        <v>50451.48</v>
      </c>
      <c r="H82" s="3">
        <v>-38716.689999999995</v>
      </c>
      <c r="I82" s="3">
        <v>5828.0700000000024</v>
      </c>
      <c r="J82" s="3">
        <v>7013.4</v>
      </c>
      <c r="K82" s="3">
        <v>28436.99</v>
      </c>
      <c r="L82" s="3">
        <v>6293.65</v>
      </c>
      <c r="M82" s="3">
        <v>6635.3399999999974</v>
      </c>
      <c r="N82" s="3">
        <v>0</v>
      </c>
      <c r="O82" s="3">
        <v>-6460.5599999999995</v>
      </c>
      <c r="P82" s="3">
        <v>-33004.080000000002</v>
      </c>
      <c r="Q82" s="3">
        <v>-3.637978807091713E-12</v>
      </c>
      <c r="T82" s="3">
        <f t="shared" si="3"/>
        <v>-3.637978807091713E-12</v>
      </c>
      <c r="U82" s="3">
        <f t="shared" si="4"/>
        <v>3.637978807091713E-12</v>
      </c>
      <c r="V82" s="12">
        <f t="shared" si="5"/>
        <v>-1</v>
      </c>
    </row>
    <row r="83" spans="1:24" outlineLevel="2" x14ac:dyDescent="0.25">
      <c r="A83" t="s">
        <v>151</v>
      </c>
      <c r="B83" t="s">
        <v>152</v>
      </c>
      <c r="C83" t="s">
        <v>69</v>
      </c>
      <c r="D83" t="s">
        <v>70</v>
      </c>
      <c r="E83" s="3">
        <v>90519.9</v>
      </c>
      <c r="F83" s="3">
        <v>-25981.8</v>
      </c>
      <c r="G83" s="3">
        <v>2073.5999999999995</v>
      </c>
      <c r="H83" s="3">
        <v>428.22000000000116</v>
      </c>
      <c r="I83" s="3">
        <v>2073.6</v>
      </c>
      <c r="J83" s="3">
        <v>-2910.8799999999974</v>
      </c>
      <c r="K83" s="3">
        <v>22679.19</v>
      </c>
      <c r="L83" s="3">
        <v>8607.35</v>
      </c>
      <c r="M83" s="3">
        <v>35873.599999999999</v>
      </c>
      <c r="N83" s="3">
        <v>36711.1</v>
      </c>
      <c r="O83" s="3">
        <v>-6098.5000000000018</v>
      </c>
      <c r="P83" s="3">
        <v>12983.2</v>
      </c>
      <c r="Q83" s="3">
        <v>0</v>
      </c>
      <c r="R83" s="3">
        <v>4984.4700000000012</v>
      </c>
      <c r="S83" s="3">
        <v>-4984.47</v>
      </c>
      <c r="T83" s="3">
        <f t="shared" si="3"/>
        <v>0</v>
      </c>
      <c r="U83" s="3">
        <f t="shared" si="4"/>
        <v>-4984.47</v>
      </c>
      <c r="V83" s="12" t="e">
        <f t="shared" si="5"/>
        <v>#DIV/0!</v>
      </c>
    </row>
    <row r="84" spans="1:24" outlineLevel="2" x14ac:dyDescent="0.25">
      <c r="A84" t="s">
        <v>151</v>
      </c>
      <c r="B84" t="s">
        <v>152</v>
      </c>
      <c r="C84" t="s">
        <v>71</v>
      </c>
      <c r="D84" t="s">
        <v>72</v>
      </c>
      <c r="E84" s="3">
        <v>0</v>
      </c>
      <c r="F84" s="3">
        <v>0</v>
      </c>
      <c r="G84" s="3">
        <v>0</v>
      </c>
      <c r="H84" s="3">
        <v>-9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T84" s="3">
        <f t="shared" si="3"/>
        <v>0</v>
      </c>
      <c r="U84" s="3">
        <f t="shared" si="4"/>
        <v>0</v>
      </c>
      <c r="V84" s="12" t="e">
        <f t="shared" si="5"/>
        <v>#DIV/0!</v>
      </c>
    </row>
    <row r="85" spans="1:24" outlineLevel="2" x14ac:dyDescent="0.25">
      <c r="A85" t="s">
        <v>151</v>
      </c>
      <c r="B85" t="s">
        <v>152</v>
      </c>
      <c r="C85" t="s">
        <v>73</v>
      </c>
      <c r="D85" t="s">
        <v>74</v>
      </c>
      <c r="E85" s="3">
        <v>40341.120000000003</v>
      </c>
      <c r="F85" s="3">
        <v>61665.840000000004</v>
      </c>
      <c r="G85" s="3">
        <v>66325.7</v>
      </c>
      <c r="H85" s="3">
        <v>-62125.869999999995</v>
      </c>
      <c r="I85" s="3">
        <v>28330.019999999997</v>
      </c>
      <c r="J85" s="3">
        <v>26421.599999999999</v>
      </c>
      <c r="K85" s="3">
        <v>50877.94</v>
      </c>
      <c r="L85" s="3">
        <v>25920</v>
      </c>
      <c r="M85" s="3">
        <v>21224</v>
      </c>
      <c r="N85" s="3">
        <v>6259.5</v>
      </c>
      <c r="O85" s="3">
        <v>-4520.7200000000012</v>
      </c>
      <c r="P85" s="3">
        <v>-6940.4399999999987</v>
      </c>
      <c r="Q85" s="3">
        <v>29025</v>
      </c>
      <c r="R85" s="3">
        <v>6480</v>
      </c>
      <c r="S85" s="3">
        <v>8775</v>
      </c>
      <c r="T85" s="3">
        <f t="shared" si="3"/>
        <v>14760</v>
      </c>
      <c r="U85" s="3">
        <f t="shared" si="4"/>
        <v>-5985</v>
      </c>
      <c r="V85" s="12">
        <f t="shared" si="5"/>
        <v>-0.40548780487804881</v>
      </c>
    </row>
    <row r="86" spans="1:24" outlineLevel="2" x14ac:dyDescent="0.25">
      <c r="A86" t="s">
        <v>151</v>
      </c>
      <c r="B86" t="s">
        <v>152</v>
      </c>
      <c r="C86" t="s">
        <v>115</v>
      </c>
      <c r="D86" t="s">
        <v>116</v>
      </c>
      <c r="E86" s="3">
        <v>6660</v>
      </c>
      <c r="F86" s="3">
        <v>4320</v>
      </c>
      <c r="G86" s="3">
        <v>4050</v>
      </c>
      <c r="H86" s="3">
        <v>1260</v>
      </c>
      <c r="I86" s="3">
        <v>2610</v>
      </c>
      <c r="J86" s="3">
        <v>2430</v>
      </c>
      <c r="K86" s="3">
        <v>2385</v>
      </c>
      <c r="L86" s="3">
        <v>3420</v>
      </c>
      <c r="M86" s="3">
        <v>2250</v>
      </c>
      <c r="N86" s="3">
        <v>2250</v>
      </c>
      <c r="O86" s="3">
        <v>2250</v>
      </c>
      <c r="P86" s="3">
        <v>2160</v>
      </c>
      <c r="Q86" s="3">
        <v>1170</v>
      </c>
      <c r="T86" s="3">
        <f t="shared" si="3"/>
        <v>1170</v>
      </c>
      <c r="U86" s="3">
        <f t="shared" si="4"/>
        <v>-1170</v>
      </c>
      <c r="V86" s="12">
        <f t="shared" si="5"/>
        <v>-1</v>
      </c>
    </row>
    <row r="87" spans="1:24" ht="45" outlineLevel="2" x14ac:dyDescent="0.25">
      <c r="A87" t="s">
        <v>151</v>
      </c>
      <c r="B87" t="s">
        <v>152</v>
      </c>
      <c r="C87" t="s">
        <v>145</v>
      </c>
      <c r="D87" t="s">
        <v>146</v>
      </c>
      <c r="E87" s="3">
        <v>0</v>
      </c>
      <c r="F87" s="3">
        <v>-1050000</v>
      </c>
      <c r="G87" s="3">
        <v>0</v>
      </c>
      <c r="H87" s="3">
        <v>-350000</v>
      </c>
      <c r="I87" s="3">
        <v>-350000</v>
      </c>
      <c r="J87" s="3">
        <v>-350000</v>
      </c>
      <c r="K87" s="3">
        <v>-1083333.33</v>
      </c>
      <c r="L87" s="3">
        <v>-1083333.33</v>
      </c>
      <c r="M87" s="3">
        <v>-1083333.33</v>
      </c>
      <c r="N87" s="3">
        <v>-1083333.33</v>
      </c>
      <c r="O87" s="3">
        <v>-1083333.33</v>
      </c>
      <c r="P87" s="3">
        <v>-1083333.33</v>
      </c>
      <c r="Q87" s="3">
        <v>-416666.63</v>
      </c>
      <c r="R87" s="3">
        <v>-416666.63</v>
      </c>
      <c r="S87" s="3">
        <v>-416666.63</v>
      </c>
      <c r="T87" s="3">
        <f t="shared" si="3"/>
        <v>-416666.63000000006</v>
      </c>
      <c r="U87" s="3">
        <f t="shared" si="4"/>
        <v>0</v>
      </c>
      <c r="V87" s="12">
        <f t="shared" si="5"/>
        <v>-1.3969839848578083E-16</v>
      </c>
      <c r="W87" t="s">
        <v>167</v>
      </c>
      <c r="X87" s="4" t="s">
        <v>172</v>
      </c>
    </row>
    <row r="88" spans="1:24" outlineLevel="2" x14ac:dyDescent="0.25">
      <c r="A88" t="s">
        <v>151</v>
      </c>
      <c r="B88" t="s">
        <v>152</v>
      </c>
      <c r="C88" t="s">
        <v>80</v>
      </c>
      <c r="D88" t="s">
        <v>75</v>
      </c>
      <c r="E88" s="3">
        <v>1250.69</v>
      </c>
      <c r="F88" s="3">
        <v>0</v>
      </c>
      <c r="G88" s="3">
        <v>0</v>
      </c>
      <c r="H88" s="3">
        <v>0</v>
      </c>
      <c r="I88" s="3">
        <v>56377.83</v>
      </c>
      <c r="J88" s="3">
        <v>0</v>
      </c>
      <c r="K88" s="3">
        <v>-56242</v>
      </c>
      <c r="L88" s="3">
        <v>0</v>
      </c>
      <c r="M88" s="3">
        <v>233.45</v>
      </c>
      <c r="N88" s="3">
        <v>351.71</v>
      </c>
      <c r="O88" s="3">
        <v>0</v>
      </c>
      <c r="P88" s="3">
        <v>529.30999999999995</v>
      </c>
      <c r="Q88" s="3">
        <v>0</v>
      </c>
      <c r="S88" s="3">
        <v>44</v>
      </c>
      <c r="T88" s="3">
        <f t="shared" si="3"/>
        <v>22</v>
      </c>
      <c r="U88" s="3">
        <f t="shared" si="4"/>
        <v>22</v>
      </c>
      <c r="V88" s="12">
        <f t="shared" si="5"/>
        <v>1</v>
      </c>
    </row>
    <row r="89" spans="1:24" ht="30" outlineLevel="2" x14ac:dyDescent="0.25">
      <c r="A89" t="s">
        <v>151</v>
      </c>
      <c r="B89" t="s">
        <v>152</v>
      </c>
      <c r="C89" t="s">
        <v>133</v>
      </c>
      <c r="D89" t="s">
        <v>134</v>
      </c>
      <c r="E89" s="3">
        <v>-0.4</v>
      </c>
      <c r="F89" s="3">
        <v>0</v>
      </c>
      <c r="G89" s="3">
        <v>0</v>
      </c>
      <c r="H89" s="3">
        <v>156173.31999999998</v>
      </c>
      <c r="I89" s="3">
        <v>198372.13999999998</v>
      </c>
      <c r="J89" s="3">
        <v>3968.6600000000035</v>
      </c>
      <c r="K89" s="3">
        <v>-1319.1300000000047</v>
      </c>
      <c r="L89" s="3">
        <v>158822</v>
      </c>
      <c r="M89" s="3">
        <v>183254.54</v>
      </c>
      <c r="N89" s="3">
        <v>42266.9</v>
      </c>
      <c r="O89" s="3">
        <v>99942.48</v>
      </c>
      <c r="P89" s="3">
        <v>136236.72</v>
      </c>
      <c r="Q89" s="3">
        <v>-485</v>
      </c>
      <c r="R89" s="3">
        <v>11207.2</v>
      </c>
      <c r="S89" s="3">
        <v>-62500</v>
      </c>
      <c r="T89" s="3">
        <f t="shared" si="3"/>
        <v>-17259.266666666666</v>
      </c>
      <c r="U89" s="3">
        <f t="shared" si="4"/>
        <v>-45240.733333333337</v>
      </c>
      <c r="V89" s="12">
        <f t="shared" si="5"/>
        <v>2.6212430810115537</v>
      </c>
      <c r="W89" t="s">
        <v>167</v>
      </c>
      <c r="X89" s="4" t="s">
        <v>173</v>
      </c>
    </row>
    <row r="90" spans="1:24" outlineLevel="2" x14ac:dyDescent="0.25">
      <c r="A90" t="s">
        <v>151</v>
      </c>
      <c r="B90" t="s">
        <v>152</v>
      </c>
      <c r="C90" t="s">
        <v>147</v>
      </c>
      <c r="D90" t="s">
        <v>148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6831.57</v>
      </c>
      <c r="T90" s="3">
        <f t="shared" si="3"/>
        <v>3415.7849999999999</v>
      </c>
      <c r="U90" s="3">
        <f t="shared" si="4"/>
        <v>-3415.7849999999999</v>
      </c>
      <c r="V90" s="12">
        <f t="shared" si="5"/>
        <v>-1</v>
      </c>
    </row>
    <row r="91" spans="1:24" outlineLevel="2" x14ac:dyDescent="0.25">
      <c r="A91" t="s">
        <v>151</v>
      </c>
      <c r="B91" t="s">
        <v>152</v>
      </c>
      <c r="C91" t="s">
        <v>117</v>
      </c>
      <c r="D91" t="s">
        <v>118</v>
      </c>
      <c r="E91" s="3">
        <v>0</v>
      </c>
      <c r="F91" s="3">
        <v>85384.52</v>
      </c>
      <c r="G91" s="3">
        <v>21346.13</v>
      </c>
      <c r="H91" s="3">
        <v>51158.080000000002</v>
      </c>
      <c r="I91" s="3">
        <v>51158.080000000002</v>
      </c>
      <c r="J91" s="3">
        <v>51158.080000000002</v>
      </c>
      <c r="K91" s="3">
        <v>51158.080000000002</v>
      </c>
      <c r="L91" s="3">
        <v>51158.080000000002</v>
      </c>
      <c r="M91" s="3">
        <v>51158.080000000002</v>
      </c>
      <c r="N91" s="3">
        <v>0</v>
      </c>
      <c r="O91" s="3">
        <v>0</v>
      </c>
      <c r="P91" s="3">
        <v>0</v>
      </c>
      <c r="Q91" s="3">
        <v>2057.42</v>
      </c>
      <c r="S91" s="3">
        <v>4114.84</v>
      </c>
      <c r="T91" s="3">
        <f t="shared" si="3"/>
        <v>3086.13</v>
      </c>
      <c r="U91" s="3">
        <f t="shared" si="4"/>
        <v>1028.71</v>
      </c>
      <c r="V91" s="12">
        <f t="shared" si="5"/>
        <v>0.33333333333333331</v>
      </c>
    </row>
    <row r="92" spans="1:24" s="6" customFormat="1" hidden="1" outlineLevel="1" x14ac:dyDescent="0.25">
      <c r="A92" s="5" t="s">
        <v>162</v>
      </c>
      <c r="E92" s="7">
        <f>SUBTOTAL(9,E45:E91)</f>
        <v>2297916.46</v>
      </c>
      <c r="F92" s="7">
        <f>SUBTOTAL(9,F45:F91)</f>
        <v>1432914.8200000008</v>
      </c>
      <c r="G92" s="7">
        <f>SUBTOTAL(9,G45:G91)</f>
        <v>2268662.8000000003</v>
      </c>
      <c r="H92" s="7">
        <f>SUBTOTAL(9,H45:H91)</f>
        <v>1735278.8100000003</v>
      </c>
      <c r="I92" s="7">
        <f>SUBTOTAL(9,I45:I91)</f>
        <v>2414631.92</v>
      </c>
      <c r="J92" s="7">
        <f>SUBTOTAL(9,J45:J91)</f>
        <v>1991736.3</v>
      </c>
      <c r="K92" s="7">
        <f>SUBTOTAL(9,K45:K91)</f>
        <v>1261784.6800000002</v>
      </c>
      <c r="L92" s="7">
        <f>SUBTOTAL(9,L45:L91)</f>
        <v>1188673.55</v>
      </c>
      <c r="M92" s="7">
        <f>SUBTOTAL(9,M45:M91)</f>
        <v>1342785.24</v>
      </c>
      <c r="N92" s="7">
        <f>SUBTOTAL(9,N45:N91)</f>
        <v>1054794.9100000001</v>
      </c>
      <c r="O92" s="7">
        <f>SUBTOTAL(9,O45:O91)</f>
        <v>1139369.3199999998</v>
      </c>
      <c r="P92" s="7">
        <f>SUBTOTAL(9,P45:P91)</f>
        <v>149800.70000000062</v>
      </c>
      <c r="Q92" s="7">
        <f>SUBTOTAL(9,Q45:Q91)</f>
        <v>1541289.1599999997</v>
      </c>
      <c r="R92" s="7">
        <f>SUBTOTAL(9,R45:R91)</f>
        <v>1585715.4800000004</v>
      </c>
      <c r="S92" s="7">
        <f>SUBTOTAL(9,S45:S91)</f>
        <v>1850126.0400000003</v>
      </c>
      <c r="T92" s="7"/>
      <c r="U92" s="7"/>
      <c r="V92" s="7"/>
    </row>
    <row r="93" spans="1:24" hidden="1" outlineLevel="2" x14ac:dyDescent="0.25">
      <c r="A93" t="s">
        <v>159</v>
      </c>
      <c r="B93" t="s">
        <v>160</v>
      </c>
      <c r="C93" t="s">
        <v>21</v>
      </c>
      <c r="D93" t="s">
        <v>22</v>
      </c>
      <c r="E93" s="3">
        <v>0</v>
      </c>
      <c r="F93" s="3">
        <v>483.21</v>
      </c>
      <c r="G93" s="3">
        <v>12.98</v>
      </c>
      <c r="H93" s="3">
        <v>106.86</v>
      </c>
      <c r="I93" s="3">
        <v>0</v>
      </c>
      <c r="J93" s="3">
        <v>127.01</v>
      </c>
      <c r="K93" s="3">
        <v>76.150000000000006</v>
      </c>
      <c r="L93" s="3">
        <v>192.68</v>
      </c>
      <c r="M93" s="3">
        <v>184.53</v>
      </c>
      <c r="N93" s="3">
        <v>0</v>
      </c>
      <c r="O93" s="3">
        <v>263.45</v>
      </c>
      <c r="P93" s="3">
        <v>64.739999999999995</v>
      </c>
      <c r="Q93" s="3">
        <v>0</v>
      </c>
      <c r="T93" s="3">
        <f t="shared" ref="T93:T127" si="6">AVERAGE(Q93:S93)</f>
        <v>0</v>
      </c>
      <c r="U93" s="3">
        <f t="shared" ref="U93:U127" si="7">S93-T93</f>
        <v>0</v>
      </c>
      <c r="V93" s="12" t="e">
        <f t="shared" ref="V93:V127" si="8">(S93-T93)/T93</f>
        <v>#DIV/0!</v>
      </c>
    </row>
    <row r="94" spans="1:24" hidden="1" outlineLevel="2" x14ac:dyDescent="0.25">
      <c r="A94" t="s">
        <v>159</v>
      </c>
      <c r="B94" t="s">
        <v>160</v>
      </c>
      <c r="C94" t="s">
        <v>23</v>
      </c>
      <c r="D94" t="s">
        <v>24</v>
      </c>
      <c r="E94" s="3">
        <v>0</v>
      </c>
      <c r="F94" s="3">
        <v>1607.36</v>
      </c>
      <c r="G94" s="3">
        <v>552.20000000000005</v>
      </c>
      <c r="H94" s="3">
        <v>1204.5</v>
      </c>
      <c r="I94" s="3">
        <v>116.57</v>
      </c>
      <c r="J94" s="3">
        <v>849.34</v>
      </c>
      <c r="K94" s="3">
        <v>825.79</v>
      </c>
      <c r="L94" s="3">
        <v>119.85</v>
      </c>
      <c r="M94" s="3">
        <v>356.03</v>
      </c>
      <c r="N94" s="3">
        <v>0</v>
      </c>
      <c r="O94" s="3">
        <v>0</v>
      </c>
      <c r="P94" s="3">
        <v>0</v>
      </c>
      <c r="Q94" s="3">
        <v>0</v>
      </c>
      <c r="T94" s="3">
        <f t="shared" si="6"/>
        <v>0</v>
      </c>
      <c r="U94" s="3">
        <f t="shared" si="7"/>
        <v>0</v>
      </c>
      <c r="V94" s="12" t="e">
        <f t="shared" si="8"/>
        <v>#DIV/0!</v>
      </c>
    </row>
    <row r="95" spans="1:24" hidden="1" outlineLevel="2" x14ac:dyDescent="0.25">
      <c r="A95" t="s">
        <v>159</v>
      </c>
      <c r="B95" t="s">
        <v>160</v>
      </c>
      <c r="C95" t="s">
        <v>25</v>
      </c>
      <c r="D95" t="s">
        <v>26</v>
      </c>
      <c r="E95" s="3">
        <v>1010.79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1010.17</v>
      </c>
      <c r="N95" s="3">
        <v>0</v>
      </c>
      <c r="O95" s="3">
        <v>846.38</v>
      </c>
      <c r="P95" s="3">
        <v>1102.17</v>
      </c>
      <c r="Q95" s="3">
        <v>0</v>
      </c>
      <c r="T95" s="3">
        <f t="shared" si="6"/>
        <v>0</v>
      </c>
      <c r="U95" s="3">
        <f t="shared" si="7"/>
        <v>0</v>
      </c>
      <c r="V95" s="12" t="e">
        <f t="shared" si="8"/>
        <v>#DIV/0!</v>
      </c>
    </row>
    <row r="96" spans="1:24" hidden="1" outlineLevel="2" x14ac:dyDescent="0.25">
      <c r="A96" t="s">
        <v>159</v>
      </c>
      <c r="B96" t="s">
        <v>160</v>
      </c>
      <c r="C96" t="s">
        <v>27</v>
      </c>
      <c r="D96" t="s">
        <v>28</v>
      </c>
      <c r="E96" s="3">
        <v>1056.47</v>
      </c>
      <c r="F96" s="3">
        <v>608.26</v>
      </c>
      <c r="G96" s="3">
        <v>0</v>
      </c>
      <c r="H96" s="3">
        <v>0</v>
      </c>
      <c r="I96" s="3">
        <v>0</v>
      </c>
      <c r="J96" s="3">
        <v>0</v>
      </c>
      <c r="K96" s="3">
        <v>607.09999999999991</v>
      </c>
      <c r="L96" s="3">
        <v>1717.38</v>
      </c>
      <c r="M96" s="3">
        <v>146.02999999999997</v>
      </c>
      <c r="N96" s="3">
        <v>560.58000000000004</v>
      </c>
      <c r="O96" s="3">
        <v>-1004.8</v>
      </c>
      <c r="P96" s="3">
        <v>355.82</v>
      </c>
      <c r="Q96" s="3">
        <v>103.18</v>
      </c>
      <c r="R96" s="3">
        <v>207.96</v>
      </c>
      <c r="S96" s="3">
        <v>257.06</v>
      </c>
      <c r="T96" s="3">
        <f t="shared" si="6"/>
        <v>189.4</v>
      </c>
      <c r="U96" s="3">
        <f t="shared" si="7"/>
        <v>67.66</v>
      </c>
      <c r="V96" s="12">
        <f t="shared" si="8"/>
        <v>0.35723336853220694</v>
      </c>
    </row>
    <row r="97" spans="1:23" hidden="1" outlineLevel="2" x14ac:dyDescent="0.25">
      <c r="A97" t="s">
        <v>159</v>
      </c>
      <c r="B97" t="s">
        <v>160</v>
      </c>
      <c r="C97" t="s">
        <v>81</v>
      </c>
      <c r="D97" t="s">
        <v>82</v>
      </c>
      <c r="E97" s="3">
        <v>247270.87</v>
      </c>
      <c r="F97" s="3">
        <v>340574.52</v>
      </c>
      <c r="G97" s="3">
        <v>340488.63</v>
      </c>
      <c r="H97" s="3">
        <v>311376.44</v>
      </c>
      <c r="I97" s="3">
        <v>325241.31999999995</v>
      </c>
      <c r="J97" s="3">
        <v>314749.66000000003</v>
      </c>
      <c r="K97" s="3">
        <v>336720.16000000003</v>
      </c>
      <c r="L97" s="3">
        <v>335555.14999999997</v>
      </c>
      <c r="M97" s="3">
        <v>324730.63</v>
      </c>
      <c r="N97" s="3">
        <v>320473.38999999996</v>
      </c>
      <c r="O97" s="3">
        <v>303491.53999999998</v>
      </c>
      <c r="P97" s="3">
        <v>261590.79</v>
      </c>
      <c r="Q97" s="3">
        <v>20432.589999999997</v>
      </c>
      <c r="R97" s="3">
        <v>18455.240000000002</v>
      </c>
      <c r="S97" s="3">
        <v>20432.59</v>
      </c>
      <c r="T97" s="3">
        <f t="shared" si="6"/>
        <v>19773.473333333332</v>
      </c>
      <c r="U97" s="3">
        <f t="shared" si="7"/>
        <v>659.11666666666861</v>
      </c>
      <c r="V97" s="12">
        <f t="shared" si="8"/>
        <v>3.333337828693738E-2</v>
      </c>
    </row>
    <row r="98" spans="1:23" hidden="1" outlineLevel="2" x14ac:dyDescent="0.25">
      <c r="A98" t="s">
        <v>159</v>
      </c>
      <c r="B98" t="s">
        <v>160</v>
      </c>
      <c r="C98" t="s">
        <v>83</v>
      </c>
      <c r="D98" t="s">
        <v>84</v>
      </c>
      <c r="E98" s="3">
        <v>7994.62</v>
      </c>
      <c r="F98" s="3">
        <v>27850.620000000003</v>
      </c>
      <c r="G98" s="3">
        <v>17638.879999999997</v>
      </c>
      <c r="H98" s="3">
        <v>17044.36</v>
      </c>
      <c r="I98" s="3">
        <v>16886.11</v>
      </c>
      <c r="J98" s="3">
        <v>17199.59</v>
      </c>
      <c r="K98" s="3">
        <v>18223.02</v>
      </c>
      <c r="L98" s="3">
        <v>17444.509999999998</v>
      </c>
      <c r="M98" s="3">
        <v>17205.53</v>
      </c>
      <c r="N98" s="3">
        <v>17753.330000000002</v>
      </c>
      <c r="O98" s="3">
        <v>17007.310000000001</v>
      </c>
      <c r="P98" s="3">
        <v>23254.54</v>
      </c>
      <c r="Q98" s="3">
        <v>6218.18</v>
      </c>
      <c r="R98" s="3">
        <v>5612.8</v>
      </c>
      <c r="S98" s="3">
        <v>6214.2</v>
      </c>
      <c r="T98" s="3">
        <f t="shared" si="6"/>
        <v>6015.06</v>
      </c>
      <c r="U98" s="3">
        <f t="shared" si="7"/>
        <v>199.13999999999942</v>
      </c>
      <c r="V98" s="12">
        <f t="shared" si="8"/>
        <v>3.3106901676791152E-2</v>
      </c>
    </row>
    <row r="99" spans="1:23" hidden="1" outlineLevel="2" x14ac:dyDescent="0.25">
      <c r="A99" t="s">
        <v>159</v>
      </c>
      <c r="B99" t="s">
        <v>160</v>
      </c>
      <c r="C99" t="s">
        <v>29</v>
      </c>
      <c r="D99" t="s">
        <v>30</v>
      </c>
      <c r="E99" s="3">
        <v>443.27</v>
      </c>
      <c r="F99" s="3">
        <v>2760.43</v>
      </c>
      <c r="G99" s="3">
        <v>1895.89</v>
      </c>
      <c r="H99" s="3">
        <v>1234.77</v>
      </c>
      <c r="I99" s="3">
        <v>3175.67</v>
      </c>
      <c r="J99" s="3">
        <v>1077.9000000000001</v>
      </c>
      <c r="K99" s="3">
        <v>874.84</v>
      </c>
      <c r="L99" s="3">
        <v>2097.89</v>
      </c>
      <c r="M99" s="3">
        <v>1835.21</v>
      </c>
      <c r="N99" s="3">
        <v>1819.91</v>
      </c>
      <c r="O99" s="3">
        <v>1960.64</v>
      </c>
      <c r="P99" s="3">
        <v>1549.4599999999998</v>
      </c>
      <c r="Q99" s="3">
        <v>0</v>
      </c>
      <c r="R99" s="3">
        <v>251</v>
      </c>
      <c r="T99" s="3">
        <f t="shared" si="6"/>
        <v>125.5</v>
      </c>
      <c r="U99" s="3">
        <f t="shared" si="7"/>
        <v>-125.5</v>
      </c>
      <c r="V99" s="12">
        <f t="shared" si="8"/>
        <v>-1</v>
      </c>
    </row>
    <row r="100" spans="1:23" hidden="1" outlineLevel="2" x14ac:dyDescent="0.25">
      <c r="A100" t="s">
        <v>159</v>
      </c>
      <c r="B100" t="s">
        <v>160</v>
      </c>
      <c r="C100" t="s">
        <v>85</v>
      </c>
      <c r="D100" t="s">
        <v>86</v>
      </c>
      <c r="E100" s="3">
        <v>-30567.559999999998</v>
      </c>
      <c r="F100" s="3">
        <v>-104661.34</v>
      </c>
      <c r="G100" s="3">
        <v>-68432</v>
      </c>
      <c r="H100" s="3">
        <v>-32383</v>
      </c>
      <c r="I100" s="3">
        <v>-76375</v>
      </c>
      <c r="J100" s="3">
        <v>-67821</v>
      </c>
      <c r="K100" s="3">
        <v>-39198</v>
      </c>
      <c r="L100" s="3">
        <v>-18612</v>
      </c>
      <c r="M100" s="3">
        <v>-48222</v>
      </c>
      <c r="N100" s="3">
        <v>846</v>
      </c>
      <c r="O100" s="3">
        <v>-1645</v>
      </c>
      <c r="P100" s="3">
        <v>-3008</v>
      </c>
      <c r="Q100" s="3">
        <v>-3948</v>
      </c>
      <c r="R100" s="3">
        <v>-376</v>
      </c>
      <c r="S100" s="3">
        <v>-6016</v>
      </c>
      <c r="T100" s="3">
        <f t="shared" si="6"/>
        <v>-3446.6666666666665</v>
      </c>
      <c r="U100" s="3">
        <f t="shared" si="7"/>
        <v>-2569.3333333333335</v>
      </c>
      <c r="V100" s="12">
        <f t="shared" si="8"/>
        <v>0.74545454545454548</v>
      </c>
    </row>
    <row r="101" spans="1:23" hidden="1" outlineLevel="2" x14ac:dyDescent="0.25">
      <c r="A101" t="s">
        <v>159</v>
      </c>
      <c r="B101" t="s">
        <v>160</v>
      </c>
      <c r="C101" t="s">
        <v>89</v>
      </c>
      <c r="D101" t="s">
        <v>90</v>
      </c>
      <c r="E101" s="3">
        <v>-187144.74</v>
      </c>
      <c r="F101" s="3">
        <v>554933.59</v>
      </c>
      <c r="G101" s="3">
        <v>-415912.27</v>
      </c>
      <c r="H101" s="3">
        <v>644757.88</v>
      </c>
      <c r="I101" s="3">
        <v>52285.440000000002</v>
      </c>
      <c r="J101" s="3">
        <v>176923.68999999997</v>
      </c>
      <c r="K101" s="3">
        <v>-85251.390000000014</v>
      </c>
      <c r="L101" s="3">
        <v>191087.48</v>
      </c>
      <c r="M101" s="3">
        <v>-375332.75</v>
      </c>
      <c r="N101" s="3">
        <v>120662.2</v>
      </c>
      <c r="O101" s="3">
        <v>-42837.079999999987</v>
      </c>
      <c r="P101" s="3">
        <v>181834.2</v>
      </c>
      <c r="Q101" s="3">
        <v>214217.99</v>
      </c>
      <c r="R101" s="3">
        <v>-283186.45</v>
      </c>
      <c r="S101" s="3">
        <v>378232.14</v>
      </c>
      <c r="T101" s="3">
        <f t="shared" si="6"/>
        <v>103087.89333333333</v>
      </c>
      <c r="U101" s="3">
        <f t="shared" si="7"/>
        <v>275144.2466666667</v>
      </c>
      <c r="V101" s="12">
        <f t="shared" si="8"/>
        <v>2.6690257970156734</v>
      </c>
      <c r="W101" t="s">
        <v>168</v>
      </c>
    </row>
    <row r="102" spans="1:23" hidden="1" outlineLevel="2" x14ac:dyDescent="0.25">
      <c r="A102" t="s">
        <v>159</v>
      </c>
      <c r="B102" t="s">
        <v>160</v>
      </c>
      <c r="C102" t="s">
        <v>91</v>
      </c>
      <c r="D102" t="s">
        <v>92</v>
      </c>
      <c r="E102" s="3">
        <v>22825.17</v>
      </c>
      <c r="F102" s="3">
        <v>33003.82</v>
      </c>
      <c r="G102" s="3">
        <v>62709.19</v>
      </c>
      <c r="H102" s="3">
        <v>27764.339999999997</v>
      </c>
      <c r="I102" s="3">
        <v>29818.589999999997</v>
      </c>
      <c r="J102" s="3">
        <v>29782.32</v>
      </c>
      <c r="K102" s="3">
        <v>32626.899999999998</v>
      </c>
      <c r="L102" s="3">
        <v>32877.269999999997</v>
      </c>
      <c r="M102" s="3">
        <v>44742.83</v>
      </c>
      <c r="N102" s="3">
        <v>30585.5</v>
      </c>
      <c r="O102" s="3">
        <v>30181.67</v>
      </c>
      <c r="P102" s="3">
        <v>24354.120000000003</v>
      </c>
      <c r="Q102" s="3">
        <v>2665.0699999999997</v>
      </c>
      <c r="R102" s="3">
        <v>2431.9</v>
      </c>
      <c r="S102" s="3">
        <v>3738.13</v>
      </c>
      <c r="T102" s="3">
        <f t="shared" si="6"/>
        <v>2945.0333333333328</v>
      </c>
      <c r="U102" s="3">
        <f t="shared" si="7"/>
        <v>793.09666666666726</v>
      </c>
      <c r="V102" s="12">
        <f t="shared" si="8"/>
        <v>0.26929972496066851</v>
      </c>
    </row>
    <row r="103" spans="1:23" hidden="1" outlineLevel="2" x14ac:dyDescent="0.25">
      <c r="A103" t="s">
        <v>159</v>
      </c>
      <c r="B103" t="s">
        <v>160</v>
      </c>
      <c r="C103" t="s">
        <v>157</v>
      </c>
      <c r="D103" t="s">
        <v>158</v>
      </c>
      <c r="E103" s="3">
        <v>550.54</v>
      </c>
      <c r="F103" s="3">
        <v>3918.92</v>
      </c>
      <c r="G103" s="3">
        <v>3918.92</v>
      </c>
      <c r="H103" s="3">
        <v>3918.92</v>
      </c>
      <c r="I103" s="3">
        <v>3918.92</v>
      </c>
      <c r="J103" s="3">
        <v>3918.92</v>
      </c>
      <c r="K103" s="3">
        <v>3918.92</v>
      </c>
      <c r="L103" s="3">
        <v>3918.92</v>
      </c>
      <c r="M103" s="3">
        <v>3918.92</v>
      </c>
      <c r="N103" s="3">
        <v>3918.92</v>
      </c>
      <c r="O103" s="3">
        <v>3918.92</v>
      </c>
      <c r="P103" s="3">
        <v>419195.13</v>
      </c>
      <c r="Q103" s="3">
        <v>70174.58</v>
      </c>
      <c r="R103" s="3">
        <v>70174.58</v>
      </c>
      <c r="S103" s="3">
        <v>70174.58</v>
      </c>
      <c r="T103" s="3">
        <f t="shared" si="6"/>
        <v>70174.58</v>
      </c>
      <c r="U103" s="3">
        <f t="shared" si="7"/>
        <v>0</v>
      </c>
      <c r="V103" s="12">
        <f t="shared" si="8"/>
        <v>0</v>
      </c>
    </row>
    <row r="104" spans="1:23" hidden="1" outlineLevel="2" x14ac:dyDescent="0.25">
      <c r="A104" t="s">
        <v>159</v>
      </c>
      <c r="B104" t="s">
        <v>160</v>
      </c>
      <c r="C104" t="s">
        <v>93</v>
      </c>
      <c r="D104" t="s">
        <v>94</v>
      </c>
      <c r="E104" s="3">
        <v>0</v>
      </c>
      <c r="F104" s="3">
        <v>0</v>
      </c>
      <c r="G104" s="3">
        <v>46400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T104" s="3">
        <f t="shared" si="6"/>
        <v>0</v>
      </c>
      <c r="U104" s="3">
        <f t="shared" si="7"/>
        <v>0</v>
      </c>
      <c r="V104" s="12" t="e">
        <f t="shared" si="8"/>
        <v>#DIV/0!</v>
      </c>
    </row>
    <row r="105" spans="1:23" hidden="1" outlineLevel="2" x14ac:dyDescent="0.25">
      <c r="A105" t="s">
        <v>159</v>
      </c>
      <c r="B105" t="s">
        <v>160</v>
      </c>
      <c r="C105" t="s">
        <v>137</v>
      </c>
      <c r="D105" t="s">
        <v>138</v>
      </c>
      <c r="E105" s="3">
        <v>-16080</v>
      </c>
      <c r="F105" s="3">
        <v>-16080.38</v>
      </c>
      <c r="G105" s="3">
        <v>-20122.7</v>
      </c>
      <c r="H105" s="3">
        <v>-16080.38</v>
      </c>
      <c r="I105" s="3">
        <v>-16080.38</v>
      </c>
      <c r="J105" s="3">
        <v>-16795.849999999999</v>
      </c>
      <c r="K105" s="3">
        <v>-16080.38</v>
      </c>
      <c r="L105" s="3">
        <v>-16080.38</v>
      </c>
      <c r="M105" s="3">
        <v>-16012.59</v>
      </c>
      <c r="N105" s="3">
        <v>-17390.580000000002</v>
      </c>
      <c r="O105" s="3">
        <v>-17390.580000000002</v>
      </c>
      <c r="P105" s="3">
        <v>-17206.8</v>
      </c>
      <c r="Q105" s="3">
        <v>-18767.66</v>
      </c>
      <c r="R105" s="3">
        <v>-18767.66</v>
      </c>
      <c r="S105" s="3">
        <v>-33461.42</v>
      </c>
      <c r="T105" s="3">
        <f t="shared" si="6"/>
        <v>-23665.579999999998</v>
      </c>
      <c r="U105" s="3">
        <f t="shared" si="7"/>
        <v>-9795.84</v>
      </c>
      <c r="V105" s="12">
        <f t="shared" si="8"/>
        <v>0.41392773809050953</v>
      </c>
      <c r="W105" t="s">
        <v>167</v>
      </c>
    </row>
    <row r="106" spans="1:23" hidden="1" outlineLevel="2" x14ac:dyDescent="0.25">
      <c r="A106" t="s">
        <v>159</v>
      </c>
      <c r="B106" t="s">
        <v>160</v>
      </c>
      <c r="C106" t="s">
        <v>97</v>
      </c>
      <c r="D106" t="s">
        <v>98</v>
      </c>
      <c r="E106" s="3">
        <v>18832.71</v>
      </c>
      <c r="F106" s="3">
        <v>27534.2</v>
      </c>
      <c r="G106" s="3">
        <v>51617.02</v>
      </c>
      <c r="H106" s="3">
        <v>25106</v>
      </c>
      <c r="I106" s="3">
        <v>25545.379999999997</v>
      </c>
      <c r="J106" s="3">
        <v>41445.39</v>
      </c>
      <c r="K106" s="3">
        <v>23975.919999999998</v>
      </c>
      <c r="L106" s="3">
        <v>23682.86</v>
      </c>
      <c r="M106" s="3">
        <v>22873.379999999997</v>
      </c>
      <c r="N106" s="3">
        <v>18722.3</v>
      </c>
      <c r="O106" s="3">
        <v>18500.04</v>
      </c>
      <c r="P106" s="3">
        <v>16132.34</v>
      </c>
      <c r="Q106" s="3">
        <v>1964.75</v>
      </c>
      <c r="R106" s="3">
        <v>1796.4</v>
      </c>
      <c r="S106" s="3">
        <v>5013.42</v>
      </c>
      <c r="T106" s="3">
        <f t="shared" si="6"/>
        <v>2924.8566666666666</v>
      </c>
      <c r="U106" s="3">
        <f t="shared" si="7"/>
        <v>2088.5633333333335</v>
      </c>
      <c r="V106" s="12">
        <f t="shared" si="8"/>
        <v>0.71407373808631092</v>
      </c>
    </row>
    <row r="107" spans="1:23" hidden="1" outlineLevel="2" x14ac:dyDescent="0.25">
      <c r="A107" t="s">
        <v>159</v>
      </c>
      <c r="B107" t="s">
        <v>160</v>
      </c>
      <c r="C107" t="s">
        <v>99</v>
      </c>
      <c r="D107" t="s">
        <v>100</v>
      </c>
      <c r="E107" s="3">
        <v>4447.55</v>
      </c>
      <c r="F107" s="3">
        <v>1948.42</v>
      </c>
      <c r="G107" s="3">
        <v>156.55000000000001</v>
      </c>
      <c r="H107" s="3">
        <v>42.99</v>
      </c>
      <c r="I107" s="3">
        <v>-16.740000000000002</v>
      </c>
      <c r="J107" s="3">
        <v>0</v>
      </c>
      <c r="K107" s="3">
        <v>0</v>
      </c>
      <c r="L107" s="3">
        <v>0</v>
      </c>
      <c r="M107" s="3">
        <v>0</v>
      </c>
      <c r="N107" s="3">
        <v>52.5</v>
      </c>
      <c r="O107" s="3">
        <v>0</v>
      </c>
      <c r="P107" s="3">
        <v>0</v>
      </c>
      <c r="Q107" s="3">
        <v>417.7</v>
      </c>
      <c r="T107" s="3">
        <f t="shared" si="6"/>
        <v>417.7</v>
      </c>
      <c r="U107" s="3">
        <f t="shared" si="7"/>
        <v>-417.7</v>
      </c>
      <c r="V107" s="12">
        <f t="shared" si="8"/>
        <v>-1</v>
      </c>
    </row>
    <row r="108" spans="1:23" hidden="1" outlineLevel="2" x14ac:dyDescent="0.25">
      <c r="A108" t="s">
        <v>159</v>
      </c>
      <c r="B108" t="s">
        <v>160</v>
      </c>
      <c r="C108" t="s">
        <v>33</v>
      </c>
      <c r="D108" t="s">
        <v>34</v>
      </c>
      <c r="E108" s="3">
        <v>887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T108" s="3">
        <f t="shared" si="6"/>
        <v>0</v>
      </c>
      <c r="U108" s="3">
        <f t="shared" si="7"/>
        <v>0</v>
      </c>
      <c r="V108" s="12" t="e">
        <f t="shared" si="8"/>
        <v>#DIV/0!</v>
      </c>
    </row>
    <row r="109" spans="1:23" hidden="1" outlineLevel="2" x14ac:dyDescent="0.25">
      <c r="A109" t="s">
        <v>159</v>
      </c>
      <c r="B109" t="s">
        <v>160</v>
      </c>
      <c r="C109" t="s">
        <v>101</v>
      </c>
      <c r="D109" t="s">
        <v>102</v>
      </c>
      <c r="E109" s="3">
        <v>1493.57</v>
      </c>
      <c r="F109" s="3">
        <v>364.3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T109" s="3">
        <f t="shared" si="6"/>
        <v>0</v>
      </c>
      <c r="U109" s="3">
        <f t="shared" si="7"/>
        <v>0</v>
      </c>
      <c r="V109" s="12" t="e">
        <f t="shared" si="8"/>
        <v>#DIV/0!</v>
      </c>
    </row>
    <row r="110" spans="1:23" hidden="1" outlineLevel="2" x14ac:dyDescent="0.25">
      <c r="A110" t="s">
        <v>159</v>
      </c>
      <c r="B110" t="s">
        <v>160</v>
      </c>
      <c r="C110" t="s">
        <v>155</v>
      </c>
      <c r="D110" t="s">
        <v>156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T110" s="3">
        <f t="shared" si="6"/>
        <v>0</v>
      </c>
      <c r="U110" s="3">
        <f t="shared" si="7"/>
        <v>0</v>
      </c>
      <c r="V110" s="12" t="e">
        <f t="shared" si="8"/>
        <v>#DIV/0!</v>
      </c>
    </row>
    <row r="111" spans="1:23" hidden="1" outlineLevel="2" x14ac:dyDescent="0.25">
      <c r="A111" t="s">
        <v>159</v>
      </c>
      <c r="B111" t="s">
        <v>160</v>
      </c>
      <c r="C111" t="s">
        <v>123</v>
      </c>
      <c r="D111" t="s">
        <v>124</v>
      </c>
      <c r="E111" s="3">
        <v>0</v>
      </c>
      <c r="F111" s="3">
        <v>356.09</v>
      </c>
      <c r="G111" s="3">
        <v>175</v>
      </c>
      <c r="H111" s="3">
        <v>0</v>
      </c>
      <c r="I111" s="3">
        <v>366.66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T111" s="3">
        <f t="shared" si="6"/>
        <v>0</v>
      </c>
      <c r="U111" s="3">
        <f t="shared" si="7"/>
        <v>0</v>
      </c>
      <c r="V111" s="12" t="e">
        <f t="shared" si="8"/>
        <v>#DIV/0!</v>
      </c>
    </row>
    <row r="112" spans="1:23" hidden="1" outlineLevel="2" x14ac:dyDescent="0.25">
      <c r="A112" t="s">
        <v>159</v>
      </c>
      <c r="B112" t="s">
        <v>160</v>
      </c>
      <c r="C112" t="s">
        <v>37</v>
      </c>
      <c r="D112" t="s">
        <v>38</v>
      </c>
      <c r="E112" s="3">
        <v>3732.09</v>
      </c>
      <c r="F112" s="3">
        <v>36751.56</v>
      </c>
      <c r="G112" s="3">
        <v>-29365.49</v>
      </c>
      <c r="H112" s="3">
        <v>3971.95</v>
      </c>
      <c r="I112" s="3">
        <v>2710.83</v>
      </c>
      <c r="J112" s="3">
        <v>3147.3999999999996</v>
      </c>
      <c r="K112" s="3">
        <v>2893.3200000000006</v>
      </c>
      <c r="L112" s="3">
        <v>2837.6799999999967</v>
      </c>
      <c r="M112" s="3">
        <v>2865.31</v>
      </c>
      <c r="N112" s="3">
        <v>2865.31</v>
      </c>
      <c r="O112" s="3">
        <v>2865.31</v>
      </c>
      <c r="P112" s="3">
        <v>2865.31</v>
      </c>
      <c r="Q112" s="3">
        <v>3624.91</v>
      </c>
      <c r="R112" s="3">
        <v>2807.91</v>
      </c>
      <c r="S112" s="3">
        <v>3250.75</v>
      </c>
      <c r="T112" s="3">
        <f t="shared" si="6"/>
        <v>3227.8566666666666</v>
      </c>
      <c r="U112" s="3">
        <f t="shared" si="7"/>
        <v>22.89333333333343</v>
      </c>
      <c r="V112" s="12">
        <f t="shared" si="8"/>
        <v>7.0924256240209238E-3</v>
      </c>
    </row>
    <row r="113" spans="1:22" hidden="1" outlineLevel="2" x14ac:dyDescent="0.25">
      <c r="A113" t="s">
        <v>159</v>
      </c>
      <c r="B113" t="s">
        <v>160</v>
      </c>
      <c r="C113" t="s">
        <v>39</v>
      </c>
      <c r="D113" t="s">
        <v>40</v>
      </c>
      <c r="E113" s="3">
        <v>26.79</v>
      </c>
      <c r="F113" s="3">
        <v>211.5</v>
      </c>
      <c r="G113" s="3">
        <v>45123.12</v>
      </c>
      <c r="H113" s="3">
        <v>5921.29</v>
      </c>
      <c r="I113" s="3">
        <v>-26573.58</v>
      </c>
      <c r="J113" s="3">
        <v>6000</v>
      </c>
      <c r="K113" s="3">
        <v>0</v>
      </c>
      <c r="L113" s="3">
        <v>5985.53</v>
      </c>
      <c r="M113" s="3">
        <v>6000</v>
      </c>
      <c r="N113" s="3">
        <v>6000</v>
      </c>
      <c r="O113" s="3">
        <v>6000</v>
      </c>
      <c r="P113" s="3">
        <v>6000</v>
      </c>
      <c r="Q113" s="3">
        <v>0</v>
      </c>
      <c r="T113" s="3">
        <f t="shared" si="6"/>
        <v>0</v>
      </c>
      <c r="U113" s="3">
        <f t="shared" si="7"/>
        <v>0</v>
      </c>
      <c r="V113" s="12" t="e">
        <f t="shared" si="8"/>
        <v>#DIV/0!</v>
      </c>
    </row>
    <row r="114" spans="1:22" hidden="1" outlineLevel="2" x14ac:dyDescent="0.25">
      <c r="A114" t="s">
        <v>159</v>
      </c>
      <c r="B114" t="s">
        <v>160</v>
      </c>
      <c r="C114" t="s">
        <v>109</v>
      </c>
      <c r="D114" t="s">
        <v>110</v>
      </c>
      <c r="E114" s="3">
        <v>350</v>
      </c>
      <c r="F114" s="3">
        <v>280</v>
      </c>
      <c r="G114" s="3">
        <v>350</v>
      </c>
      <c r="H114" s="3">
        <v>350</v>
      </c>
      <c r="I114" s="3">
        <v>420</v>
      </c>
      <c r="J114" s="3">
        <v>420</v>
      </c>
      <c r="K114" s="3">
        <v>420</v>
      </c>
      <c r="L114" s="3">
        <v>630</v>
      </c>
      <c r="M114" s="3">
        <v>420</v>
      </c>
      <c r="N114" s="3">
        <v>420</v>
      </c>
      <c r="O114" s="3">
        <v>385</v>
      </c>
      <c r="P114" s="3">
        <v>350</v>
      </c>
      <c r="Q114" s="3">
        <v>315</v>
      </c>
      <c r="R114" s="3">
        <v>210</v>
      </c>
      <c r="S114" s="3">
        <v>210</v>
      </c>
      <c r="T114" s="3">
        <f t="shared" si="6"/>
        <v>245</v>
      </c>
      <c r="U114" s="3">
        <f t="shared" si="7"/>
        <v>-35</v>
      </c>
      <c r="V114" s="12">
        <f t="shared" si="8"/>
        <v>-0.14285714285714285</v>
      </c>
    </row>
    <row r="115" spans="1:22" hidden="1" outlineLevel="2" x14ac:dyDescent="0.25">
      <c r="A115" t="s">
        <v>159</v>
      </c>
      <c r="B115" t="s">
        <v>160</v>
      </c>
      <c r="C115" t="s">
        <v>43</v>
      </c>
      <c r="D115" t="s">
        <v>44</v>
      </c>
      <c r="E115" s="3">
        <v>3300</v>
      </c>
      <c r="F115" s="3">
        <v>0</v>
      </c>
      <c r="G115" s="3">
        <v>0</v>
      </c>
      <c r="H115" s="3">
        <v>-12480</v>
      </c>
      <c r="I115" s="3">
        <v>-970</v>
      </c>
      <c r="J115" s="3">
        <v>-970</v>
      </c>
      <c r="K115" s="3">
        <v>-970</v>
      </c>
      <c r="L115" s="3">
        <v>-970</v>
      </c>
      <c r="M115" s="3">
        <v>-970</v>
      </c>
      <c r="N115" s="3">
        <v>-970</v>
      </c>
      <c r="O115" s="3">
        <v>-970</v>
      </c>
      <c r="P115" s="3">
        <v>-970</v>
      </c>
      <c r="Q115" s="3">
        <v>-970</v>
      </c>
      <c r="R115" s="3">
        <v>-970</v>
      </c>
      <c r="S115" s="3">
        <v>-970</v>
      </c>
      <c r="T115" s="3">
        <f t="shared" si="6"/>
        <v>-970</v>
      </c>
      <c r="U115" s="3">
        <f t="shared" si="7"/>
        <v>0</v>
      </c>
      <c r="V115" s="12">
        <f t="shared" si="8"/>
        <v>0</v>
      </c>
    </row>
    <row r="116" spans="1:22" hidden="1" outlineLevel="2" x14ac:dyDescent="0.25">
      <c r="A116" t="s">
        <v>159</v>
      </c>
      <c r="B116" t="s">
        <v>160</v>
      </c>
      <c r="C116" t="s">
        <v>45</v>
      </c>
      <c r="D116" t="s">
        <v>46</v>
      </c>
      <c r="E116" s="3">
        <v>1773.68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T116" s="3">
        <f t="shared" si="6"/>
        <v>0</v>
      </c>
      <c r="U116" s="3">
        <f t="shared" si="7"/>
        <v>0</v>
      </c>
      <c r="V116" s="12" t="e">
        <f t="shared" si="8"/>
        <v>#DIV/0!</v>
      </c>
    </row>
    <row r="117" spans="1:22" hidden="1" outlineLevel="2" x14ac:dyDescent="0.25">
      <c r="A117" t="s">
        <v>159</v>
      </c>
      <c r="B117" t="s">
        <v>160</v>
      </c>
      <c r="C117" t="s">
        <v>47</v>
      </c>
      <c r="D117" t="s">
        <v>48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T117" s="3">
        <f t="shared" si="6"/>
        <v>0</v>
      </c>
      <c r="U117" s="3">
        <f t="shared" si="7"/>
        <v>0</v>
      </c>
      <c r="V117" s="12" t="e">
        <f t="shared" si="8"/>
        <v>#DIV/0!</v>
      </c>
    </row>
    <row r="118" spans="1:22" hidden="1" outlineLevel="2" x14ac:dyDescent="0.25">
      <c r="A118" t="s">
        <v>159</v>
      </c>
      <c r="B118" t="s">
        <v>160</v>
      </c>
      <c r="C118" t="s">
        <v>49</v>
      </c>
      <c r="D118" t="s">
        <v>50</v>
      </c>
      <c r="E118" s="3">
        <v>83.94</v>
      </c>
      <c r="F118" s="3">
        <v>101.44</v>
      </c>
      <c r="G118" s="3">
        <v>19.98</v>
      </c>
      <c r="H118" s="3">
        <v>77.740000000000009</v>
      </c>
      <c r="I118" s="3">
        <v>0</v>
      </c>
      <c r="J118" s="3">
        <v>236.95999999999998</v>
      </c>
      <c r="K118" s="3">
        <v>698.44999999999993</v>
      </c>
      <c r="L118" s="3">
        <v>0</v>
      </c>
      <c r="M118" s="3">
        <v>179.3</v>
      </c>
      <c r="N118" s="3">
        <v>1649.48</v>
      </c>
      <c r="O118" s="3">
        <v>51</v>
      </c>
      <c r="P118" s="3">
        <v>119.5</v>
      </c>
      <c r="Q118" s="3">
        <v>51</v>
      </c>
      <c r="S118" s="3">
        <v>68.5</v>
      </c>
      <c r="T118" s="3">
        <f t="shared" si="6"/>
        <v>59.75</v>
      </c>
      <c r="U118" s="3">
        <f t="shared" si="7"/>
        <v>8.75</v>
      </c>
      <c r="V118" s="12">
        <f t="shared" si="8"/>
        <v>0.14644351464435146</v>
      </c>
    </row>
    <row r="119" spans="1:22" hidden="1" outlineLevel="2" x14ac:dyDescent="0.25">
      <c r="A119" t="s">
        <v>159</v>
      </c>
      <c r="B119" t="s">
        <v>160</v>
      </c>
      <c r="C119" t="s">
        <v>51</v>
      </c>
      <c r="D119" t="s">
        <v>52</v>
      </c>
      <c r="E119" s="3">
        <v>17.39</v>
      </c>
      <c r="F119" s="3">
        <v>133524</v>
      </c>
      <c r="G119" s="3">
        <v>-133524</v>
      </c>
      <c r="H119" s="3">
        <v>0</v>
      </c>
      <c r="I119" s="3">
        <v>0</v>
      </c>
      <c r="J119" s="3">
        <v>0</v>
      </c>
      <c r="K119" s="3">
        <v>0</v>
      </c>
      <c r="L119" s="3">
        <v>-0.5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T119" s="3">
        <f t="shared" si="6"/>
        <v>0</v>
      </c>
      <c r="U119" s="3">
        <f t="shared" si="7"/>
        <v>0</v>
      </c>
      <c r="V119" s="12" t="e">
        <f t="shared" si="8"/>
        <v>#DIV/0!</v>
      </c>
    </row>
    <row r="120" spans="1:22" hidden="1" outlineLevel="2" x14ac:dyDescent="0.25">
      <c r="A120" t="s">
        <v>159</v>
      </c>
      <c r="B120" t="s">
        <v>160</v>
      </c>
      <c r="C120" t="s">
        <v>53</v>
      </c>
      <c r="D120" t="s">
        <v>54</v>
      </c>
      <c r="E120" s="3">
        <v>0</v>
      </c>
      <c r="F120" s="3">
        <v>0</v>
      </c>
      <c r="G120" s="3">
        <v>0</v>
      </c>
      <c r="H120" s="3">
        <v>0</v>
      </c>
      <c r="I120" s="3">
        <v>532.54</v>
      </c>
      <c r="J120" s="3">
        <v>0</v>
      </c>
      <c r="K120" s="3">
        <v>0</v>
      </c>
      <c r="L120" s="3">
        <v>361.66</v>
      </c>
      <c r="M120" s="3">
        <v>1595.24</v>
      </c>
      <c r="N120" s="3">
        <v>0</v>
      </c>
      <c r="O120" s="3">
        <v>5100.6000000000004</v>
      </c>
      <c r="P120" s="3">
        <v>1382.85</v>
      </c>
      <c r="Q120" s="3">
        <v>0</v>
      </c>
      <c r="T120" s="3">
        <f t="shared" si="6"/>
        <v>0</v>
      </c>
      <c r="U120" s="3">
        <f t="shared" si="7"/>
        <v>0</v>
      </c>
      <c r="V120" s="12" t="e">
        <f t="shared" si="8"/>
        <v>#DIV/0!</v>
      </c>
    </row>
    <row r="121" spans="1:22" hidden="1" outlineLevel="2" x14ac:dyDescent="0.25">
      <c r="A121" t="s">
        <v>159</v>
      </c>
      <c r="B121" t="s">
        <v>160</v>
      </c>
      <c r="C121" t="s">
        <v>61</v>
      </c>
      <c r="D121" t="s">
        <v>62</v>
      </c>
      <c r="E121" s="3">
        <v>1072.9100000000001</v>
      </c>
      <c r="F121" s="3">
        <v>328.96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T121" s="3">
        <f t="shared" si="6"/>
        <v>0</v>
      </c>
      <c r="U121" s="3">
        <f t="shared" si="7"/>
        <v>0</v>
      </c>
      <c r="V121" s="12" t="e">
        <f t="shared" si="8"/>
        <v>#DIV/0!</v>
      </c>
    </row>
    <row r="122" spans="1:22" hidden="1" outlineLevel="2" x14ac:dyDescent="0.25">
      <c r="A122" t="s">
        <v>159</v>
      </c>
      <c r="B122" t="s">
        <v>160</v>
      </c>
      <c r="C122" t="s">
        <v>113</v>
      </c>
      <c r="D122" t="s">
        <v>114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1823</v>
      </c>
      <c r="P122" s="3">
        <v>425.5</v>
      </c>
      <c r="Q122" s="3">
        <v>359</v>
      </c>
      <c r="R122" s="3">
        <v>325</v>
      </c>
      <c r="S122" s="3">
        <v>4440</v>
      </c>
      <c r="T122" s="3">
        <f t="shared" si="6"/>
        <v>1708</v>
      </c>
      <c r="U122" s="3">
        <f t="shared" si="7"/>
        <v>2732</v>
      </c>
      <c r="V122" s="12">
        <f t="shared" si="8"/>
        <v>1.5995316159250585</v>
      </c>
    </row>
    <row r="123" spans="1:22" hidden="1" outlineLevel="2" x14ac:dyDescent="0.25">
      <c r="A123" t="s">
        <v>159</v>
      </c>
      <c r="B123" t="s">
        <v>160</v>
      </c>
      <c r="C123" t="s">
        <v>63</v>
      </c>
      <c r="D123" t="s">
        <v>64</v>
      </c>
      <c r="E123" s="3">
        <v>0</v>
      </c>
      <c r="F123" s="3">
        <v>0</v>
      </c>
      <c r="G123" s="3">
        <v>0</v>
      </c>
      <c r="H123" s="3">
        <v>4655.95</v>
      </c>
      <c r="I123" s="3">
        <v>564.24</v>
      </c>
      <c r="J123" s="3">
        <v>19289.400000000001</v>
      </c>
      <c r="K123" s="3">
        <v>13597.92</v>
      </c>
      <c r="L123" s="3">
        <v>0</v>
      </c>
      <c r="M123" s="3">
        <v>0</v>
      </c>
      <c r="N123" s="3">
        <v>0</v>
      </c>
      <c r="O123" s="3">
        <v>0</v>
      </c>
      <c r="P123" s="3">
        <v>1591.3700000000008</v>
      </c>
      <c r="Q123" s="3">
        <v>0</v>
      </c>
      <c r="T123" s="3">
        <f t="shared" si="6"/>
        <v>0</v>
      </c>
      <c r="U123" s="3">
        <f t="shared" si="7"/>
        <v>0</v>
      </c>
      <c r="V123" s="12" t="e">
        <f t="shared" si="8"/>
        <v>#DIV/0!</v>
      </c>
    </row>
    <row r="124" spans="1:22" hidden="1" outlineLevel="2" x14ac:dyDescent="0.25">
      <c r="A124" t="s">
        <v>159</v>
      </c>
      <c r="B124" t="s">
        <v>160</v>
      </c>
      <c r="C124" t="s">
        <v>65</v>
      </c>
      <c r="D124" t="s">
        <v>66</v>
      </c>
      <c r="E124" s="3">
        <v>0</v>
      </c>
      <c r="F124" s="3">
        <v>0</v>
      </c>
      <c r="G124" s="3">
        <v>0</v>
      </c>
      <c r="H124" s="3">
        <v>3113.6700000000005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-3113.67</v>
      </c>
      <c r="O124" s="3">
        <v>0</v>
      </c>
      <c r="P124" s="3">
        <v>0</v>
      </c>
      <c r="Q124" s="3">
        <v>0</v>
      </c>
      <c r="T124" s="3">
        <f t="shared" si="6"/>
        <v>0</v>
      </c>
      <c r="U124" s="3">
        <f t="shared" si="7"/>
        <v>0</v>
      </c>
      <c r="V124" s="12" t="e">
        <f t="shared" si="8"/>
        <v>#DIV/0!</v>
      </c>
    </row>
    <row r="125" spans="1:22" hidden="1" outlineLevel="2" x14ac:dyDescent="0.25">
      <c r="A125" t="s">
        <v>159</v>
      </c>
      <c r="B125" t="s">
        <v>160</v>
      </c>
      <c r="C125" t="s">
        <v>115</v>
      </c>
      <c r="D125" t="s">
        <v>116</v>
      </c>
      <c r="E125" s="3">
        <v>1710</v>
      </c>
      <c r="F125" s="3">
        <v>1980</v>
      </c>
      <c r="G125" s="3">
        <v>1440</v>
      </c>
      <c r="H125" s="3">
        <v>1485</v>
      </c>
      <c r="I125" s="3">
        <v>1530</v>
      </c>
      <c r="J125" s="3">
        <v>1530</v>
      </c>
      <c r="K125" s="3">
        <v>1530</v>
      </c>
      <c r="L125" s="3">
        <v>2295</v>
      </c>
      <c r="M125" s="3">
        <v>1530</v>
      </c>
      <c r="N125" s="3">
        <v>1440</v>
      </c>
      <c r="O125" s="3">
        <v>1440</v>
      </c>
      <c r="P125" s="3">
        <v>1440</v>
      </c>
      <c r="Q125" s="3">
        <v>0</v>
      </c>
      <c r="T125" s="3">
        <f t="shared" si="6"/>
        <v>0</v>
      </c>
      <c r="U125" s="3">
        <f t="shared" si="7"/>
        <v>0</v>
      </c>
      <c r="V125" s="12" t="e">
        <f t="shared" si="8"/>
        <v>#DIV/0!</v>
      </c>
    </row>
    <row r="126" spans="1:22" hidden="1" outlineLevel="2" x14ac:dyDescent="0.25">
      <c r="A126" t="s">
        <v>159</v>
      </c>
      <c r="B126" t="s">
        <v>160</v>
      </c>
      <c r="C126" t="s">
        <v>145</v>
      </c>
      <c r="D126" t="s">
        <v>146</v>
      </c>
      <c r="E126" s="3">
        <v>337000</v>
      </c>
      <c r="F126" s="3">
        <v>337000</v>
      </c>
      <c r="G126" s="3">
        <v>337000</v>
      </c>
      <c r="H126" s="3">
        <v>337000</v>
      </c>
      <c r="I126" s="3">
        <v>337000</v>
      </c>
      <c r="J126" s="3">
        <v>337000</v>
      </c>
      <c r="K126" s="3">
        <v>1083333.33</v>
      </c>
      <c r="L126" s="3">
        <v>1083333.33</v>
      </c>
      <c r="M126" s="3">
        <v>1083333.33</v>
      </c>
      <c r="N126" s="3">
        <v>1083333.33</v>
      </c>
      <c r="O126" s="3">
        <v>1083333.33</v>
      </c>
      <c r="P126" s="3">
        <v>1083333.33</v>
      </c>
      <c r="Q126" s="3">
        <v>416666.63</v>
      </c>
      <c r="R126" s="3">
        <v>416666.63</v>
      </c>
      <c r="S126" s="3">
        <v>416666.63</v>
      </c>
      <c r="T126" s="3">
        <f t="shared" si="6"/>
        <v>416666.63000000006</v>
      </c>
      <c r="U126" s="3">
        <f t="shared" si="7"/>
        <v>0</v>
      </c>
      <c r="V126" s="12">
        <f t="shared" si="8"/>
        <v>-1.3969839848578083E-16</v>
      </c>
    </row>
    <row r="127" spans="1:22" hidden="1" outlineLevel="2" x14ac:dyDescent="0.25">
      <c r="A127" t="s">
        <v>159</v>
      </c>
      <c r="B127" t="s">
        <v>160</v>
      </c>
      <c r="C127" t="s">
        <v>149</v>
      </c>
      <c r="D127" t="s">
        <v>150</v>
      </c>
      <c r="E127" s="3">
        <v>223946.71</v>
      </c>
      <c r="F127" s="3">
        <v>223946.71</v>
      </c>
      <c r="G127" s="3">
        <v>124334.85</v>
      </c>
      <c r="H127" s="3">
        <v>149237.81</v>
      </c>
      <c r="I127" s="3">
        <v>149237.81</v>
      </c>
      <c r="J127" s="3">
        <v>149237.81</v>
      </c>
      <c r="K127" s="3">
        <v>219076.68</v>
      </c>
      <c r="L127" s="3">
        <v>-1239018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T127" s="3">
        <f t="shared" si="6"/>
        <v>0</v>
      </c>
      <c r="U127" s="3">
        <f t="shared" si="7"/>
        <v>0</v>
      </c>
      <c r="V127" s="12" t="e">
        <f t="shared" si="8"/>
        <v>#DIV/0!</v>
      </c>
    </row>
    <row r="128" spans="1:22" s="6" customFormat="1" outlineLevel="1" collapsed="1" x14ac:dyDescent="0.25">
      <c r="A128" s="5" t="s">
        <v>163</v>
      </c>
      <c r="E128" s="7">
        <f>SUBTOTAL(9,E93:E127)</f>
        <v>0</v>
      </c>
      <c r="F128" s="7">
        <f>SUBTOTAL(9,F93:F127)</f>
        <v>0</v>
      </c>
      <c r="G128" s="7">
        <f>SUBTOTAL(9,G93:G127)</f>
        <v>0</v>
      </c>
      <c r="H128" s="7">
        <f>SUBTOTAL(9,H93:H127)</f>
        <v>0</v>
      </c>
      <c r="I128" s="7">
        <f>SUBTOTAL(9,I93:I127)</f>
        <v>0</v>
      </c>
      <c r="J128" s="7">
        <f>SUBTOTAL(9,J93:J127)</f>
        <v>0</v>
      </c>
      <c r="K128" s="7">
        <f>SUBTOTAL(9,K93:K127)</f>
        <v>0</v>
      </c>
      <c r="L128" s="7">
        <f>SUBTOTAL(9,L93:L127)</f>
        <v>0</v>
      </c>
      <c r="M128" s="7">
        <f>SUBTOTAL(9,M93:M127)</f>
        <v>0</v>
      </c>
      <c r="N128" s="7">
        <f>SUBTOTAL(9,N93:N127)</f>
        <v>0</v>
      </c>
      <c r="O128" s="7">
        <f>SUBTOTAL(9,O93:O127)</f>
        <v>0</v>
      </c>
      <c r="P128" s="7">
        <f>SUBTOTAL(9,P93:P127)</f>
        <v>0</v>
      </c>
      <c r="Q128" s="7">
        <f>SUBTOTAL(9,Q93:Q127)</f>
        <v>0</v>
      </c>
      <c r="R128" s="7">
        <f>SUBTOTAL(9,R93:R127)</f>
        <v>0</v>
      </c>
      <c r="S128" s="7">
        <f>SUBTOTAL(9,S93:S127)</f>
        <v>0</v>
      </c>
      <c r="T128" s="7"/>
      <c r="U128" s="7"/>
      <c r="V128" s="7"/>
    </row>
  </sheetData>
  <autoFilter ref="A1:X127" xr:uid="{00000000-0001-0000-0000-000000000000}">
    <filterColumn colId="0">
      <filters>
        <filter val="1002000011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2877018CD80E46BCDB94C6312C472D" ma:contentTypeVersion="0" ma:contentTypeDescription="Create a new document." ma:contentTypeScope="" ma:versionID="74abe9395eabd1143b16964d577f07f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7BF14DF-D381-4B83-88A9-5B39CD581BEA}"/>
</file>

<file path=customXml/itemProps2.xml><?xml version="1.0" encoding="utf-8"?>
<ds:datastoreItem xmlns:ds="http://schemas.openxmlformats.org/officeDocument/2006/customXml" ds:itemID="{96D2EC94-5DA5-4163-8211-CC285C841ED5}"/>
</file>

<file path=customXml/itemProps3.xml><?xml version="1.0" encoding="utf-8"?>
<ds:datastoreItem xmlns:ds="http://schemas.openxmlformats.org/officeDocument/2006/customXml" ds:itemID="{9760A8BB-9594-4580-8F4C-8278F76F87EE}"/>
</file>

<file path=docMetadata/LabelInfo.xml><?xml version="1.0" encoding="utf-8"?>
<clbl:labelList xmlns:clbl="http://schemas.microsoft.com/office/2020/mipLabelMetadata">
  <clbl:label id="{4e7d2999-1298-469c-a8ed-259d2bbf293c}" enabled="1" method="Standard" siteId="{3a7dd6e2-0a63-4ec5-bac5-e702961f4ab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Amber Knecht</cp:lastModifiedBy>
  <dcterms:created xsi:type="dcterms:W3CDTF">2026-04-27T20:24:19Z</dcterms:created>
  <dcterms:modified xsi:type="dcterms:W3CDTF">2026-04-27T21:15:51Z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0x010100B12877018CD80E46BCDB94C6312C472D</vt:lpwstr>
  </property>
</Properties>
</file>