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ccounting\Corporate Accounting\2026 AI with IT and Applexusd\SAP AI  in a Day\"/>
    </mc:Choice>
  </mc:AlternateContent>
  <xr:revisionPtr revIDLastSave="0" documentId="13_ncr:1_{8CFC31EB-8998-417A-9912-C52F4E80E849}" xr6:coauthVersionLast="47" xr6:coauthVersionMax="47" xr10:uidLastSave="{00000000-0000-0000-0000-000000000000}"/>
  <bookViews>
    <workbookView xWindow="-28920" yWindow="-120" windowWidth="29040" windowHeight="15720" xr2:uid="{7C109EC5-1757-4451-A9EF-AAB3CCA6C18A}"/>
  </bookViews>
  <sheets>
    <sheet name="Export" sheetId="1" r:id="rId1"/>
    <sheet name="Sheet2" sheetId="2" r:id="rId2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7" i="1" l="1"/>
  <c r="R97" i="1"/>
  <c r="Q97" i="1"/>
  <c r="G97" i="1"/>
  <c r="F97" i="1"/>
  <c r="E97" i="1"/>
  <c r="S39" i="1"/>
  <c r="R39" i="1"/>
  <c r="Q39" i="1"/>
  <c r="G39" i="1"/>
  <c r="F39" i="1"/>
  <c r="E39" i="1"/>
</calcChain>
</file>

<file path=xl/sharedStrings.xml><?xml version="1.0" encoding="utf-8"?>
<sst xmlns="http://schemas.openxmlformats.org/spreadsheetml/2006/main" count="400" uniqueCount="167">
  <si>
    <t>Cost Center</t>
  </si>
  <si>
    <t>Cost Center Name</t>
  </si>
  <si>
    <t>GL Account</t>
  </si>
  <si>
    <t>GL Account Name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</si>
  <si>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</si>
  <si>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</si>
  <si>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</si>
  <si>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</si>
  <si>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</si>
  <si>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</si>
  <si>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</si>
  <si>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</si>
  <si>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</si>
  <si>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</si>
  <si>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</si>
  <si>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</si>
  <si>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</si>
  <si>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</si>
  <si>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</si>
  <si>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61002000</t>
  </si>
  <si>
    <t>3rd party material</t>
  </si>
  <si>
    <t>61004000</t>
  </si>
  <si>
    <t>Trav.Expense Meals</t>
  </si>
  <si>
    <t>61005000</t>
  </si>
  <si>
    <t>Travel Exp Grd Trnsp</t>
  </si>
  <si>
    <t>61005500</t>
  </si>
  <si>
    <t>Fully Deductible - L</t>
  </si>
  <si>
    <t>61007000</t>
  </si>
  <si>
    <t>Trav.Exp Air,Rl,Mile</t>
  </si>
  <si>
    <t>61010000</t>
  </si>
  <si>
    <t>PayrollSalariedLabor</t>
  </si>
  <si>
    <t>61021100</t>
  </si>
  <si>
    <t>Payroll Hourly Labor</t>
  </si>
  <si>
    <t>61023000</t>
  </si>
  <si>
    <t>Payrol-Overtime Wage</t>
  </si>
  <si>
    <t>61024100</t>
  </si>
  <si>
    <t>Labor COSt</t>
  </si>
  <si>
    <t>61060000</t>
  </si>
  <si>
    <t>401K/NQDF Match Exp</t>
  </si>
  <si>
    <t>61065000</t>
  </si>
  <si>
    <t>Incentive Plan Expen</t>
  </si>
  <si>
    <t>61200000</t>
  </si>
  <si>
    <t>Pay Exp Tax&amp;SS Wages</t>
  </si>
  <si>
    <t>61202000</t>
  </si>
  <si>
    <t>Payroll Taxes - Unem</t>
  </si>
  <si>
    <t>61403000</t>
  </si>
  <si>
    <t>Meals &amp; Ent - Educ.,</t>
  </si>
  <si>
    <t>61408000</t>
  </si>
  <si>
    <t>Protective Clothing</t>
  </si>
  <si>
    <t>63001000</t>
  </si>
  <si>
    <t>Electricity&amp;Utilitie</t>
  </si>
  <si>
    <t>63001300</t>
  </si>
  <si>
    <t>Process Fuel Gas</t>
  </si>
  <si>
    <t>63003300</t>
  </si>
  <si>
    <t>ChemicalExpense</t>
  </si>
  <si>
    <t>63005000</t>
  </si>
  <si>
    <t>Lease Expense</t>
  </si>
  <si>
    <t>63005200</t>
  </si>
  <si>
    <t>ST Lease Expense</t>
  </si>
  <si>
    <t>63006000</t>
  </si>
  <si>
    <t>License &amp; Permits</t>
  </si>
  <si>
    <t>63006300</t>
  </si>
  <si>
    <t>Cellular Telephone</t>
  </si>
  <si>
    <t>63006400</t>
  </si>
  <si>
    <t>Telephone&amp;otherComm</t>
  </si>
  <si>
    <t>65000000</t>
  </si>
  <si>
    <t>Postage and Shipping</t>
  </si>
  <si>
    <t>65000500</t>
  </si>
  <si>
    <t>Non Prod Mat Consptn</t>
  </si>
  <si>
    <t>65000600</t>
  </si>
  <si>
    <t>Materials - Internal</t>
  </si>
  <si>
    <t>65003000</t>
  </si>
  <si>
    <t>Repairs&amp;Maint-cost</t>
  </si>
  <si>
    <t>65003200</t>
  </si>
  <si>
    <t>Repairs &amp; Maint - Ot</t>
  </si>
  <si>
    <t>65004000</t>
  </si>
  <si>
    <t>COS - Waste Disposal</t>
  </si>
  <si>
    <t>65005000</t>
  </si>
  <si>
    <t>Tank Maintenance</t>
  </si>
  <si>
    <t>65005100</t>
  </si>
  <si>
    <t>Materials - Freight</t>
  </si>
  <si>
    <t>65005200</t>
  </si>
  <si>
    <t>653 Tank Maintenance</t>
  </si>
  <si>
    <t>65005300</t>
  </si>
  <si>
    <t>Maintenance - Preven</t>
  </si>
  <si>
    <t>65005400</t>
  </si>
  <si>
    <t>Repairs &amp; Maint-Rous</t>
  </si>
  <si>
    <t>65006000</t>
  </si>
  <si>
    <t>Repairs &amp; Maintenanc</t>
  </si>
  <si>
    <t>65006500</t>
  </si>
  <si>
    <t>Extraordinary Mainte</t>
  </si>
  <si>
    <t>65006900</t>
  </si>
  <si>
    <t>Repairs &amp; Maint-Skim</t>
  </si>
  <si>
    <t>65006901</t>
  </si>
  <si>
    <t>Repairs &amp; Maint -Wtr</t>
  </si>
  <si>
    <t>65007000</t>
  </si>
  <si>
    <t>Contract Services -</t>
  </si>
  <si>
    <t>65100000</t>
  </si>
  <si>
    <t>Office Supplies</t>
  </si>
  <si>
    <t>65150000</t>
  </si>
  <si>
    <t>Computer Supplies</t>
  </si>
  <si>
    <t>65200000</t>
  </si>
  <si>
    <t>Other Supplies</t>
  </si>
  <si>
    <t>65230000</t>
  </si>
  <si>
    <t>SuppliesSmallTools</t>
  </si>
  <si>
    <t>65240000</t>
  </si>
  <si>
    <t>Supplies - Operating</t>
  </si>
  <si>
    <t>65270000</t>
  </si>
  <si>
    <t>Supplies - Miscellan</t>
  </si>
  <si>
    <t>65301200</t>
  </si>
  <si>
    <t>CS - Professional Co</t>
  </si>
  <si>
    <t>65301300</t>
  </si>
  <si>
    <t>CS - Outside Service</t>
  </si>
  <si>
    <t>65301400</t>
  </si>
  <si>
    <t>CS - Contractors</t>
  </si>
  <si>
    <t>65301700</t>
  </si>
  <si>
    <t>CS - Mechanical</t>
  </si>
  <si>
    <t>65302200</t>
  </si>
  <si>
    <t>CS - Other</t>
  </si>
  <si>
    <t>65302600</t>
  </si>
  <si>
    <t>CS - Contingent Labr</t>
  </si>
  <si>
    <t>Other Expenses</t>
  </si>
  <si>
    <t>66000100</t>
  </si>
  <si>
    <t>Lube Oil, Greases &amp;</t>
  </si>
  <si>
    <t>66000400</t>
  </si>
  <si>
    <t>Third Party Trucking</t>
  </si>
  <si>
    <t>67000500</t>
  </si>
  <si>
    <t>67000800</t>
  </si>
  <si>
    <t>Right of Way Expense</t>
  </si>
  <si>
    <t>94311000</t>
  </si>
  <si>
    <t>Pers hrs</t>
  </si>
  <si>
    <t>61052000</t>
  </si>
  <si>
    <t>Group Insurance</t>
  </si>
  <si>
    <t>61400000</t>
  </si>
  <si>
    <t>Training Education</t>
  </si>
  <si>
    <t>61510000</t>
  </si>
  <si>
    <t>Stock Based Compensa</t>
  </si>
  <si>
    <t>61512000</t>
  </si>
  <si>
    <t>ESSP Expense</t>
  </si>
  <si>
    <t>65210000</t>
  </si>
  <si>
    <t>Supplies - Associati</t>
  </si>
  <si>
    <t>65301100</t>
  </si>
  <si>
    <t>ContrctServicesLegal</t>
  </si>
  <si>
    <t>67000900</t>
  </si>
  <si>
    <t>Other Non-Operating</t>
  </si>
  <si>
    <t>69000200</t>
  </si>
  <si>
    <t>Property Tax Expense</t>
  </si>
  <si>
    <t>69000100</t>
  </si>
  <si>
    <t>Sales &amp; Use Taxes</t>
  </si>
  <si>
    <t>63002000</t>
  </si>
  <si>
    <t>Water</t>
  </si>
  <si>
    <t>61061000</t>
  </si>
  <si>
    <t>Casualty</t>
  </si>
  <si>
    <t>67000400</t>
  </si>
  <si>
    <t>Accretion Expense</t>
  </si>
  <si>
    <t>65005310</t>
  </si>
  <si>
    <t>Maint - Technicians</t>
  </si>
  <si>
    <t>2002000086</t>
  </si>
  <si>
    <t>MAINT -RELIABILITY</t>
  </si>
  <si>
    <t>2002000086 Total</t>
  </si>
  <si>
    <t>67000600</t>
  </si>
  <si>
    <t>Environmental</t>
  </si>
  <si>
    <t>4010100087</t>
  </si>
  <si>
    <t>GRAVITY - Operating</t>
  </si>
  <si>
    <t>65103000</t>
  </si>
  <si>
    <t>Equipment Outfitting</t>
  </si>
  <si>
    <t>4010100087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</si>
</sst>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name val="Aptos Narrow"/>
    </font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1" applyFont="1"/>
    <xf numFmtId="0" fontId="2" fillId="2" borderId="0" xfId="0" applyFont="1" applyFill="1"/>
    <xf numFmtId="0" fontId="0" fillId="2" borderId="0" xfId="0" applyFill="1"/>
    <xf numFmtId="43" fontId="0" fillId="2" borderId="0" xfId="1" applyFont="1" applyFill="1"/>
    <xf numFmtId="0" fontId="2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5075-ED61-4AC4-B290-9729D69A3A3B}">
  <dimension ref="A1:S97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outlineLevelRow="2"/>
  <cols>
    <col min="1" max="1" width="14.85546875" customWidth="1"/>
    <col min="2" max="2" width="24.42578125" bestFit="1" customWidth="1"/>
    <col min="5" max="7" width="14.28515625" style="3" bestFit="1" customWidth="1"/>
    <col min="8" max="15" width="14.28515625" style="3" hidden="1" customWidth="1"/>
    <col min="16" max="16" width="15" style="3" hidden="1" customWidth="1"/>
    <col min="17" max="18" width="14.28515625" style="3" bestFit="1" customWidth="1"/>
    <col min="19" max="19" width="15" style="3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outlineLevel="2">
      <c r="A2" t="s">
        <v>157</v>
      </c>
      <c r="B2" t="s">
        <v>158</v>
      </c>
      <c r="C2" t="s">
        <v>19</v>
      </c>
      <c r="D2" t="s">
        <v>20</v>
      </c>
      <c r="E2" s="3">
        <v>0</v>
      </c>
      <c r="F2" s="3">
        <v>11.48</v>
      </c>
      <c r="G2" s="3">
        <v>0</v>
      </c>
      <c r="H2" s="3">
        <v>0</v>
      </c>
      <c r="I2" s="3">
        <v>-2766.76</v>
      </c>
      <c r="J2" s="3">
        <v>0</v>
      </c>
      <c r="K2" s="3">
        <v>0</v>
      </c>
      <c r="L2" s="3">
        <v>708.5</v>
      </c>
      <c r="M2" s="3">
        <v>283.24</v>
      </c>
      <c r="N2" s="3">
        <v>0</v>
      </c>
      <c r="O2" s="3">
        <v>2576.1</v>
      </c>
      <c r="P2" s="3">
        <v>-521.58000000000004</v>
      </c>
      <c r="Q2" s="3">
        <v>0</v>
      </c>
      <c r="S2" s="3">
        <v>131.69999999999908</v>
      </c>
    </row>
    <row r="3" spans="1:19" outlineLevel="2">
      <c r="A3" t="s">
        <v>157</v>
      </c>
      <c r="B3" t="s">
        <v>158</v>
      </c>
      <c r="C3" t="s">
        <v>21</v>
      </c>
      <c r="D3" t="s">
        <v>22</v>
      </c>
      <c r="E3" s="3">
        <v>118.03</v>
      </c>
      <c r="F3" s="3">
        <v>597.54999999999995</v>
      </c>
      <c r="G3" s="3">
        <v>0</v>
      </c>
      <c r="H3" s="3">
        <v>912.64</v>
      </c>
      <c r="I3" s="3">
        <v>49.39</v>
      </c>
      <c r="J3" s="3">
        <v>470.26</v>
      </c>
      <c r="K3" s="3">
        <v>158.62</v>
      </c>
      <c r="L3" s="3">
        <v>1212.31</v>
      </c>
      <c r="M3" s="3">
        <v>227.26</v>
      </c>
      <c r="N3" s="3">
        <v>347.54999999999995</v>
      </c>
      <c r="O3" s="3">
        <v>338.84999999999997</v>
      </c>
      <c r="P3" s="3">
        <v>159.77000000000001</v>
      </c>
      <c r="Q3" s="3">
        <v>0</v>
      </c>
      <c r="R3" s="3">
        <v>194.63</v>
      </c>
      <c r="S3" s="3">
        <v>250.03</v>
      </c>
    </row>
    <row r="4" spans="1:19" outlineLevel="2">
      <c r="A4" t="s">
        <v>157</v>
      </c>
      <c r="B4" t="s">
        <v>158</v>
      </c>
      <c r="C4" t="s">
        <v>23</v>
      </c>
      <c r="D4" t="s">
        <v>24</v>
      </c>
      <c r="E4" s="3">
        <v>1137.4499999999998</v>
      </c>
      <c r="F4" s="3">
        <v>0</v>
      </c>
      <c r="G4" s="3">
        <v>525</v>
      </c>
      <c r="H4" s="3">
        <v>0</v>
      </c>
      <c r="I4" s="3">
        <v>0</v>
      </c>
      <c r="J4" s="3">
        <v>249.64000000000001</v>
      </c>
      <c r="K4" s="3">
        <v>228.51999999999998</v>
      </c>
      <c r="L4" s="3">
        <v>1551.18</v>
      </c>
      <c r="M4" s="3">
        <v>0</v>
      </c>
      <c r="N4" s="3">
        <v>216.5</v>
      </c>
      <c r="O4" s="3">
        <v>89.4</v>
      </c>
      <c r="P4" s="3">
        <v>0</v>
      </c>
      <c r="Q4" s="3">
        <v>0</v>
      </c>
    </row>
    <row r="5" spans="1:19" outlineLevel="2">
      <c r="A5" t="s">
        <v>157</v>
      </c>
      <c r="B5" t="s">
        <v>158</v>
      </c>
      <c r="C5" t="s">
        <v>25</v>
      </c>
      <c r="D5" t="s">
        <v>26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4753.33</v>
      </c>
      <c r="O5" s="3">
        <v>753.3599999999999</v>
      </c>
      <c r="P5" s="3">
        <v>0</v>
      </c>
      <c r="Q5" s="3">
        <v>0</v>
      </c>
    </row>
    <row r="6" spans="1:19" outlineLevel="2">
      <c r="A6" t="s">
        <v>157</v>
      </c>
      <c r="B6" t="s">
        <v>158</v>
      </c>
      <c r="C6" t="s">
        <v>27</v>
      </c>
      <c r="D6" t="s">
        <v>28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561</v>
      </c>
      <c r="O6" s="3">
        <v>445.9</v>
      </c>
      <c r="P6" s="3">
        <v>0</v>
      </c>
      <c r="Q6" s="3">
        <v>0</v>
      </c>
      <c r="R6" s="3">
        <v>343.41</v>
      </c>
      <c r="S6" s="3">
        <v>0</v>
      </c>
    </row>
    <row r="7" spans="1:19" outlineLevel="2">
      <c r="A7" t="s">
        <v>157</v>
      </c>
      <c r="B7" t="s">
        <v>158</v>
      </c>
      <c r="C7" t="s">
        <v>29</v>
      </c>
      <c r="D7" t="s">
        <v>30</v>
      </c>
      <c r="E7" s="3">
        <v>68308.709999999992</v>
      </c>
      <c r="F7" s="3">
        <v>61698.18</v>
      </c>
      <c r="G7" s="3">
        <v>68308.69</v>
      </c>
      <c r="H7" s="3">
        <v>66105.19</v>
      </c>
      <c r="I7" s="3">
        <v>68308.72</v>
      </c>
      <c r="J7" s="3">
        <v>66105.16</v>
      </c>
      <c r="K7" s="3">
        <v>70385.41</v>
      </c>
      <c r="L7" s="3">
        <v>75928.070000000007</v>
      </c>
      <c r="M7" s="3">
        <v>78307.12</v>
      </c>
      <c r="N7" s="3">
        <v>80478.640000000014</v>
      </c>
      <c r="O7" s="3">
        <v>77882.55</v>
      </c>
      <c r="P7" s="3">
        <v>80478.64</v>
      </c>
      <c r="Q7" s="3">
        <v>80478.62000000001</v>
      </c>
      <c r="R7" s="3">
        <v>72690.38</v>
      </c>
      <c r="S7" s="3">
        <v>80478.64</v>
      </c>
    </row>
    <row r="8" spans="1:19" outlineLevel="2">
      <c r="A8" t="s">
        <v>157</v>
      </c>
      <c r="B8" t="s">
        <v>158</v>
      </c>
      <c r="C8" t="s">
        <v>31</v>
      </c>
      <c r="D8" t="s">
        <v>32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7240.02</v>
      </c>
      <c r="K8" s="3">
        <v>4206.12</v>
      </c>
      <c r="L8" s="3">
        <v>2674.29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9" outlineLevel="2">
      <c r="A9" t="s">
        <v>157</v>
      </c>
      <c r="B9" t="s">
        <v>158</v>
      </c>
      <c r="C9" t="s">
        <v>33</v>
      </c>
      <c r="D9" t="s">
        <v>34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1668.47</v>
      </c>
      <c r="K9" s="3">
        <v>-168.32</v>
      </c>
      <c r="L9" s="3">
        <v>229.15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9" outlineLevel="2">
      <c r="A10" t="s">
        <v>157</v>
      </c>
      <c r="B10" t="s">
        <v>158</v>
      </c>
      <c r="C10" t="s">
        <v>131</v>
      </c>
      <c r="D10" t="s">
        <v>132</v>
      </c>
      <c r="E10" s="3">
        <v>9297.0399999999991</v>
      </c>
      <c r="F10" s="3">
        <v>12626.390000000001</v>
      </c>
      <c r="G10" s="3">
        <v>8641.2199999999993</v>
      </c>
      <c r="H10" s="3">
        <v>16704.789999999997</v>
      </c>
      <c r="I10" s="3">
        <v>11228.71</v>
      </c>
      <c r="J10" s="3">
        <v>3429.9400000000005</v>
      </c>
      <c r="K10" s="3">
        <v>10191.52</v>
      </c>
      <c r="L10" s="3">
        <v>11982.52</v>
      </c>
      <c r="M10" s="3">
        <v>15663.52</v>
      </c>
      <c r="N10" s="3">
        <v>13615.5</v>
      </c>
      <c r="O10" s="3">
        <v>8547.17</v>
      </c>
      <c r="P10" s="3">
        <v>11384.279999999999</v>
      </c>
      <c r="Q10" s="3">
        <v>14488.12</v>
      </c>
      <c r="R10" s="3">
        <v>17704.149999999998</v>
      </c>
      <c r="S10" s="3">
        <v>9850.44</v>
      </c>
    </row>
    <row r="11" spans="1:19" outlineLevel="2">
      <c r="A11" t="s">
        <v>157</v>
      </c>
      <c r="B11" t="s">
        <v>158</v>
      </c>
      <c r="C11" t="s">
        <v>37</v>
      </c>
      <c r="D11" t="s">
        <v>38</v>
      </c>
      <c r="E11" s="3">
        <v>6830.8899999999994</v>
      </c>
      <c r="F11" s="3">
        <v>6169.82</v>
      </c>
      <c r="G11" s="3">
        <v>9537.98</v>
      </c>
      <c r="H11" s="3">
        <v>6610.5199999999995</v>
      </c>
      <c r="I11" s="3">
        <v>6830.8799999999992</v>
      </c>
      <c r="J11" s="3">
        <v>6610.52</v>
      </c>
      <c r="K11" s="3">
        <v>7439.66</v>
      </c>
      <c r="L11" s="3">
        <v>7738.28</v>
      </c>
      <c r="M11" s="3">
        <v>10954.6</v>
      </c>
      <c r="N11" s="3">
        <v>8047.85</v>
      </c>
      <c r="O11" s="3">
        <v>7788.2300000000005</v>
      </c>
      <c r="P11" s="3">
        <v>6839.7</v>
      </c>
      <c r="Q11" s="3">
        <v>8047.8400000000011</v>
      </c>
      <c r="R11" s="3">
        <v>7269.02</v>
      </c>
      <c r="S11" s="3">
        <v>23347.53</v>
      </c>
    </row>
    <row r="12" spans="1:19" outlineLevel="2">
      <c r="A12" t="s">
        <v>157</v>
      </c>
      <c r="B12" t="s">
        <v>158</v>
      </c>
      <c r="C12" t="s">
        <v>39</v>
      </c>
      <c r="D12" t="s">
        <v>40</v>
      </c>
      <c r="E12" s="3">
        <v>0</v>
      </c>
      <c r="F12" s="3">
        <v>13596</v>
      </c>
      <c r="G12" s="3">
        <v>-13596.000000000004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8763.16</v>
      </c>
      <c r="R12" s="3">
        <v>8566.77</v>
      </c>
      <c r="S12" s="3">
        <v>8664.9599999999919</v>
      </c>
    </row>
    <row r="13" spans="1:19" outlineLevel="2">
      <c r="A13" t="s">
        <v>157</v>
      </c>
      <c r="B13" t="s">
        <v>158</v>
      </c>
      <c r="C13" t="s">
        <v>41</v>
      </c>
      <c r="D13" t="s">
        <v>42</v>
      </c>
      <c r="E13" s="3">
        <v>4972.3799999999992</v>
      </c>
      <c r="F13" s="3">
        <v>4477.92</v>
      </c>
      <c r="G13" s="3">
        <v>7028.58</v>
      </c>
      <c r="H13" s="3">
        <v>4797.75</v>
      </c>
      <c r="I13" s="3">
        <v>4957.6900000000005</v>
      </c>
      <c r="J13" s="3">
        <v>6806.7</v>
      </c>
      <c r="K13" s="3">
        <v>5427.1900000000005</v>
      </c>
      <c r="L13" s="3">
        <v>5739.04</v>
      </c>
      <c r="M13" s="3">
        <v>5801.27</v>
      </c>
      <c r="N13" s="3">
        <v>5853.01</v>
      </c>
      <c r="O13" s="3">
        <v>5664.2</v>
      </c>
      <c r="P13" s="3">
        <v>5165.1800000000012</v>
      </c>
      <c r="Q13" s="3">
        <v>5905.88</v>
      </c>
      <c r="R13" s="3">
        <v>5249.51</v>
      </c>
      <c r="S13" s="3">
        <v>17516.240000000002</v>
      </c>
    </row>
    <row r="14" spans="1:19" outlineLevel="2">
      <c r="A14" t="s">
        <v>157</v>
      </c>
      <c r="B14" t="s">
        <v>158</v>
      </c>
      <c r="C14" t="s">
        <v>43</v>
      </c>
      <c r="D14" t="s">
        <v>44</v>
      </c>
      <c r="E14" s="3">
        <v>346.5</v>
      </c>
      <c r="F14" s="3">
        <v>0</v>
      </c>
      <c r="G14" s="3">
        <v>0</v>
      </c>
      <c r="H14" s="3">
        <v>0</v>
      </c>
      <c r="I14" s="3">
        <v>-10.5</v>
      </c>
      <c r="J14" s="3">
        <v>39.53</v>
      </c>
      <c r="K14" s="3">
        <v>16.47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392</v>
      </c>
    </row>
    <row r="15" spans="1:19" outlineLevel="2">
      <c r="A15" t="s">
        <v>157</v>
      </c>
      <c r="B15" t="s">
        <v>158</v>
      </c>
      <c r="C15" t="s">
        <v>133</v>
      </c>
      <c r="D15" t="s">
        <v>134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1507.5</v>
      </c>
      <c r="M15" s="3">
        <v>0</v>
      </c>
      <c r="N15" s="3">
        <v>1900</v>
      </c>
      <c r="O15" s="3">
        <v>0</v>
      </c>
      <c r="P15" s="3">
        <v>0</v>
      </c>
      <c r="Q15" s="3">
        <v>0</v>
      </c>
    </row>
    <row r="16" spans="1:19" outlineLevel="2">
      <c r="A16" t="s">
        <v>157</v>
      </c>
      <c r="B16" t="s">
        <v>158</v>
      </c>
      <c r="C16" t="s">
        <v>45</v>
      </c>
      <c r="D16" t="s">
        <v>46</v>
      </c>
      <c r="E16" s="3">
        <v>0</v>
      </c>
      <c r="F16" s="3">
        <v>98.78</v>
      </c>
      <c r="G16" s="3">
        <v>0</v>
      </c>
      <c r="H16" s="3">
        <v>0</v>
      </c>
      <c r="I16" s="3">
        <v>197.81</v>
      </c>
      <c r="J16" s="3">
        <v>185.72</v>
      </c>
      <c r="K16" s="3">
        <v>0</v>
      </c>
      <c r="L16" s="3">
        <v>0</v>
      </c>
      <c r="M16" s="3">
        <v>503.86000000000007</v>
      </c>
      <c r="N16" s="3">
        <v>620.05999999999983</v>
      </c>
      <c r="O16" s="3">
        <v>474.53999999999996</v>
      </c>
      <c r="P16" s="3">
        <v>0</v>
      </c>
      <c r="Q16" s="3">
        <v>0</v>
      </c>
      <c r="S16" s="3">
        <v>-164.92000000000002</v>
      </c>
    </row>
    <row r="17" spans="1:19" outlineLevel="2">
      <c r="A17" t="s">
        <v>157</v>
      </c>
      <c r="B17" t="s">
        <v>158</v>
      </c>
      <c r="C17" t="s">
        <v>47</v>
      </c>
      <c r="D17" t="s">
        <v>48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68.429999999999993</v>
      </c>
      <c r="N17" s="3">
        <v>0</v>
      </c>
      <c r="O17" s="3">
        <v>0</v>
      </c>
      <c r="P17" s="3">
        <v>0</v>
      </c>
      <c r="Q17" s="3">
        <v>0</v>
      </c>
    </row>
    <row r="18" spans="1:19" outlineLevel="2">
      <c r="A18" t="s">
        <v>157</v>
      </c>
      <c r="B18" t="s">
        <v>158</v>
      </c>
      <c r="C18" t="s">
        <v>135</v>
      </c>
      <c r="D18" t="s">
        <v>136</v>
      </c>
      <c r="E18" s="3">
        <v>0</v>
      </c>
      <c r="F18" s="3">
        <v>4000</v>
      </c>
      <c r="G18" s="3">
        <v>2659.3199999999997</v>
      </c>
      <c r="H18" s="3">
        <v>2816.98</v>
      </c>
      <c r="I18" s="3">
        <v>2000</v>
      </c>
      <c r="J18" s="3">
        <v>3513.17</v>
      </c>
      <c r="K18" s="3">
        <v>2000</v>
      </c>
      <c r="L18" s="3">
        <v>2000</v>
      </c>
      <c r="M18" s="3">
        <v>-350.19000000000051</v>
      </c>
      <c r="N18" s="3">
        <v>2000</v>
      </c>
      <c r="O18" s="3">
        <v>2000</v>
      </c>
      <c r="P18" s="3">
        <v>-3455.260000000002</v>
      </c>
      <c r="Q18" s="3">
        <v>2666.67</v>
      </c>
      <c r="R18" s="3">
        <v>2666.67</v>
      </c>
      <c r="S18" s="3">
        <v>-4780.8900000000003</v>
      </c>
    </row>
    <row r="19" spans="1:19" outlineLevel="2">
      <c r="A19" t="s">
        <v>157</v>
      </c>
      <c r="B19" t="s">
        <v>158</v>
      </c>
      <c r="C19" t="s">
        <v>137</v>
      </c>
      <c r="D19" t="s">
        <v>138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4056.83</v>
      </c>
      <c r="N19" s="3">
        <v>0</v>
      </c>
      <c r="O19" s="3">
        <v>0</v>
      </c>
      <c r="P19" s="3">
        <v>1595.88</v>
      </c>
      <c r="Q19" s="3">
        <v>0</v>
      </c>
      <c r="S19" s="3">
        <v>3416.45</v>
      </c>
    </row>
    <row r="20" spans="1:19" outlineLevel="2">
      <c r="A20" t="s">
        <v>157</v>
      </c>
      <c r="B20" t="s">
        <v>158</v>
      </c>
      <c r="C20" t="s">
        <v>55</v>
      </c>
      <c r="D20" t="s">
        <v>56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1:19" outlineLevel="2">
      <c r="A21" t="s">
        <v>157</v>
      </c>
      <c r="B21" t="s">
        <v>158</v>
      </c>
      <c r="C21" t="s">
        <v>57</v>
      </c>
      <c r="D21" t="s">
        <v>58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-382.62</v>
      </c>
      <c r="L21" s="3">
        <v>9830.64</v>
      </c>
      <c r="M21" s="3">
        <v>4809.12</v>
      </c>
      <c r="N21" s="3">
        <v>8176.11</v>
      </c>
      <c r="O21" s="3">
        <v>1329.2400000000002</v>
      </c>
      <c r="P21" s="3">
        <v>7984.5</v>
      </c>
      <c r="Q21" s="3">
        <v>0</v>
      </c>
    </row>
    <row r="22" spans="1:19" outlineLevel="2">
      <c r="A22" t="s">
        <v>157</v>
      </c>
      <c r="B22" t="s">
        <v>158</v>
      </c>
      <c r="C22" t="s">
        <v>59</v>
      </c>
      <c r="D22" t="s">
        <v>60</v>
      </c>
      <c r="E22" s="3">
        <v>0</v>
      </c>
      <c r="F22" s="3">
        <v>0</v>
      </c>
      <c r="G22" s="3">
        <v>3794.91</v>
      </c>
      <c r="H22" s="3">
        <v>0</v>
      </c>
      <c r="I22" s="3">
        <v>3487</v>
      </c>
      <c r="J22" s="3">
        <v>307.90999999999985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14221.26</v>
      </c>
      <c r="Q22" s="3">
        <v>0</v>
      </c>
      <c r="R22" s="3">
        <v>3794.91</v>
      </c>
    </row>
    <row r="23" spans="1:19" outlineLevel="2">
      <c r="A23" t="s">
        <v>157</v>
      </c>
      <c r="B23" t="s">
        <v>158</v>
      </c>
      <c r="C23" t="s">
        <v>61</v>
      </c>
      <c r="D23" t="s">
        <v>62</v>
      </c>
      <c r="E23" s="3">
        <v>420</v>
      </c>
      <c r="F23" s="3">
        <v>280</v>
      </c>
      <c r="G23" s="3">
        <v>280</v>
      </c>
      <c r="H23" s="3">
        <v>280</v>
      </c>
      <c r="I23" s="3">
        <v>280</v>
      </c>
      <c r="J23" s="3">
        <v>280</v>
      </c>
      <c r="K23" s="3">
        <v>280</v>
      </c>
      <c r="L23" s="3">
        <v>420</v>
      </c>
      <c r="M23" s="3">
        <v>280</v>
      </c>
      <c r="N23" s="3">
        <v>280</v>
      </c>
      <c r="O23" s="3">
        <v>280</v>
      </c>
      <c r="P23" s="3">
        <v>280</v>
      </c>
      <c r="Q23" s="3">
        <v>455</v>
      </c>
      <c r="R23" s="3">
        <v>350</v>
      </c>
      <c r="S23" s="3">
        <v>350</v>
      </c>
    </row>
    <row r="24" spans="1:19" outlineLevel="2">
      <c r="A24" t="s">
        <v>157</v>
      </c>
      <c r="B24" t="s">
        <v>158</v>
      </c>
      <c r="C24" t="s">
        <v>69</v>
      </c>
      <c r="D24" t="s">
        <v>70</v>
      </c>
      <c r="E24" s="3">
        <v>0</v>
      </c>
      <c r="F24" s="3">
        <v>243.76</v>
      </c>
      <c r="G24" s="3">
        <v>677.41000000000008</v>
      </c>
      <c r="H24" s="3">
        <v>212.91</v>
      </c>
      <c r="I24" s="3">
        <v>51.05</v>
      </c>
      <c r="J24" s="3">
        <v>177.17000000000002</v>
      </c>
      <c r="K24" s="3">
        <v>117779.87999999999</v>
      </c>
      <c r="L24" s="3">
        <v>1896.27</v>
      </c>
      <c r="M24" s="3">
        <v>6471.2399999999989</v>
      </c>
      <c r="N24" s="3">
        <v>51909.66</v>
      </c>
      <c r="O24" s="3">
        <v>-15409.03</v>
      </c>
      <c r="P24" s="3">
        <v>24475.679999999997</v>
      </c>
      <c r="Q24" s="3">
        <v>0</v>
      </c>
      <c r="R24" s="3">
        <v>1303.1599999999999</v>
      </c>
      <c r="S24" s="3">
        <v>40.81</v>
      </c>
    </row>
    <row r="25" spans="1:19" outlineLevel="2">
      <c r="A25" t="s">
        <v>157</v>
      </c>
      <c r="B25" t="s">
        <v>158</v>
      </c>
      <c r="C25" t="s">
        <v>77</v>
      </c>
      <c r="D25" t="s">
        <v>78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-441027.51</v>
      </c>
      <c r="P25" s="3">
        <v>441027.51</v>
      </c>
      <c r="Q25" s="3">
        <v>0</v>
      </c>
      <c r="S25" s="3">
        <v>0</v>
      </c>
    </row>
    <row r="26" spans="1:19" outlineLevel="2">
      <c r="A26" t="s">
        <v>157</v>
      </c>
      <c r="B26" t="s">
        <v>158</v>
      </c>
      <c r="C26" t="s">
        <v>81</v>
      </c>
      <c r="D26" t="s">
        <v>82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18982.87</v>
      </c>
      <c r="M26" s="3">
        <v>0</v>
      </c>
      <c r="N26" s="3">
        <v>-1234.8699999999999</v>
      </c>
      <c r="O26" s="3">
        <v>-119342.39</v>
      </c>
      <c r="P26" s="3">
        <v>119342.39</v>
      </c>
      <c r="Q26" s="3">
        <v>0</v>
      </c>
      <c r="R26" s="3">
        <v>0</v>
      </c>
    </row>
    <row r="27" spans="1:19" outlineLevel="2">
      <c r="A27" t="s">
        <v>157</v>
      </c>
      <c r="B27" t="s">
        <v>158</v>
      </c>
      <c r="C27" t="s">
        <v>87</v>
      </c>
      <c r="D27" t="s">
        <v>88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1009.56</v>
      </c>
      <c r="M27" s="3">
        <v>0</v>
      </c>
      <c r="N27" s="3">
        <v>0</v>
      </c>
      <c r="O27" s="3">
        <v>12013.13</v>
      </c>
      <c r="P27" s="3">
        <v>-778.6699999999995</v>
      </c>
      <c r="Q27" s="3">
        <v>0</v>
      </c>
    </row>
    <row r="28" spans="1:19" outlineLevel="2">
      <c r="A28" t="s">
        <v>157</v>
      </c>
      <c r="B28" t="s">
        <v>158</v>
      </c>
      <c r="C28" t="s">
        <v>97</v>
      </c>
      <c r="D28" t="s">
        <v>98</v>
      </c>
      <c r="E28" s="3">
        <v>0</v>
      </c>
      <c r="F28" s="3">
        <v>718.7</v>
      </c>
      <c r="G28" s="3">
        <v>593.70999999999958</v>
      </c>
      <c r="H28" s="3">
        <v>592.62000000000012</v>
      </c>
      <c r="I28" s="3">
        <v>308.02</v>
      </c>
      <c r="J28" s="3">
        <v>840.61000000000013</v>
      </c>
      <c r="K28" s="3">
        <v>1186.42</v>
      </c>
      <c r="L28" s="3">
        <v>1669.7099999999998</v>
      </c>
      <c r="M28" s="3">
        <v>1207.46</v>
      </c>
      <c r="N28" s="3">
        <v>1264.7900000000002</v>
      </c>
      <c r="O28" s="3">
        <v>809.89999999999986</v>
      </c>
      <c r="P28" s="3">
        <v>1406.6200000000001</v>
      </c>
      <c r="Q28" s="3">
        <v>1295.3700000000001</v>
      </c>
      <c r="R28" s="3">
        <v>2395.85</v>
      </c>
      <c r="S28" s="3">
        <v>1461.6700000000003</v>
      </c>
    </row>
    <row r="29" spans="1:19" outlineLevel="2">
      <c r="A29" t="s">
        <v>157</v>
      </c>
      <c r="B29" t="s">
        <v>158</v>
      </c>
      <c r="C29" t="s">
        <v>99</v>
      </c>
      <c r="D29" t="s">
        <v>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135.63</v>
      </c>
      <c r="N29" s="3">
        <v>2617.66</v>
      </c>
      <c r="O29" s="3">
        <v>0</v>
      </c>
      <c r="P29" s="3">
        <v>0</v>
      </c>
      <c r="Q29" s="3">
        <v>0</v>
      </c>
    </row>
    <row r="30" spans="1:19" outlineLevel="2">
      <c r="A30" t="s">
        <v>157</v>
      </c>
      <c r="B30" t="s">
        <v>158</v>
      </c>
      <c r="C30" t="s">
        <v>107</v>
      </c>
      <c r="D30" t="s">
        <v>108</v>
      </c>
      <c r="E30" s="3">
        <v>77.87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1:19" outlineLevel="2">
      <c r="A31" t="s">
        <v>157</v>
      </c>
      <c r="B31" t="s">
        <v>158</v>
      </c>
      <c r="C31" t="s">
        <v>141</v>
      </c>
      <c r="D31" t="s">
        <v>142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935</v>
      </c>
      <c r="O31" s="3">
        <v>0</v>
      </c>
      <c r="P31" s="3">
        <v>0</v>
      </c>
      <c r="Q31" s="3">
        <v>0</v>
      </c>
    </row>
    <row r="32" spans="1:19" outlineLevel="2">
      <c r="A32" t="s">
        <v>157</v>
      </c>
      <c r="B32" t="s">
        <v>158</v>
      </c>
      <c r="C32" t="s">
        <v>109</v>
      </c>
      <c r="D32" t="s">
        <v>110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41695.33</v>
      </c>
      <c r="K32" s="3">
        <v>0</v>
      </c>
      <c r="L32" s="3">
        <v>0</v>
      </c>
      <c r="M32" s="3">
        <v>17500</v>
      </c>
      <c r="N32" s="3">
        <v>0</v>
      </c>
      <c r="O32" s="3">
        <v>0</v>
      </c>
      <c r="P32" s="3">
        <v>17500</v>
      </c>
      <c r="Q32" s="3">
        <v>0</v>
      </c>
      <c r="R32" s="3">
        <v>45500</v>
      </c>
      <c r="S32" s="3">
        <v>45500</v>
      </c>
    </row>
    <row r="33" spans="1:19" outlineLevel="2">
      <c r="A33" t="s">
        <v>157</v>
      </c>
      <c r="B33" t="s">
        <v>158</v>
      </c>
      <c r="C33" t="s">
        <v>111</v>
      </c>
      <c r="D33" t="s">
        <v>112</v>
      </c>
      <c r="E33" s="3">
        <v>93137.160000000018</v>
      </c>
      <c r="F33" s="3">
        <v>14873.100000000011</v>
      </c>
      <c r="G33" s="3">
        <v>21079.94</v>
      </c>
      <c r="H33" s="3">
        <v>16599.980000000007</v>
      </c>
      <c r="I33" s="3">
        <v>9719.5599999999868</v>
      </c>
      <c r="J33" s="3">
        <v>375810.60000000015</v>
      </c>
      <c r="K33" s="3">
        <v>54030.76999999999</v>
      </c>
      <c r="L33" s="3">
        <v>92251.799999999988</v>
      </c>
      <c r="M33" s="3">
        <v>81528.45</v>
      </c>
      <c r="N33" s="3">
        <v>427215.6</v>
      </c>
      <c r="O33" s="3">
        <v>-144900.83999999985</v>
      </c>
      <c r="P33" s="3">
        <v>482746.89000000013</v>
      </c>
      <c r="Q33" s="3">
        <v>194986.06</v>
      </c>
      <c r="R33" s="3">
        <v>331876.00000000006</v>
      </c>
      <c r="S33" s="3">
        <v>30146.069999999992</v>
      </c>
    </row>
    <row r="34" spans="1:19" outlineLevel="2">
      <c r="A34" t="s">
        <v>157</v>
      </c>
      <c r="B34" t="s">
        <v>158</v>
      </c>
      <c r="C34" t="s">
        <v>113</v>
      </c>
      <c r="D34" t="s">
        <v>114</v>
      </c>
      <c r="E34" s="3">
        <v>453939.65</v>
      </c>
      <c r="F34" s="3">
        <v>158778.67000000004</v>
      </c>
      <c r="G34" s="3">
        <v>225586.57999999996</v>
      </c>
      <c r="H34" s="3">
        <v>195616.24999999983</v>
      </c>
      <c r="I34" s="3">
        <v>224441.61</v>
      </c>
      <c r="J34" s="3">
        <v>197781.53</v>
      </c>
      <c r="K34" s="3">
        <v>335412.48999999993</v>
      </c>
      <c r="L34" s="3">
        <v>282907.05</v>
      </c>
      <c r="M34" s="3">
        <v>268659.38</v>
      </c>
      <c r="N34" s="3">
        <v>293691.78000000003</v>
      </c>
      <c r="O34" s="3">
        <v>43348.419999999991</v>
      </c>
      <c r="P34" s="3">
        <v>148699.22999999998</v>
      </c>
      <c r="Q34" s="3">
        <v>56782.49</v>
      </c>
      <c r="R34" s="3">
        <v>77246.120000000024</v>
      </c>
      <c r="S34" s="3">
        <v>62295.439999999988</v>
      </c>
    </row>
    <row r="35" spans="1:19" outlineLevel="2">
      <c r="A35" t="s">
        <v>157</v>
      </c>
      <c r="B35" t="s">
        <v>158</v>
      </c>
      <c r="C35" t="s">
        <v>115</v>
      </c>
      <c r="D35" t="s">
        <v>116</v>
      </c>
      <c r="E35" s="3">
        <v>202402.59999999998</v>
      </c>
      <c r="F35" s="3">
        <v>87948.650000000009</v>
      </c>
      <c r="G35" s="3">
        <v>139058.29999999993</v>
      </c>
      <c r="H35" s="3">
        <v>85136.829999999987</v>
      </c>
      <c r="I35" s="3">
        <v>88460.709999999992</v>
      </c>
      <c r="J35" s="3">
        <v>72660.920000000027</v>
      </c>
      <c r="K35" s="3">
        <v>312581.7</v>
      </c>
      <c r="L35" s="3">
        <v>15927.41</v>
      </c>
      <c r="M35" s="3">
        <v>192424.86</v>
      </c>
      <c r="N35" s="3">
        <v>47443.040000000008</v>
      </c>
      <c r="O35" s="3">
        <v>105816.76999999999</v>
      </c>
      <c r="P35" s="3">
        <v>120130.05999999998</v>
      </c>
      <c r="Q35" s="3">
        <v>7557.1099999999988</v>
      </c>
      <c r="R35" s="3">
        <v>79716.079999999987</v>
      </c>
      <c r="S35" s="3">
        <v>-94441.5</v>
      </c>
    </row>
    <row r="36" spans="1:19" outlineLevel="2">
      <c r="A36" t="s">
        <v>157</v>
      </c>
      <c r="B36" t="s">
        <v>158</v>
      </c>
      <c r="C36" t="s">
        <v>122</v>
      </c>
      <c r="D36" t="s">
        <v>123</v>
      </c>
      <c r="E36" s="3">
        <v>0</v>
      </c>
      <c r="F36" s="3">
        <v>0</v>
      </c>
      <c r="G36" s="3">
        <v>31593.75</v>
      </c>
      <c r="H36" s="3">
        <v>12000</v>
      </c>
      <c r="I36" s="3">
        <v>0</v>
      </c>
      <c r="J36" s="3">
        <v>21062.5</v>
      </c>
      <c r="K36" s="3">
        <v>0</v>
      </c>
      <c r="L36" s="3">
        <v>9656.25</v>
      </c>
      <c r="M36" s="3">
        <v>10562.5</v>
      </c>
      <c r="N36" s="3">
        <v>11562.5</v>
      </c>
      <c r="O36" s="3">
        <v>12125</v>
      </c>
      <c r="P36" s="3">
        <v>8812.5</v>
      </c>
      <c r="Q36" s="3">
        <v>0</v>
      </c>
    </row>
    <row r="37" spans="1:19" outlineLevel="2">
      <c r="A37" t="s">
        <v>157</v>
      </c>
      <c r="B37" t="s">
        <v>158</v>
      </c>
      <c r="C37" t="s">
        <v>126</v>
      </c>
      <c r="D37" t="s">
        <v>121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412</v>
      </c>
      <c r="N37" s="3">
        <v>0</v>
      </c>
      <c r="O37" s="3">
        <v>818.04</v>
      </c>
      <c r="P37" s="3">
        <v>314.85000000000002</v>
      </c>
      <c r="Q37" s="3">
        <v>0</v>
      </c>
      <c r="R37" s="3">
        <v>525.16999999999996</v>
      </c>
      <c r="S37" s="3">
        <v>258.88</v>
      </c>
    </row>
    <row r="38" spans="1:19" outlineLevel="2">
      <c r="A38" t="s">
        <v>157</v>
      </c>
      <c r="B38" t="s">
        <v>158</v>
      </c>
      <c r="C38" t="s">
        <v>129</v>
      </c>
      <c r="D38" t="s">
        <v>130</v>
      </c>
      <c r="E38" s="3">
        <v>0</v>
      </c>
      <c r="F38" s="3">
        <v>940</v>
      </c>
      <c r="G38" s="3">
        <v>705</v>
      </c>
      <c r="H38" s="3">
        <v>11280</v>
      </c>
      <c r="I38" s="3">
        <v>493.5</v>
      </c>
      <c r="J38" s="3">
        <v>493.5</v>
      </c>
      <c r="K38" s="3">
        <v>493.5</v>
      </c>
      <c r="L38" s="3">
        <v>399.5</v>
      </c>
      <c r="M38" s="3">
        <v>0</v>
      </c>
      <c r="N38" s="3">
        <v>4183</v>
      </c>
      <c r="O38" s="3">
        <v>5828</v>
      </c>
      <c r="P38" s="3">
        <v>0</v>
      </c>
      <c r="Q38" s="3">
        <v>1715.5</v>
      </c>
      <c r="R38" s="3">
        <v>611</v>
      </c>
      <c r="S38" s="3">
        <v>2608.5</v>
      </c>
    </row>
    <row r="39" spans="1:19" s="5" customFormat="1" outlineLevel="1">
      <c r="A39" s="4" t="s">
        <v>159</v>
      </c>
      <c r="E39" s="6">
        <f>SUBTOTAL(9,E2:E38)</f>
        <v>840988.28</v>
      </c>
      <c r="F39" s="6">
        <f>SUBTOTAL(9,F2:F38)</f>
        <v>367059.00000000006</v>
      </c>
      <c r="G39" s="6">
        <f>SUBTOTAL(9,G2:G38)</f>
        <v>506474.3899999999</v>
      </c>
      <c r="H39" s="6"/>
      <c r="I39" s="6"/>
      <c r="J39" s="6"/>
      <c r="K39" s="6"/>
      <c r="L39" s="6"/>
      <c r="M39" s="6"/>
      <c r="N39" s="6"/>
      <c r="O39" s="6"/>
      <c r="P39" s="6"/>
      <c r="Q39" s="6">
        <f>SUBTOTAL(9,Q2:Q38)</f>
        <v>383533.81999999995</v>
      </c>
      <c r="R39" s="6">
        <f>SUBTOTAL(9,R2:R38)</f>
        <v>658002.83000000007</v>
      </c>
      <c r="S39" s="6">
        <f>SUBTOTAL(9,S2:S38)</f>
        <v>186930.05</v>
      </c>
    </row>
    <row r="40" spans="1:19" outlineLevel="2">
      <c r="A40" t="s">
        <v>162</v>
      </c>
      <c r="B40" t="s">
        <v>163</v>
      </c>
      <c r="C40" t="s">
        <v>19</v>
      </c>
      <c r="D40" t="s">
        <v>20</v>
      </c>
      <c r="E40" s="3">
        <v>0</v>
      </c>
      <c r="F40" s="3">
        <v>6026.9000000000005</v>
      </c>
      <c r="G40" s="3">
        <v>0</v>
      </c>
      <c r="H40" s="3">
        <v>12115.59</v>
      </c>
      <c r="I40" s="3">
        <v>0</v>
      </c>
      <c r="J40" s="3">
        <v>0</v>
      </c>
      <c r="K40" s="3">
        <v>0</v>
      </c>
      <c r="L40" s="3">
        <v>3641.89</v>
      </c>
      <c r="M40" s="3">
        <v>0</v>
      </c>
      <c r="N40" s="3">
        <v>2.2737367544323206E-13</v>
      </c>
      <c r="O40" s="3">
        <v>0</v>
      </c>
      <c r="P40" s="3">
        <v>0</v>
      </c>
      <c r="Q40" s="3">
        <v>0</v>
      </c>
    </row>
    <row r="41" spans="1:19" outlineLevel="2">
      <c r="A41" t="s">
        <v>162</v>
      </c>
      <c r="B41" t="s">
        <v>163</v>
      </c>
      <c r="C41" t="s">
        <v>23</v>
      </c>
      <c r="D41" t="s">
        <v>24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501.66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4615.6900000000005</v>
      </c>
    </row>
    <row r="42" spans="1:19" outlineLevel="2">
      <c r="A42" t="s">
        <v>162</v>
      </c>
      <c r="B42" t="s">
        <v>163</v>
      </c>
      <c r="C42" t="s">
        <v>29</v>
      </c>
      <c r="D42" t="s">
        <v>30</v>
      </c>
      <c r="E42" s="3">
        <v>114635.86</v>
      </c>
      <c r="F42" s="3">
        <v>117146.14</v>
      </c>
      <c r="G42" s="3">
        <v>129697.51</v>
      </c>
      <c r="H42" s="3">
        <v>126067.55</v>
      </c>
      <c r="I42" s="3">
        <v>130412.9</v>
      </c>
      <c r="J42" s="3">
        <v>17118.179999999978</v>
      </c>
      <c r="K42" s="3">
        <v>133270.19</v>
      </c>
      <c r="L42" s="3">
        <v>133270.15</v>
      </c>
      <c r="M42" s="3">
        <v>128971.09</v>
      </c>
      <c r="N42" s="3">
        <v>133270.17000000001</v>
      </c>
      <c r="O42" s="3">
        <v>128971.1</v>
      </c>
      <c r="P42" s="3">
        <v>130892.89</v>
      </c>
      <c r="Q42" s="3">
        <v>116236.93</v>
      </c>
      <c r="R42" s="3">
        <v>108892.83</v>
      </c>
      <c r="S42" s="3">
        <v>124574.83</v>
      </c>
    </row>
    <row r="43" spans="1:19" outlineLevel="2">
      <c r="A43" t="s">
        <v>162</v>
      </c>
      <c r="B43" t="s">
        <v>163</v>
      </c>
      <c r="C43" t="s">
        <v>31</v>
      </c>
      <c r="D43" t="s">
        <v>32</v>
      </c>
      <c r="E43" s="3">
        <v>96720.77</v>
      </c>
      <c r="F43" s="3">
        <v>87973.04</v>
      </c>
      <c r="G43" s="3">
        <v>98886.84</v>
      </c>
      <c r="H43" s="3">
        <v>113992.73</v>
      </c>
      <c r="I43" s="3">
        <v>98274.83</v>
      </c>
      <c r="J43" s="3">
        <v>107308.01</v>
      </c>
      <c r="K43" s="3">
        <v>111383.93</v>
      </c>
      <c r="L43" s="3">
        <v>74349.539999999994</v>
      </c>
      <c r="M43" s="3">
        <v>94363.48</v>
      </c>
      <c r="N43" s="3">
        <v>91940.12</v>
      </c>
      <c r="O43" s="3">
        <v>93472.23</v>
      </c>
      <c r="P43" s="3">
        <v>129517.73</v>
      </c>
      <c r="Q43" s="3">
        <v>90746.63</v>
      </c>
      <c r="R43" s="3">
        <v>77919.240000000005</v>
      </c>
      <c r="S43" s="3">
        <v>86456.42</v>
      </c>
    </row>
    <row r="44" spans="1:19" outlineLevel="2">
      <c r="A44" t="s">
        <v>162</v>
      </c>
      <c r="B44" t="s">
        <v>163</v>
      </c>
      <c r="C44" t="s">
        <v>33</v>
      </c>
      <c r="D44" t="s">
        <v>34</v>
      </c>
      <c r="E44" s="3">
        <v>39301.11</v>
      </c>
      <c r="F44" s="3">
        <v>19793.59</v>
      </c>
      <c r="G44" s="3">
        <v>24297.97</v>
      </c>
      <c r="H44" s="3">
        <v>34201.410000000003</v>
      </c>
      <c r="I44" s="3">
        <v>41894.379999999997</v>
      </c>
      <c r="J44" s="3">
        <v>24277.61</v>
      </c>
      <c r="K44" s="3">
        <v>32668.13</v>
      </c>
      <c r="L44" s="3">
        <v>28300.32</v>
      </c>
      <c r="M44" s="3">
        <v>24654.87</v>
      </c>
      <c r="N44" s="3">
        <v>19814.52</v>
      </c>
      <c r="O44" s="3">
        <v>54082.79</v>
      </c>
      <c r="P44" s="3">
        <v>12431.62</v>
      </c>
      <c r="Q44" s="3">
        <v>35845.47</v>
      </c>
      <c r="R44" s="3">
        <v>40459.550000000003</v>
      </c>
      <c r="S44" s="3">
        <v>48194.239999999998</v>
      </c>
    </row>
    <row r="45" spans="1:19" outlineLevel="2">
      <c r="A45" t="s">
        <v>162</v>
      </c>
      <c r="B45" t="s">
        <v>163</v>
      </c>
      <c r="C45" t="s">
        <v>35</v>
      </c>
      <c r="D45" t="s">
        <v>36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-235</v>
      </c>
      <c r="Q45" s="3">
        <v>-3132</v>
      </c>
      <c r="R45" s="3">
        <v>-1645</v>
      </c>
      <c r="S45" s="3">
        <v>-3457</v>
      </c>
    </row>
    <row r="46" spans="1:19" outlineLevel="2">
      <c r="A46" t="s">
        <v>162</v>
      </c>
      <c r="B46" t="s">
        <v>163</v>
      </c>
      <c r="C46" t="s">
        <v>131</v>
      </c>
      <c r="D46" t="s">
        <v>132</v>
      </c>
      <c r="E46" s="3">
        <v>27557.340000000004</v>
      </c>
      <c r="F46" s="3">
        <v>17776.739999999998</v>
      </c>
      <c r="G46" s="3">
        <v>20489.380000000005</v>
      </c>
      <c r="H46" s="3">
        <v>25288.22</v>
      </c>
      <c r="I46" s="3">
        <v>28695.66</v>
      </c>
      <c r="J46" s="3">
        <v>12948.789999999995</v>
      </c>
      <c r="K46" s="3">
        <v>20401.47</v>
      </c>
      <c r="L46" s="3">
        <v>27502.7</v>
      </c>
      <c r="M46" s="3">
        <v>26090.41</v>
      </c>
      <c r="N46" s="3">
        <v>27561.47</v>
      </c>
      <c r="O46" s="3">
        <v>15259.800000000001</v>
      </c>
      <c r="P46" s="3">
        <v>22152.260000000002</v>
      </c>
      <c r="Q46" s="3">
        <v>38513.03</v>
      </c>
      <c r="R46" s="3">
        <v>17104.89</v>
      </c>
      <c r="S46" s="3">
        <v>31576.230000000003</v>
      </c>
    </row>
    <row r="47" spans="1:19" outlineLevel="2">
      <c r="A47" t="s">
        <v>162</v>
      </c>
      <c r="B47" t="s">
        <v>163</v>
      </c>
      <c r="C47" t="s">
        <v>37</v>
      </c>
      <c r="D47" t="s">
        <v>38</v>
      </c>
      <c r="E47" s="3">
        <v>9031.36</v>
      </c>
      <c r="F47" s="3">
        <v>19326.77</v>
      </c>
      <c r="G47" s="3">
        <v>20574.71</v>
      </c>
      <c r="H47" s="3">
        <v>21512.3</v>
      </c>
      <c r="I47" s="3">
        <v>22186.79</v>
      </c>
      <c r="J47" s="3">
        <v>21294.97</v>
      </c>
      <c r="K47" s="3">
        <v>23571.78</v>
      </c>
      <c r="L47" s="3">
        <v>21506.959999999999</v>
      </c>
      <c r="M47" s="3">
        <v>20993.96</v>
      </c>
      <c r="N47" s="3">
        <v>21032.68</v>
      </c>
      <c r="O47" s="3">
        <v>23387.57</v>
      </c>
      <c r="P47" s="3">
        <v>23234.33</v>
      </c>
      <c r="Q47" s="3">
        <v>21874.49</v>
      </c>
      <c r="R47" s="3">
        <v>20473.09</v>
      </c>
      <c r="S47" s="3">
        <v>54802.04</v>
      </c>
    </row>
    <row r="48" spans="1:19" outlineLevel="2">
      <c r="A48" t="s">
        <v>162</v>
      </c>
      <c r="B48" t="s">
        <v>163</v>
      </c>
      <c r="C48" t="s">
        <v>151</v>
      </c>
      <c r="D48" t="s">
        <v>152</v>
      </c>
      <c r="E48" s="3">
        <v>1584.6</v>
      </c>
      <c r="F48" s="3">
        <v>1584.6</v>
      </c>
      <c r="G48" s="3">
        <v>4983.96</v>
      </c>
      <c r="H48" s="3">
        <v>2434.4399999999996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8065.83</v>
      </c>
      <c r="R48" s="3">
        <v>2117</v>
      </c>
      <c r="S48" s="3">
        <v>2117</v>
      </c>
    </row>
    <row r="49" spans="1:19" outlineLevel="2">
      <c r="A49" t="s">
        <v>162</v>
      </c>
      <c r="B49" t="s">
        <v>163</v>
      </c>
      <c r="C49" t="s">
        <v>41</v>
      </c>
      <c r="D49" t="s">
        <v>42</v>
      </c>
      <c r="E49" s="3">
        <v>18543.8</v>
      </c>
      <c r="F49" s="3">
        <v>16456.509999999998</v>
      </c>
      <c r="G49" s="3">
        <v>18534.82</v>
      </c>
      <c r="H49" s="3">
        <v>20256.669999999998</v>
      </c>
      <c r="I49" s="3">
        <v>19938.72</v>
      </c>
      <c r="J49" s="3">
        <v>19291.91</v>
      </c>
      <c r="K49" s="3">
        <v>20580.78</v>
      </c>
      <c r="L49" s="3">
        <v>18870.990000000002</v>
      </c>
      <c r="M49" s="3">
        <v>18224.55</v>
      </c>
      <c r="N49" s="3">
        <v>17567.88</v>
      </c>
      <c r="O49" s="3">
        <v>18203.34</v>
      </c>
      <c r="P49" s="3">
        <v>18080.349999999999</v>
      </c>
      <c r="Q49" s="3">
        <v>17852.810000000001</v>
      </c>
      <c r="R49" s="3">
        <v>29983.759999999998</v>
      </c>
      <c r="S49" s="3">
        <v>42720.43</v>
      </c>
    </row>
    <row r="50" spans="1:19" outlineLevel="2">
      <c r="A50" t="s">
        <v>162</v>
      </c>
      <c r="B50" t="s">
        <v>163</v>
      </c>
      <c r="C50" t="s">
        <v>43</v>
      </c>
      <c r="D50" t="s">
        <v>44</v>
      </c>
      <c r="E50" s="3">
        <v>6249.92</v>
      </c>
      <c r="F50" s="3">
        <v>1386.23</v>
      </c>
      <c r="G50" s="3">
        <v>127.2</v>
      </c>
      <c r="H50" s="3">
        <v>258.29000000000002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172.52</v>
      </c>
      <c r="P50" s="3">
        <v>335.56</v>
      </c>
      <c r="Q50" s="3">
        <v>6865.58</v>
      </c>
      <c r="S50" s="3">
        <v>111.23</v>
      </c>
    </row>
    <row r="51" spans="1:19" outlineLevel="2">
      <c r="A51" t="s">
        <v>162</v>
      </c>
      <c r="B51" t="s">
        <v>163</v>
      </c>
      <c r="C51" t="s">
        <v>47</v>
      </c>
      <c r="D51" t="s">
        <v>48</v>
      </c>
      <c r="E51" s="3">
        <v>147.5</v>
      </c>
      <c r="F51" s="3">
        <v>476.29999999999995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172.27</v>
      </c>
      <c r="Q51" s="3">
        <v>0</v>
      </c>
      <c r="R51" s="3">
        <v>1777.1799999999998</v>
      </c>
      <c r="S51" s="3">
        <v>932.39</v>
      </c>
    </row>
    <row r="52" spans="1:19" outlineLevel="2">
      <c r="A52" t="s">
        <v>162</v>
      </c>
      <c r="B52" t="s">
        <v>163</v>
      </c>
      <c r="C52" t="s">
        <v>49</v>
      </c>
      <c r="D52" t="s">
        <v>50</v>
      </c>
      <c r="E52" s="3">
        <v>772812.19</v>
      </c>
      <c r="F52" s="3">
        <v>358423.10000000009</v>
      </c>
      <c r="G52" s="3">
        <v>600722.97000000009</v>
      </c>
      <c r="H52" s="3">
        <v>709708.24999999977</v>
      </c>
      <c r="I52" s="3">
        <v>1120739.1300000022</v>
      </c>
      <c r="J52" s="3">
        <v>1150776.2099999997</v>
      </c>
      <c r="K52" s="3">
        <v>733711.35</v>
      </c>
      <c r="L52" s="3">
        <v>332981.16000000021</v>
      </c>
      <c r="M52" s="3">
        <v>698086.83999999985</v>
      </c>
      <c r="N52" s="3">
        <v>790015.58000000007</v>
      </c>
      <c r="O52" s="3">
        <v>720200.13000000012</v>
      </c>
      <c r="P52" s="3">
        <v>744552.33999999985</v>
      </c>
      <c r="Q52" s="3">
        <v>787027.79999999993</v>
      </c>
      <c r="R52" s="3">
        <v>626657.12999999966</v>
      </c>
      <c r="S52" s="3">
        <v>828678.22999999986</v>
      </c>
    </row>
    <row r="53" spans="1:19" outlineLevel="2">
      <c r="A53" t="s">
        <v>162</v>
      </c>
      <c r="B53" t="s">
        <v>163</v>
      </c>
      <c r="C53" t="s">
        <v>51</v>
      </c>
      <c r="D53" t="s">
        <v>52</v>
      </c>
      <c r="E53" s="3">
        <v>-7587.48</v>
      </c>
      <c r="F53" s="3">
        <v>0</v>
      </c>
      <c r="G53" s="3">
        <v>0</v>
      </c>
      <c r="H53" s="3">
        <v>23399.42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9" outlineLevel="2">
      <c r="A54" t="s">
        <v>162</v>
      </c>
      <c r="B54" t="s">
        <v>163</v>
      </c>
      <c r="C54" t="s">
        <v>149</v>
      </c>
      <c r="D54" t="s">
        <v>150</v>
      </c>
      <c r="E54" s="3">
        <v>0</v>
      </c>
      <c r="F54" s="3">
        <v>0</v>
      </c>
      <c r="G54" s="3">
        <v>0</v>
      </c>
      <c r="H54" s="3">
        <v>0</v>
      </c>
      <c r="I54" s="3">
        <v>-144227.97999999998</v>
      </c>
      <c r="J54" s="3">
        <v>-216893.78</v>
      </c>
      <c r="K54" s="3">
        <v>1000.4</v>
      </c>
      <c r="L54" s="3">
        <v>132.80000000000001</v>
      </c>
      <c r="M54" s="3">
        <v>106.46</v>
      </c>
      <c r="N54" s="3">
        <v>113.63000000000001</v>
      </c>
      <c r="O54" s="3">
        <v>108.13</v>
      </c>
      <c r="P54" s="3">
        <v>115.61</v>
      </c>
      <c r="Q54" s="3">
        <v>115.61</v>
      </c>
      <c r="R54" s="3">
        <v>108.13</v>
      </c>
      <c r="S54" s="3">
        <v>123.09</v>
      </c>
    </row>
    <row r="55" spans="1:19" outlineLevel="2">
      <c r="A55" t="s">
        <v>162</v>
      </c>
      <c r="B55" t="s">
        <v>163</v>
      </c>
      <c r="C55" t="s">
        <v>53</v>
      </c>
      <c r="D55" t="s">
        <v>54</v>
      </c>
      <c r="E55" s="3">
        <v>153725.06</v>
      </c>
      <c r="F55" s="3">
        <v>284429.86</v>
      </c>
      <c r="G55" s="3">
        <v>-267263.64</v>
      </c>
      <c r="H55" s="3">
        <v>133831.20999999996</v>
      </c>
      <c r="I55" s="3">
        <v>106874.58000000002</v>
      </c>
      <c r="J55" s="3">
        <v>72889.559999999983</v>
      </c>
      <c r="K55" s="3">
        <v>202343.36</v>
      </c>
      <c r="L55" s="3">
        <v>155880.74</v>
      </c>
      <c r="M55" s="3">
        <v>211776.06999999998</v>
      </c>
      <c r="N55" s="3">
        <v>105710.00999999998</v>
      </c>
      <c r="O55" s="3">
        <v>163390.51</v>
      </c>
      <c r="P55" s="3">
        <v>162834.90000000002</v>
      </c>
      <c r="Q55" s="3">
        <v>180807.97999999998</v>
      </c>
      <c r="R55" s="3">
        <v>292525.43</v>
      </c>
      <c r="S55" s="3">
        <v>198079.12000000005</v>
      </c>
    </row>
    <row r="56" spans="1:19" outlineLevel="2">
      <c r="A56" t="s">
        <v>162</v>
      </c>
      <c r="B56" t="s">
        <v>163</v>
      </c>
      <c r="C56" t="s">
        <v>55</v>
      </c>
      <c r="D56" t="s">
        <v>56</v>
      </c>
      <c r="E56" s="3">
        <v>31520.969999999998</v>
      </c>
      <c r="F56" s="3">
        <v>33137.33</v>
      </c>
      <c r="G56" s="3">
        <v>-19257.330000000005</v>
      </c>
      <c r="H56" s="3">
        <v>16747.22</v>
      </c>
      <c r="I56" s="3">
        <v>2179.6</v>
      </c>
      <c r="J56" s="3">
        <v>32309.610000000019</v>
      </c>
      <c r="K56" s="3">
        <v>-27807.4</v>
      </c>
      <c r="L56" s="3">
        <v>-68830</v>
      </c>
      <c r="M56" s="3">
        <v>2309.6</v>
      </c>
      <c r="N56" s="3">
        <v>2309.6</v>
      </c>
      <c r="O56" s="3">
        <v>2309.6</v>
      </c>
      <c r="P56" s="3">
        <v>-5190.3799999999992</v>
      </c>
      <c r="Q56" s="3">
        <v>2307.69</v>
      </c>
      <c r="R56" s="3">
        <v>2307.69</v>
      </c>
      <c r="S56" s="3">
        <v>2307.6999999999998</v>
      </c>
    </row>
    <row r="57" spans="1:19" outlineLevel="2">
      <c r="A57" t="s">
        <v>162</v>
      </c>
      <c r="B57" t="s">
        <v>163</v>
      </c>
      <c r="C57" t="s">
        <v>57</v>
      </c>
      <c r="D57" t="s">
        <v>58</v>
      </c>
      <c r="E57" s="3">
        <v>0</v>
      </c>
      <c r="F57" s="3">
        <v>600</v>
      </c>
      <c r="G57" s="3">
        <v>3470.5800000000008</v>
      </c>
      <c r="H57" s="3">
        <v>13985.17</v>
      </c>
      <c r="I57" s="3">
        <v>31306.479999999996</v>
      </c>
      <c r="J57" s="3">
        <v>198542.78</v>
      </c>
      <c r="K57" s="3">
        <v>100077.25</v>
      </c>
      <c r="L57" s="3">
        <v>61668.840000000004</v>
      </c>
      <c r="M57" s="3">
        <v>62569.399999999987</v>
      </c>
      <c r="N57" s="3">
        <v>59499.25</v>
      </c>
      <c r="O57" s="3">
        <v>22973.170000000006</v>
      </c>
      <c r="P57" s="3">
        <v>35504.979999999996</v>
      </c>
      <c r="Q57" s="3">
        <v>82250.810000000012</v>
      </c>
      <c r="R57" s="3">
        <v>119582.28</v>
      </c>
      <c r="S57" s="3">
        <v>32842.600000000013</v>
      </c>
    </row>
    <row r="58" spans="1:19" outlineLevel="2">
      <c r="A58" t="s">
        <v>162</v>
      </c>
      <c r="B58" t="s">
        <v>163</v>
      </c>
      <c r="C58" t="s">
        <v>59</v>
      </c>
      <c r="D58" t="s">
        <v>60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76.25</v>
      </c>
      <c r="K58" s="3">
        <v>0</v>
      </c>
      <c r="L58" s="3">
        <v>-1149.83</v>
      </c>
      <c r="M58" s="3">
        <v>531.25</v>
      </c>
      <c r="N58" s="3">
        <v>0</v>
      </c>
      <c r="O58" s="3">
        <v>450.25</v>
      </c>
      <c r="P58" s="3">
        <v>0</v>
      </c>
      <c r="Q58" s="3">
        <v>0</v>
      </c>
    </row>
    <row r="59" spans="1:19" outlineLevel="2">
      <c r="A59" t="s">
        <v>162</v>
      </c>
      <c r="B59" t="s">
        <v>163</v>
      </c>
      <c r="C59" t="s">
        <v>61</v>
      </c>
      <c r="D59" t="s">
        <v>62</v>
      </c>
      <c r="E59" s="3">
        <v>700</v>
      </c>
      <c r="F59" s="3">
        <v>1400</v>
      </c>
      <c r="G59" s="3">
        <v>1400</v>
      </c>
      <c r="H59" s="3">
        <v>1330</v>
      </c>
      <c r="I59" s="3">
        <v>1330</v>
      </c>
      <c r="J59" s="3">
        <v>1330</v>
      </c>
      <c r="K59" s="3">
        <v>1330</v>
      </c>
      <c r="L59" s="3">
        <v>1995</v>
      </c>
      <c r="M59" s="3">
        <v>1260</v>
      </c>
      <c r="N59" s="3">
        <v>1260</v>
      </c>
      <c r="O59" s="3">
        <v>1260</v>
      </c>
      <c r="P59" s="3">
        <v>1260</v>
      </c>
      <c r="Q59" s="3">
        <v>1750</v>
      </c>
      <c r="R59" s="3">
        <v>1225</v>
      </c>
      <c r="S59" s="3">
        <v>1190</v>
      </c>
    </row>
    <row r="60" spans="1:19" outlineLevel="2">
      <c r="A60" t="s">
        <v>162</v>
      </c>
      <c r="B60" t="s">
        <v>163</v>
      </c>
      <c r="C60" t="s">
        <v>63</v>
      </c>
      <c r="D60" t="s">
        <v>64</v>
      </c>
      <c r="E60" s="3">
        <v>128.16</v>
      </c>
      <c r="F60" s="3">
        <v>238.16</v>
      </c>
      <c r="G60" s="3">
        <v>2289.4700000000003</v>
      </c>
      <c r="H60" s="3">
        <v>2.8421709430404007E-14</v>
      </c>
      <c r="I60" s="3">
        <v>-2.8421709430404007E-14</v>
      </c>
      <c r="J60" s="3">
        <v>0</v>
      </c>
      <c r="K60" s="3">
        <v>0</v>
      </c>
      <c r="L60" s="3">
        <v>3311.86</v>
      </c>
      <c r="M60" s="3">
        <v>-371.55</v>
      </c>
      <c r="N60" s="3">
        <v>0</v>
      </c>
      <c r="O60" s="3">
        <v>0</v>
      </c>
      <c r="P60" s="3">
        <v>0</v>
      </c>
      <c r="Q60" s="3">
        <v>0</v>
      </c>
      <c r="R60" s="3">
        <v>371.55</v>
      </c>
      <c r="S60" s="3">
        <v>-371.55</v>
      </c>
    </row>
    <row r="61" spans="1:19" outlineLevel="2">
      <c r="A61" t="s">
        <v>162</v>
      </c>
      <c r="B61" t="s">
        <v>163</v>
      </c>
      <c r="C61" t="s">
        <v>65</v>
      </c>
      <c r="D61" t="s">
        <v>66</v>
      </c>
      <c r="E61" s="3">
        <v>0</v>
      </c>
      <c r="F61" s="3">
        <v>0</v>
      </c>
      <c r="G61" s="3">
        <v>0</v>
      </c>
      <c r="H61" s="3">
        <v>1500</v>
      </c>
      <c r="I61" s="3">
        <v>0</v>
      </c>
      <c r="J61" s="3">
        <v>100.08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9" outlineLevel="2">
      <c r="A62" t="s">
        <v>162</v>
      </c>
      <c r="B62" t="s">
        <v>163</v>
      </c>
      <c r="C62" t="s">
        <v>67</v>
      </c>
      <c r="D62" t="s">
        <v>68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31117.23</v>
      </c>
      <c r="S62" s="3">
        <v>19428.13</v>
      </c>
    </row>
    <row r="63" spans="1:19" outlineLevel="2">
      <c r="A63" t="s">
        <v>162</v>
      </c>
      <c r="B63" t="s">
        <v>163</v>
      </c>
      <c r="C63" t="s">
        <v>69</v>
      </c>
      <c r="D63" t="s">
        <v>70</v>
      </c>
      <c r="E63" s="3">
        <v>0</v>
      </c>
      <c r="F63" s="3">
        <v>63000</v>
      </c>
      <c r="G63" s="3">
        <v>53801.600000000006</v>
      </c>
      <c r="H63" s="3">
        <v>0</v>
      </c>
      <c r="I63" s="3">
        <v>54692.799999999981</v>
      </c>
      <c r="J63" s="3">
        <v>-60462.6</v>
      </c>
      <c r="K63" s="3">
        <v>40391.679999999993</v>
      </c>
      <c r="L63" s="3">
        <v>11017.579999999973</v>
      </c>
      <c r="M63" s="3">
        <v>17946.910000000003</v>
      </c>
      <c r="N63" s="3">
        <v>54771.959999999992</v>
      </c>
      <c r="O63" s="3">
        <v>10366.36</v>
      </c>
      <c r="P63" s="3">
        <v>35610.319999999992</v>
      </c>
      <c r="Q63" s="3">
        <v>18929.79</v>
      </c>
      <c r="R63" s="3">
        <v>12395.680000000002</v>
      </c>
      <c r="S63" s="3">
        <v>73358.260000000009</v>
      </c>
    </row>
    <row r="64" spans="1:19" outlineLevel="2">
      <c r="A64" t="s">
        <v>162</v>
      </c>
      <c r="B64" t="s">
        <v>163</v>
      </c>
      <c r="C64" t="s">
        <v>71</v>
      </c>
      <c r="D64" t="s">
        <v>72</v>
      </c>
      <c r="E64" s="3">
        <v>0</v>
      </c>
      <c r="F64" s="3">
        <v>8915.92</v>
      </c>
      <c r="G64" s="3">
        <v>37968.29</v>
      </c>
      <c r="H64" s="3">
        <v>3515.1500000000015</v>
      </c>
      <c r="I64" s="3">
        <v>28.96</v>
      </c>
      <c r="J64" s="3">
        <v>15307.89</v>
      </c>
      <c r="K64" s="3">
        <v>5230.62</v>
      </c>
      <c r="L64" s="3">
        <v>0</v>
      </c>
      <c r="M64" s="3">
        <v>2402</v>
      </c>
      <c r="N64" s="3">
        <v>12405.24</v>
      </c>
      <c r="O64" s="3">
        <v>3833.8</v>
      </c>
      <c r="P64" s="3">
        <v>9786.82</v>
      </c>
      <c r="Q64" s="3">
        <v>9532.0400000000009</v>
      </c>
      <c r="S64" s="3">
        <v>11139.58</v>
      </c>
    </row>
    <row r="65" spans="1:19" outlineLevel="2">
      <c r="A65" t="s">
        <v>162</v>
      </c>
      <c r="B65" t="s">
        <v>163</v>
      </c>
      <c r="C65" t="s">
        <v>73</v>
      </c>
      <c r="D65" t="s">
        <v>74</v>
      </c>
      <c r="E65" s="3">
        <v>0</v>
      </c>
      <c r="F65" s="3">
        <v>83123.95</v>
      </c>
      <c r="G65" s="3">
        <v>-69222.95</v>
      </c>
      <c r="H65" s="3">
        <v>90147.950000000012</v>
      </c>
      <c r="I65" s="3">
        <v>222326.19000000006</v>
      </c>
      <c r="J65" s="3">
        <v>340882.54000000097</v>
      </c>
      <c r="K65" s="3">
        <v>250316.43</v>
      </c>
      <c r="L65" s="3">
        <v>38311.630000000136</v>
      </c>
      <c r="M65" s="3">
        <v>117126.88000000003</v>
      </c>
      <c r="N65" s="3">
        <v>208824.79000000007</v>
      </c>
      <c r="O65" s="3">
        <v>219652.45999999988</v>
      </c>
      <c r="P65" s="3">
        <v>-412876.95000000007</v>
      </c>
      <c r="Q65" s="3">
        <v>252989.01000000015</v>
      </c>
      <c r="R65" s="3">
        <v>93160.790000000008</v>
      </c>
      <c r="S65" s="3">
        <v>57866.470000000008</v>
      </c>
    </row>
    <row r="66" spans="1:19" outlineLevel="2">
      <c r="A66" t="s">
        <v>162</v>
      </c>
      <c r="B66" t="s">
        <v>163</v>
      </c>
      <c r="C66" t="s">
        <v>75</v>
      </c>
      <c r="D66" t="s">
        <v>76</v>
      </c>
      <c r="E66" s="3">
        <v>0</v>
      </c>
      <c r="F66" s="3">
        <v>0</v>
      </c>
      <c r="G66" s="3">
        <v>130960.7</v>
      </c>
      <c r="H66" s="3">
        <v>-76408.5</v>
      </c>
      <c r="I66" s="3">
        <v>82589.36</v>
      </c>
      <c r="J66" s="3">
        <v>128960.31</v>
      </c>
      <c r="K66" s="3">
        <v>201567.16</v>
      </c>
      <c r="L66" s="3">
        <v>-355535.85000000009</v>
      </c>
      <c r="M66" s="3">
        <v>30565.87999999999</v>
      </c>
      <c r="N66" s="3">
        <v>24250.799999999999</v>
      </c>
      <c r="O66" s="3">
        <v>0</v>
      </c>
      <c r="P66" s="3">
        <v>50.72</v>
      </c>
      <c r="Q66" s="3">
        <v>292.8</v>
      </c>
      <c r="R66" s="3">
        <v>742.36</v>
      </c>
      <c r="S66" s="3">
        <v>575.88</v>
      </c>
    </row>
    <row r="67" spans="1:19" outlineLevel="2">
      <c r="A67" t="s">
        <v>162</v>
      </c>
      <c r="B67" t="s">
        <v>163</v>
      </c>
      <c r="C67" t="s">
        <v>77</v>
      </c>
      <c r="D67" t="s">
        <v>78</v>
      </c>
      <c r="E67" s="3">
        <v>0</v>
      </c>
      <c r="F67" s="3">
        <v>1736.25</v>
      </c>
      <c r="G67" s="3">
        <v>-1346.25</v>
      </c>
      <c r="H67" s="3">
        <v>637.20000000000005</v>
      </c>
      <c r="I67" s="3">
        <v>-47466.400000000001</v>
      </c>
      <c r="J67" s="3">
        <v>684.6400000000001</v>
      </c>
      <c r="K67" s="3">
        <v>844.80000000000007</v>
      </c>
      <c r="L67" s="3">
        <v>-240593.88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</row>
    <row r="68" spans="1:19" outlineLevel="2">
      <c r="A68" t="s">
        <v>162</v>
      </c>
      <c r="B68" t="s">
        <v>163</v>
      </c>
      <c r="C68" t="s">
        <v>79</v>
      </c>
      <c r="D68" t="s">
        <v>80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S68" s="3">
        <v>3307.94</v>
      </c>
    </row>
    <row r="69" spans="1:19" outlineLevel="2">
      <c r="A69" t="s">
        <v>162</v>
      </c>
      <c r="B69" t="s">
        <v>163</v>
      </c>
      <c r="C69" t="s">
        <v>83</v>
      </c>
      <c r="D69" t="s">
        <v>84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63122.61</v>
      </c>
      <c r="M69" s="3">
        <v>35472.99</v>
      </c>
      <c r="N69" s="3">
        <v>33021.929999999993</v>
      </c>
      <c r="O69" s="3">
        <v>45376.219999999979</v>
      </c>
      <c r="P69" s="3">
        <v>64814.639999999985</v>
      </c>
      <c r="Q69" s="3">
        <v>15982</v>
      </c>
      <c r="R69" s="3">
        <v>715.27</v>
      </c>
      <c r="S69" s="3">
        <v>-1567.88</v>
      </c>
    </row>
    <row r="70" spans="1:19" outlineLevel="2">
      <c r="A70" t="s">
        <v>162</v>
      </c>
      <c r="B70" t="s">
        <v>163</v>
      </c>
      <c r="C70" t="s">
        <v>155</v>
      </c>
      <c r="D70" t="s">
        <v>156</v>
      </c>
      <c r="E70" s="3">
        <v>0</v>
      </c>
      <c r="F70" s="3">
        <v>0</v>
      </c>
      <c r="G70" s="3">
        <v>49835.67</v>
      </c>
      <c r="H70" s="3">
        <v>88040.86</v>
      </c>
      <c r="I70" s="3">
        <v>36804.949999999997</v>
      </c>
      <c r="J70" s="3">
        <v>63228.950000000004</v>
      </c>
      <c r="K70" s="3">
        <v>39592.94999999999</v>
      </c>
      <c r="L70" s="3">
        <v>71404.479999999996</v>
      </c>
      <c r="M70" s="3">
        <v>0</v>
      </c>
      <c r="N70" s="3">
        <v>8180.9400000000005</v>
      </c>
      <c r="O70" s="3">
        <v>0</v>
      </c>
      <c r="P70" s="3">
        <v>0</v>
      </c>
      <c r="Q70" s="3">
        <v>0</v>
      </c>
    </row>
    <row r="71" spans="1:19" outlineLevel="2">
      <c r="A71" t="s">
        <v>162</v>
      </c>
      <c r="B71" t="s">
        <v>163</v>
      </c>
      <c r="C71" t="s">
        <v>85</v>
      </c>
      <c r="D71" t="s">
        <v>86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1:19" outlineLevel="2">
      <c r="A72" t="s">
        <v>162</v>
      </c>
      <c r="B72" t="s">
        <v>163</v>
      </c>
      <c r="C72" t="s">
        <v>89</v>
      </c>
      <c r="D72" t="s">
        <v>90</v>
      </c>
      <c r="E72" s="3">
        <v>0</v>
      </c>
      <c r="F72" s="3">
        <v>0</v>
      </c>
      <c r="G72" s="3">
        <v>73937.63</v>
      </c>
      <c r="H72" s="3">
        <v>5913.7400000000016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12161.27</v>
      </c>
      <c r="Q72" s="3">
        <v>0</v>
      </c>
    </row>
    <row r="73" spans="1:19" outlineLevel="2">
      <c r="A73" t="s">
        <v>162</v>
      </c>
      <c r="B73" t="s">
        <v>163</v>
      </c>
      <c r="C73" t="s">
        <v>91</v>
      </c>
      <c r="D73" t="s">
        <v>92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1:19" outlineLevel="2">
      <c r="A74" t="s">
        <v>162</v>
      </c>
      <c r="B74" t="s">
        <v>163</v>
      </c>
      <c r="C74" t="s">
        <v>93</v>
      </c>
      <c r="D74" t="s">
        <v>94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S74" s="3">
        <v>19734.09</v>
      </c>
    </row>
    <row r="75" spans="1:19" outlineLevel="2">
      <c r="A75" t="s">
        <v>162</v>
      </c>
      <c r="B75" t="s">
        <v>163</v>
      </c>
      <c r="C75" t="s">
        <v>95</v>
      </c>
      <c r="D75" t="s">
        <v>96</v>
      </c>
      <c r="E75" s="3">
        <v>0</v>
      </c>
      <c r="F75" s="3">
        <v>0</v>
      </c>
      <c r="G75" s="3">
        <v>0</v>
      </c>
      <c r="H75" s="3">
        <v>39856.559999999998</v>
      </c>
      <c r="I75" s="3">
        <v>31429.910000000003</v>
      </c>
      <c r="J75" s="3">
        <v>22678.58</v>
      </c>
      <c r="K75" s="3">
        <v>6482.6</v>
      </c>
      <c r="L75" s="3">
        <v>3565.5</v>
      </c>
      <c r="M75" s="3">
        <v>0</v>
      </c>
      <c r="N75" s="3">
        <v>43880.07</v>
      </c>
      <c r="O75" s="3">
        <v>2463.36</v>
      </c>
      <c r="P75" s="3">
        <v>15037.57</v>
      </c>
      <c r="Q75" s="3">
        <v>32390.75</v>
      </c>
      <c r="R75" s="3">
        <v>1405.35</v>
      </c>
      <c r="S75" s="3">
        <v>-1066.5999999999999</v>
      </c>
    </row>
    <row r="76" spans="1:19" outlineLevel="2">
      <c r="A76" t="s">
        <v>162</v>
      </c>
      <c r="B76" t="s">
        <v>163</v>
      </c>
      <c r="C76" t="s">
        <v>97</v>
      </c>
      <c r="D76" t="s">
        <v>98</v>
      </c>
      <c r="E76" s="3">
        <v>0</v>
      </c>
      <c r="F76" s="3">
        <v>0</v>
      </c>
      <c r="G76" s="3">
        <v>252.8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1:19" outlineLevel="2">
      <c r="A77" t="s">
        <v>162</v>
      </c>
      <c r="B77" t="s">
        <v>163</v>
      </c>
      <c r="C77" t="s">
        <v>164</v>
      </c>
      <c r="D77" t="s">
        <v>165</v>
      </c>
      <c r="E77" s="3">
        <v>0</v>
      </c>
      <c r="F77" s="3">
        <v>0</v>
      </c>
      <c r="G77" s="3">
        <v>0</v>
      </c>
      <c r="H77" s="3">
        <v>0</v>
      </c>
      <c r="I77" s="3">
        <v>17997.799999999996</v>
      </c>
      <c r="J77" s="3">
        <v>4499.45</v>
      </c>
      <c r="K77" s="3">
        <v>0</v>
      </c>
      <c r="L77" s="3">
        <v>4694.84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8" spans="1:19" outlineLevel="2">
      <c r="A78" t="s">
        <v>162</v>
      </c>
      <c r="B78" t="s">
        <v>163</v>
      </c>
      <c r="C78" t="s">
        <v>101</v>
      </c>
      <c r="D78" t="s">
        <v>102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</row>
    <row r="79" spans="1:19" outlineLevel="2">
      <c r="A79" t="s">
        <v>162</v>
      </c>
      <c r="B79" t="s">
        <v>163</v>
      </c>
      <c r="C79" t="s">
        <v>139</v>
      </c>
      <c r="D79" t="s">
        <v>140</v>
      </c>
      <c r="E79" s="3">
        <v>0</v>
      </c>
      <c r="F79" s="3">
        <v>0</v>
      </c>
      <c r="G79" s="3">
        <v>0</v>
      </c>
      <c r="H79" s="3">
        <v>12000</v>
      </c>
      <c r="I79" s="3">
        <v>0</v>
      </c>
      <c r="J79" s="3">
        <v>0</v>
      </c>
      <c r="K79" s="3">
        <v>0</v>
      </c>
      <c r="L79" s="3">
        <v>-123.77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</row>
    <row r="80" spans="1:19" outlineLevel="2">
      <c r="A80" t="s">
        <v>162</v>
      </c>
      <c r="B80" t="s">
        <v>163</v>
      </c>
      <c r="C80" t="s">
        <v>103</v>
      </c>
      <c r="D80" t="s">
        <v>104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1269.0500000000002</v>
      </c>
      <c r="L80" s="3">
        <v>-17.34</v>
      </c>
      <c r="M80" s="3">
        <v>0</v>
      </c>
      <c r="N80" s="3">
        <v>0</v>
      </c>
      <c r="O80" s="3">
        <v>0</v>
      </c>
      <c r="P80" s="3">
        <v>0</v>
      </c>
      <c r="Q80" s="3">
        <v>926.84</v>
      </c>
      <c r="R80" s="3">
        <v>3368.6999999999994</v>
      </c>
    </row>
    <row r="81" spans="1:19" outlineLevel="2">
      <c r="A81" t="s">
        <v>162</v>
      </c>
      <c r="B81" t="s">
        <v>163</v>
      </c>
      <c r="C81" t="s">
        <v>105</v>
      </c>
      <c r="D81" t="s">
        <v>106</v>
      </c>
      <c r="E81" s="3">
        <v>0</v>
      </c>
      <c r="F81" s="3">
        <v>1702.23</v>
      </c>
      <c r="G81" s="3">
        <v>0</v>
      </c>
      <c r="H81" s="3">
        <v>0</v>
      </c>
      <c r="I81" s="3">
        <v>681.75000000000011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113.98000000000002</v>
      </c>
      <c r="Q81" s="3">
        <v>446.44</v>
      </c>
      <c r="R81" s="3">
        <v>19977.010000000006</v>
      </c>
      <c r="S81" s="3">
        <v>3345.4199999999996</v>
      </c>
    </row>
    <row r="82" spans="1:19" outlineLevel="2">
      <c r="A82" t="s">
        <v>162</v>
      </c>
      <c r="B82" t="s">
        <v>163</v>
      </c>
      <c r="C82" t="s">
        <v>107</v>
      </c>
      <c r="D82" t="s">
        <v>108</v>
      </c>
      <c r="E82" s="3">
        <v>7489.29</v>
      </c>
      <c r="F82" s="3">
        <v>284.40999999999985</v>
      </c>
      <c r="G82" s="3">
        <v>-60.979999999999563</v>
      </c>
      <c r="H82" s="3">
        <v>16384.719999999998</v>
      </c>
      <c r="I82" s="3">
        <v>2066.67</v>
      </c>
      <c r="J82" s="3">
        <v>4913.82</v>
      </c>
      <c r="K82" s="3">
        <v>3292.7100000000005</v>
      </c>
      <c r="L82" s="3">
        <v>2146.52</v>
      </c>
      <c r="M82" s="3">
        <v>11029.84</v>
      </c>
      <c r="N82" s="3">
        <v>6170.61</v>
      </c>
      <c r="O82" s="3">
        <v>13954.36</v>
      </c>
      <c r="P82" s="3">
        <v>35404.04</v>
      </c>
      <c r="Q82" s="3">
        <v>10198.729999999998</v>
      </c>
      <c r="R82" s="3">
        <v>726.39000000000124</v>
      </c>
      <c r="S82" s="3">
        <v>3465.5100000000016</v>
      </c>
    </row>
    <row r="83" spans="1:19" outlineLevel="2">
      <c r="A83" t="s">
        <v>162</v>
      </c>
      <c r="B83" t="s">
        <v>163</v>
      </c>
      <c r="C83" t="s">
        <v>109</v>
      </c>
      <c r="D83" t="s">
        <v>110</v>
      </c>
      <c r="E83" s="3">
        <v>2774.8</v>
      </c>
      <c r="F83" s="3">
        <v>19646</v>
      </c>
      <c r="G83" s="3">
        <v>509.17000000000007</v>
      </c>
      <c r="H83" s="3">
        <v>14042.53</v>
      </c>
      <c r="I83" s="3">
        <v>53932.090000000004</v>
      </c>
      <c r="J83" s="3">
        <v>4771.0400000000009</v>
      </c>
      <c r="K83" s="3">
        <v>22434.170000000002</v>
      </c>
      <c r="L83" s="3">
        <v>656.43000000000018</v>
      </c>
      <c r="M83" s="3">
        <v>3588.92</v>
      </c>
      <c r="N83" s="3">
        <v>33332.299999999996</v>
      </c>
      <c r="O83" s="3">
        <v>23478.789999999997</v>
      </c>
      <c r="P83" s="3">
        <v>8886.0199999999986</v>
      </c>
      <c r="Q83" s="3">
        <v>11760.04</v>
      </c>
      <c r="R83" s="3">
        <v>-3488.5699999999997</v>
      </c>
      <c r="S83" s="3">
        <v>20325.010000000002</v>
      </c>
    </row>
    <row r="84" spans="1:19" outlineLevel="2">
      <c r="A84" t="s">
        <v>162</v>
      </c>
      <c r="B84" t="s">
        <v>163</v>
      </c>
      <c r="C84" t="s">
        <v>111</v>
      </c>
      <c r="D84" t="s">
        <v>112</v>
      </c>
      <c r="E84" s="3">
        <v>23205.119999999999</v>
      </c>
      <c r="F84" s="3">
        <v>0</v>
      </c>
      <c r="G84" s="3">
        <v>9500</v>
      </c>
      <c r="H84" s="3">
        <v>-20000</v>
      </c>
      <c r="I84" s="3">
        <v>20000</v>
      </c>
      <c r="J84" s="3">
        <v>0</v>
      </c>
      <c r="K84" s="3">
        <v>0</v>
      </c>
      <c r="L84" s="3">
        <v>2263.66</v>
      </c>
      <c r="M84" s="3">
        <v>58133.720000000008</v>
      </c>
      <c r="N84" s="3">
        <v>60123.53</v>
      </c>
      <c r="O84" s="3">
        <v>43385.740000000013</v>
      </c>
      <c r="P84" s="3">
        <v>60531.979999999996</v>
      </c>
      <c r="Q84" s="3">
        <v>136856.62999999998</v>
      </c>
      <c r="R84" s="3">
        <v>92264.069999999992</v>
      </c>
      <c r="S84" s="3">
        <v>150095.45000000007</v>
      </c>
    </row>
    <row r="85" spans="1:19" outlineLevel="2">
      <c r="A85" t="s">
        <v>162</v>
      </c>
      <c r="B85" t="s">
        <v>163</v>
      </c>
      <c r="C85" t="s">
        <v>113</v>
      </c>
      <c r="D85" t="s">
        <v>114</v>
      </c>
      <c r="E85" s="3">
        <v>200256.04</v>
      </c>
      <c r="F85" s="3">
        <v>86597.180000000022</v>
      </c>
      <c r="G85" s="3">
        <v>67055.970000000074</v>
      </c>
      <c r="H85" s="3">
        <v>142117.02999999997</v>
      </c>
      <c r="I85" s="3">
        <v>111863.03999999999</v>
      </c>
      <c r="J85" s="3">
        <v>211832.19000000009</v>
      </c>
      <c r="K85" s="3">
        <v>-33223.490000000027</v>
      </c>
      <c r="L85" s="3">
        <v>26034.829999999994</v>
      </c>
      <c r="M85" s="3">
        <v>75333.950000000012</v>
      </c>
      <c r="N85" s="3">
        <v>187734.78999999998</v>
      </c>
      <c r="O85" s="3">
        <v>154572.84000000003</v>
      </c>
      <c r="P85" s="3">
        <v>103770.91</v>
      </c>
      <c r="Q85" s="3">
        <v>172192.55</v>
      </c>
      <c r="R85" s="3">
        <v>134910.02999999997</v>
      </c>
      <c r="S85" s="3">
        <v>74387.119999999981</v>
      </c>
    </row>
    <row r="86" spans="1:19" outlineLevel="2">
      <c r="A86" t="s">
        <v>162</v>
      </c>
      <c r="B86" t="s">
        <v>163</v>
      </c>
      <c r="C86" t="s">
        <v>117</v>
      </c>
      <c r="D86" t="s">
        <v>118</v>
      </c>
      <c r="E86" s="3">
        <v>0</v>
      </c>
      <c r="F86" s="3">
        <v>0</v>
      </c>
      <c r="G86" s="3">
        <v>8681.7999999999993</v>
      </c>
      <c r="H86" s="3">
        <v>38051.769999999997</v>
      </c>
      <c r="I86" s="3">
        <v>18386.189999999999</v>
      </c>
      <c r="J86" s="3">
        <v>26864.120000000003</v>
      </c>
      <c r="K86" s="3">
        <v>20362.32</v>
      </c>
      <c r="L86" s="3">
        <v>20288.82</v>
      </c>
      <c r="M86" s="3">
        <v>57082.02</v>
      </c>
      <c r="N86" s="3">
        <v>38120.410000000003</v>
      </c>
      <c r="O86" s="3">
        <v>1236.99</v>
      </c>
      <c r="P86" s="3">
        <v>17926.07</v>
      </c>
      <c r="Q86" s="3">
        <v>20632.53</v>
      </c>
      <c r="R86" s="3">
        <v>28309.5</v>
      </c>
    </row>
    <row r="87" spans="1:19" outlineLevel="2">
      <c r="A87" t="s">
        <v>162</v>
      </c>
      <c r="B87" t="s">
        <v>163</v>
      </c>
      <c r="C87" t="s">
        <v>119</v>
      </c>
      <c r="D87" t="s">
        <v>120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22427.75</v>
      </c>
      <c r="L87" s="3">
        <v>0</v>
      </c>
      <c r="M87" s="3">
        <v>0</v>
      </c>
      <c r="N87" s="3">
        <v>91877.700000000012</v>
      </c>
      <c r="O87" s="3">
        <v>0</v>
      </c>
      <c r="P87" s="3">
        <v>0</v>
      </c>
      <c r="Q87" s="3">
        <v>0</v>
      </c>
      <c r="S87" s="3">
        <v>144456.21000000002</v>
      </c>
    </row>
    <row r="88" spans="1:19" outlineLevel="2">
      <c r="A88" t="s">
        <v>162</v>
      </c>
      <c r="B88" t="s">
        <v>163</v>
      </c>
      <c r="C88" t="s">
        <v>124</v>
      </c>
      <c r="D88" t="s">
        <v>125</v>
      </c>
      <c r="E88" s="3">
        <v>5798.59</v>
      </c>
      <c r="F88" s="3">
        <v>1015.5500000000002</v>
      </c>
      <c r="G88" s="3">
        <v>4228.9500000000007</v>
      </c>
      <c r="H88" s="3">
        <v>44974.240000000005</v>
      </c>
      <c r="I88" s="3">
        <v>500207.3</v>
      </c>
      <c r="J88" s="3">
        <v>-500000</v>
      </c>
      <c r="K88" s="3">
        <v>138507.64000000001</v>
      </c>
      <c r="L88" s="3">
        <v>174227.98999999996</v>
      </c>
      <c r="M88" s="3">
        <v>-262537.05999999976</v>
      </c>
      <c r="N88" s="3">
        <v>56000.089999999953</v>
      </c>
      <c r="O88" s="3">
        <v>33579.460000000006</v>
      </c>
      <c r="P88" s="3">
        <v>117629.31999999995</v>
      </c>
      <c r="Q88" s="3">
        <v>-1.8189894035458565E-12</v>
      </c>
    </row>
    <row r="89" spans="1:19" outlineLevel="2">
      <c r="A89" t="s">
        <v>162</v>
      </c>
      <c r="B89" t="s">
        <v>163</v>
      </c>
      <c r="C89" t="s">
        <v>153</v>
      </c>
      <c r="D89" t="s">
        <v>154</v>
      </c>
      <c r="E89" s="3">
        <v>19703.25</v>
      </c>
      <c r="F89" s="3">
        <v>27275.599999999999</v>
      </c>
      <c r="G89" s="3">
        <v>22172.21</v>
      </c>
      <c r="H89" s="3">
        <v>34659.910000000003</v>
      </c>
      <c r="I89" s="3">
        <v>45501.979999999996</v>
      </c>
      <c r="J89" s="3">
        <v>55257.56</v>
      </c>
      <c r="K89" s="3">
        <v>66254.64</v>
      </c>
      <c r="L89" s="3">
        <v>76914.559999999998</v>
      </c>
      <c r="M89" s="3">
        <v>86881.51999999999</v>
      </c>
      <c r="N89" s="3">
        <v>98116.56</v>
      </c>
      <c r="O89" s="3">
        <v>108226.20000000001</v>
      </c>
      <c r="P89" s="3">
        <v>119621.84</v>
      </c>
      <c r="Q89" s="3">
        <v>130668.37000000001</v>
      </c>
      <c r="R89" s="3">
        <v>139401.93000000002</v>
      </c>
      <c r="S89" s="3">
        <v>147866.95000000001</v>
      </c>
    </row>
    <row r="90" spans="1:19" outlineLevel="2">
      <c r="A90" t="s">
        <v>162</v>
      </c>
      <c r="B90" t="s">
        <v>163</v>
      </c>
      <c r="C90" t="s">
        <v>126</v>
      </c>
      <c r="D90" t="s">
        <v>121</v>
      </c>
      <c r="E90" s="3">
        <v>80851.679999999993</v>
      </c>
      <c r="F90" s="3">
        <v>63737.420000000013</v>
      </c>
      <c r="G90" s="3">
        <v>59090.229999999981</v>
      </c>
      <c r="H90" s="3">
        <v>-83310.100000000006</v>
      </c>
      <c r="I90" s="3">
        <v>200922.32</v>
      </c>
      <c r="J90" s="3">
        <v>-6247.03</v>
      </c>
      <c r="K90" s="3">
        <v>117297.03</v>
      </c>
      <c r="L90" s="3">
        <v>58864.74</v>
      </c>
      <c r="M90" s="3">
        <v>39640.699999999997</v>
      </c>
      <c r="N90" s="3">
        <v>157756.38</v>
      </c>
      <c r="O90" s="3">
        <v>-118265.48</v>
      </c>
      <c r="P90" s="3">
        <v>50547.67</v>
      </c>
      <c r="Q90" s="3">
        <v>159280.74</v>
      </c>
      <c r="R90" s="3">
        <v>-106889.21</v>
      </c>
      <c r="S90" s="3">
        <v>90812.900000000009</v>
      </c>
    </row>
    <row r="91" spans="1:19" outlineLevel="2">
      <c r="A91" t="s">
        <v>162</v>
      </c>
      <c r="B91" t="s">
        <v>163</v>
      </c>
      <c r="C91" t="s">
        <v>160</v>
      </c>
      <c r="D91" t="s">
        <v>161</v>
      </c>
      <c r="E91" s="3">
        <v>9500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1:19" outlineLevel="2">
      <c r="A92" t="s">
        <v>162</v>
      </c>
      <c r="B92" t="s">
        <v>163</v>
      </c>
      <c r="C92" t="s">
        <v>127</v>
      </c>
      <c r="D92" t="s">
        <v>128</v>
      </c>
      <c r="E92" s="3">
        <v>24910</v>
      </c>
      <c r="F92" s="3">
        <v>14367.279999999999</v>
      </c>
      <c r="G92" s="3">
        <v>12700.580000000002</v>
      </c>
      <c r="H92" s="3">
        <v>45396.930000000008</v>
      </c>
      <c r="I92" s="3">
        <v>1492.25</v>
      </c>
      <c r="J92" s="3">
        <v>5004.25</v>
      </c>
      <c r="K92" s="3">
        <v>11042.25</v>
      </c>
      <c r="L92" s="3">
        <v>86890.25</v>
      </c>
      <c r="M92" s="3">
        <v>-6359.75</v>
      </c>
      <c r="N92" s="3">
        <v>6492.25</v>
      </c>
      <c r="O92" s="3">
        <v>9390.25</v>
      </c>
      <c r="P92" s="3">
        <v>45669.03</v>
      </c>
      <c r="Q92" s="3">
        <v>2742.25</v>
      </c>
      <c r="R92" s="3">
        <v>2742.25</v>
      </c>
      <c r="S92" s="3">
        <v>39816.270000000004</v>
      </c>
    </row>
    <row r="93" spans="1:19" outlineLevel="2">
      <c r="A93" t="s">
        <v>162</v>
      </c>
      <c r="B93" t="s">
        <v>163</v>
      </c>
      <c r="C93" t="s">
        <v>143</v>
      </c>
      <c r="D93" t="s">
        <v>144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-3713.05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1:19" outlineLevel="2">
      <c r="A94" t="s">
        <v>162</v>
      </c>
      <c r="B94" t="s">
        <v>163</v>
      </c>
      <c r="C94" t="s">
        <v>147</v>
      </c>
      <c r="D94" t="s">
        <v>148</v>
      </c>
      <c r="E94" s="3">
        <v>136004.56</v>
      </c>
      <c r="F94" s="3">
        <v>35126.26999999999</v>
      </c>
      <c r="G94" s="3">
        <v>34512.44</v>
      </c>
      <c r="H94" s="3">
        <v>-104856.26999999999</v>
      </c>
      <c r="I94" s="3">
        <v>-6.4019900491985027E-12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1:19" outlineLevel="2">
      <c r="A95" t="s">
        <v>162</v>
      </c>
      <c r="B95" t="s">
        <v>163</v>
      </c>
      <c r="C95" t="s">
        <v>145</v>
      </c>
      <c r="D95" t="s">
        <v>146</v>
      </c>
      <c r="E95" s="3">
        <v>0</v>
      </c>
      <c r="F95" s="3">
        <v>0</v>
      </c>
      <c r="G95" s="3">
        <v>0</v>
      </c>
      <c r="H95" s="3">
        <v>140206.48000000001</v>
      </c>
      <c r="I95" s="3">
        <v>35051.620000000003</v>
      </c>
      <c r="J95" s="3">
        <v>35051.62000000001</v>
      </c>
      <c r="K95" s="3">
        <v>35051.62000000001</v>
      </c>
      <c r="L95" s="3">
        <v>35051.62000000001</v>
      </c>
      <c r="M95" s="3">
        <v>35051.620000000003</v>
      </c>
      <c r="N95" s="3">
        <v>35051.619999999995</v>
      </c>
      <c r="O95" s="3">
        <v>35051.62000000001</v>
      </c>
      <c r="P95" s="3">
        <v>-76408.510000000024</v>
      </c>
      <c r="Q95" s="3">
        <v>13710.41</v>
      </c>
      <c r="R95" s="3">
        <v>13710.41</v>
      </c>
      <c r="S95" s="3">
        <v>13710.41</v>
      </c>
    </row>
    <row r="96" spans="1:19" outlineLevel="2">
      <c r="A96" t="s">
        <v>162</v>
      </c>
      <c r="B96" t="s">
        <v>163</v>
      </c>
      <c r="C96" t="s">
        <v>129</v>
      </c>
      <c r="D96" t="s">
        <v>130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235</v>
      </c>
      <c r="Q96" s="3">
        <v>3132</v>
      </c>
      <c r="R96" s="3">
        <v>1645</v>
      </c>
      <c r="S96" s="3">
        <v>3457</v>
      </c>
    </row>
    <row r="97" spans="1:19" s="5" customFormat="1" outlineLevel="1">
      <c r="A97" s="4" t="s">
        <v>166</v>
      </c>
      <c r="E97" s="6">
        <f>SUBTOTAL(9,E40:E96)</f>
        <v>1775564.4900000002</v>
      </c>
      <c r="F97" s="6">
        <f>SUBTOTAL(9,F40:F96)</f>
        <v>1372703.33</v>
      </c>
      <c r="G97" s="6">
        <f>SUBTOTAL(9,G40:G96)</f>
        <v>1133532.3000000003</v>
      </c>
      <c r="H97" s="6"/>
      <c r="I97" s="6"/>
      <c r="J97" s="6"/>
      <c r="K97" s="6"/>
      <c r="L97" s="6"/>
      <c r="M97" s="6"/>
      <c r="N97" s="6"/>
      <c r="O97" s="6"/>
      <c r="P97" s="6"/>
      <c r="Q97" s="6">
        <f>SUBTOTAL(9,Q40:Q96)</f>
        <v>2379792.58</v>
      </c>
      <c r="R97" s="6">
        <f>SUBTOTAL(9,R40:R96)</f>
        <v>1810689.6299999997</v>
      </c>
      <c r="S97" s="6">
        <f>SUBTOTAL(9,S40:S96)</f>
        <v>2325391.1199999996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8DA1-8626-4E77-ADE4-220121605F41}">
  <dimension ref="A1:A4"/>
  <sheetViews>
    <sheetView workbookViewId="0">
      <selection activeCell="J27" sqref="J27"/>
    </sheetView>
  </sheetViews>
  <sheetFormatPr defaultRowHeight="15"/>
  <cols>
    <col min="1" max="1" width="14.85546875" customWidth="1"/>
  </cols>
  <sheetData>
    <row r="1" spans="1:1">
      <c r="A1" s="1" t="s">
        <v>0</v>
      </c>
    </row>
    <row r="2" spans="1:1">
      <c r="A2" t="s">
        <v>157</v>
      </c>
    </row>
    <row r="3" spans="1:1">
      <c r="A3" t="s">
        <v>162</v>
      </c>
    </row>
    <row r="4" spans="1:1">
      <c r="A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359D20-4355-43C0-945C-5C1FED926DA2}"/>
</file>

<file path=customXml/itemProps2.xml><?xml version="1.0" encoding="utf-8"?>
<ds:datastoreItem xmlns:ds="http://schemas.openxmlformats.org/officeDocument/2006/customXml" ds:itemID="{53AE38C1-679C-4231-BC52-F84D4FF054FC}"/>
</file>

<file path=customXml/itemProps3.xml><?xml version="1.0" encoding="utf-8"?>
<ds:datastoreItem xmlns:ds="http://schemas.openxmlformats.org/officeDocument/2006/customXml" ds:itemID="{138267FC-A5AB-4BE1-97E2-7027266AD59D}"/>
</file>

<file path=docMetadata/LabelInfo.xml><?xml version="1.0" encoding="utf-8"?>
<clbl:labelList xmlns:clbl="http://schemas.microsoft.com/office/2020/mipLabelMetadata">
  <clbl:label id="{4e7d2999-1298-469c-a8ed-259d2bbf293c}" enabled="1" method="Privileged" siteId="{3a7dd6e2-0a63-4ec5-bac5-e702961f4a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Sheet2</vt:lpstr>
    </vt:vector>
  </TitlesOfParts>
  <Company>Delek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Knecht</dc:creator>
  <cp:lastModifiedBy>Amber Knecht</cp:lastModifiedBy>
  <dcterms:created xsi:type="dcterms:W3CDTF">2026-05-01T15:00:52Z</dcterms:created>
  <dcterms:modified xsi:type="dcterms:W3CDTF">2026-05-01T18:28:33Z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